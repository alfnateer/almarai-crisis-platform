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tables/table4.xml" ContentType="application/vnd.openxmlformats-officedocument.spreadsheetml.table+xml"/>
  <Override PartName="/xl/comments5.xml" ContentType="application/vnd.openxmlformats-officedocument.spreadsheetml.comments+xml"/>
  <Override PartName="/xl/tables/table5.xml" ContentType="application/vnd.openxmlformats-officedocument.spreadsheetml.table+xml"/>
  <Override PartName="/xl/comments6.xml" ContentType="application/vnd.openxmlformats-officedocument.spreadsheetml.comments+xml"/>
  <Override PartName="/xl/tables/table6.xml" ContentType="application/vnd.openxmlformats-officedocument.spreadsheetml.table+xml"/>
  <Override PartName="/xl/comments7.xml" ContentType="application/vnd.openxmlformats-officedocument.spreadsheetml.comments+xml"/>
  <Override PartName="/xl/tables/table7.xml" ContentType="application/vnd.openxmlformats-officedocument.spreadsheetml.table+xml"/>
  <Override PartName="/xl/comments8.xml" ContentType="application/vnd.openxmlformats-officedocument.spreadsheetml.comments+xml"/>
  <Override PartName="/xl/tables/table8.xml" ContentType="application/vnd.openxmlformats-officedocument.spreadsheetml.table+xml"/>
  <Override PartName="/xl/comments9.xml" ContentType="application/vnd.openxmlformats-officedocument.spreadsheetml.comments+xml"/>
  <Override PartName="/xl/tables/table9.xml" ContentType="application/vnd.openxmlformats-officedocument.spreadsheetml.table+xml"/>
  <Override PartName="/xl/comments10.xml" ContentType="application/vnd.openxmlformats-officedocument.spreadsheetml.comments+xml"/>
  <Override PartName="/xl/comments11.xml" ContentType="application/vnd.openxmlformats-officedocument.spreadsheetml.comments+xml"/>
  <Override PartName="/xl/tables/table10.xml" ContentType="application/vnd.openxmlformats-officedocument.spreadsheetml.table+xml"/>
  <Override PartName="/xl/comments12.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3081" documentId="8_{BDB1E353-58B2-4776-B6C0-0BD4B561CFC8}" xr6:coauthVersionLast="47" xr6:coauthVersionMax="47" xr10:uidLastSave="{25CBC5AD-6261-449A-B553-7D95114CF683}"/>
  <bookViews>
    <workbookView xWindow="57480" yWindow="-120" windowWidth="29040" windowHeight="15720" tabRatio="645" activeTab="1" xr2:uid="{00000000-000D-0000-FFFF-FFFF00000000}"/>
  </bookViews>
  <sheets>
    <sheet name="02. Dashboard" sheetId="17" r:id="rId1"/>
    <sheet name="03. Business Unit Profile" sheetId="3" r:id="rId2"/>
    <sheet name="04. Products &amp; Services" sheetId="5" r:id="rId3"/>
    <sheet name="05. Processes &amp; Activities" sheetId="7" r:id="rId4"/>
    <sheet name="06. Application &amp; Equipment" sheetId="10" r:id="rId5"/>
    <sheet name="07. BIA" sheetId="8" r:id="rId6"/>
    <sheet name="08. Dependency Register" sheetId="9" r:id="rId7"/>
    <sheet name="09. Risk Assumption Map" sheetId="12" r:id="rId8"/>
    <sheet name="10. Risk Assessment" sheetId="11" r:id="rId9"/>
    <sheet name="11. Strategies &amp; Solutions" sheetId="13" r:id="rId10"/>
    <sheet name="12. Requirements Register" sheetId="14" r:id="rId11"/>
    <sheet name="13. IT DR Register" sheetId="22" r:id="rId12"/>
    <sheet name="14. Recovery &amp; Response" sheetId="15" r:id="rId13"/>
    <sheet name="15. BCM Risk Register" sheetId="16" r:id="rId14"/>
    <sheet name="16. CAPA Register" sheetId="26" r:id="rId15"/>
  </sheets>
  <definedNames>
    <definedName name="_xlnm._FilterDatabase" localSheetId="8" hidden="1">'10. Risk Assessment'!$A$4:$T$34</definedName>
    <definedName name="BIAIDs">'07. BIA'!$B$6:$B$285</definedName>
    <definedName name="BusinessUnit">'03. Business Unit Profile'!$T$138:$T$182</definedName>
    <definedName name="BusinessUnits">'10. Risk Assessment'!$C$5</definedName>
    <definedName name="BusinessUnits1">'04. Products &amp; Services'!$C$5:$C$49</definedName>
    <definedName name="CAPA_BIARefs">'07. BIA'!$B$6:$B$285</definedName>
    <definedName name="CAPA_DepRefs">'08. Dependency Register'!$B$5:$B$204</definedName>
    <definedName name="CAPA_DocRefs">'10. Risk Assessment'!$Y$5:$Y$34</definedName>
    <definedName name="CAPA_DRRefs">'13. IT DR Register'!$B$5:$B$204</definedName>
    <definedName name="CAPA_RiskRefs">'10. Risk Assessment'!$B$5:$B$34</definedName>
    <definedName name="CAPA_RRRefs">'14. Recovery &amp; Response'!$B$5:$B$104</definedName>
    <definedName name="DC_1">'09. Risk Assumption Map'!$C$4:$I$4</definedName>
    <definedName name="DependencyBIAIDs">'08. Dependency Register'!$C$5:$C$204</definedName>
    <definedName name="DivisionSite">'03. Business Unit Profile'!$U$138:$U$182</definedName>
    <definedName name="DivisionSites">'04. Products &amp; Services'!$D$5:$D$49</definedName>
    <definedName name="DurationUnits">'03. Business Unit Profile'!$AA$138:$AB$141</definedName>
    <definedName name="E_1">'06. Application &amp; Equipment'!$I$9</definedName>
    <definedName name="E_E">'06. Application &amp; Equipment'!$I$10:$I$34</definedName>
    <definedName name="I_A">'06. Application &amp; Equipment'!$G$10:$G$34</definedName>
    <definedName name="I_S">'06. Application &amp; Equipment'!$H$10:$H$34</definedName>
    <definedName name="ICT_0">'06. Application &amp; Equipment'!$A$10</definedName>
    <definedName name="ICT_1">'06. Application &amp; Equipment'!$G$9</definedName>
    <definedName name="ICT_List">'06. Application &amp; Equipment'!$G$9:$H$9</definedName>
    <definedName name="lstChainCrit">'03. Business Unit Profile'!$K$138:$K$141</definedName>
    <definedName name="lstCorpCrit">'03. Business Unit Profile'!$J$138:$J$140</definedName>
    <definedName name="lstDepCat">'03. Business Unit Profile'!$I$138:$I$144</definedName>
    <definedName name="lstDRStrategy">'03. Business Unit Profile'!$O$138:$O$143</definedName>
    <definedName name="lstISOStatus">'03. Business Unit Profile'!$V$138:$V$141</definedName>
    <definedName name="lstReqCat">'03. Business Unit Profile'!$R$138:$R$143</definedName>
    <definedName name="lstScore">'03. Business Unit Profile'!$H$138:$H$143</definedName>
    <definedName name="lstSPOF">'03. Business Unit Profile'!$Q$138:$Q$139</definedName>
    <definedName name="lstStatus">'03. Business Unit Profile'!$L$138:$L$141</definedName>
    <definedName name="lstStrategy">'03. Business Unit Profile'!$M$138:$M$144</definedName>
    <definedName name="lstTestResult">'03. Business Unit Profile'!$N$138:$N$140</definedName>
    <definedName name="lstYN">'03. Business Unit Profile'!$F$138:$F$139</definedName>
    <definedName name="lstYPN">'03. Business Unit Profile'!$G$138:$G$140</definedName>
    <definedName name="MTPDMap">'03. Business Unit Profile'!$X$138:$Y$146</definedName>
    <definedName name="ProcessProductCodes">'05. Processes &amp; Activities'!$B$5:$B$211</definedName>
    <definedName name="PS_ID">'04. Products &amp; Services'!$B$5:$B$49</definedName>
    <definedName name="RA_ID">'10. Risk Assessment'!$B$5:$B$34</definedName>
    <definedName name="RequirementStrategyIDs">'12. Requirements Register'!$C$5:$C$304</definedName>
    <definedName name="RiskIDs">'10. Risk Assessment'!$B$5:$B$34</definedName>
    <definedName name="RR_BIAs">'14. Recovery &amp; Response'!$T$5:$T$104</definedName>
    <definedName name="RR_ID">'14. Recovery &amp; Response'!$B$5:$B$104</definedName>
    <definedName name="RR_Risk">'14. Recovery &amp; Response'!$S$5:$S$104</definedName>
    <definedName name="RR_SS">'14. Recovery &amp; Response'!$C$5:$C$104</definedName>
    <definedName name="RR_Status">'14. Recovery &amp; Response'!$P$5:$P$104</definedName>
    <definedName name="S_1">'06. Application &amp; Equipment'!$C$11</definedName>
    <definedName name="ScopeNames">'04. Products &amp; Services'!$E$5:$E$49</definedName>
    <definedName name="SS_BIAs">'11. Strategies &amp; Solutions'!$X$5:$X$64</definedName>
    <definedName name="SS_Due">'11. Strategies &amp; Solutions'!$R$5:$R$64</definedName>
    <definedName name="SS_ID">'11. Strategies &amp; Solutions'!$C$5:$C$64</definedName>
    <definedName name="SS_Risk">'11. Strategies &amp; Solutions'!$B$5:$B$64</definedName>
    <definedName name="SS_Status">'11. Strategies &amp; Solutions'!$T$5:$T$64</definedName>
    <definedName name="SSIDs">'11. Strategies &amp; Solutions'!$C$5:$C$64</definedName>
    <definedName name="StrategyRiskIDs">'11. Strategies &amp; Solutions'!$B$5:$B$64</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4" authorId="0" shapeId="0" xr:uid="{98F7BD2D-3C27-48F2-8A11-ECDC7C518D2C}">
      <text>
        <r>
          <rPr>
            <sz val="9"/>
            <color indexed="81"/>
            <rFont val="Tahoma"/>
            <family val="2"/>
          </rPr>
          <t>Product or Service gets created when column E Product/ Service is updated.</t>
        </r>
      </text>
    </comment>
    <comment ref="C4" authorId="0" shapeId="0" xr:uid="{2ED307AD-7989-43B6-83DF-CDF2FA47A180}">
      <text>
        <r>
          <rPr>
            <sz val="9"/>
            <color indexed="81"/>
            <rFont val="Tahoma"/>
            <family val="2"/>
          </rPr>
          <t>Name of the Business unit e.g. Retail, Manufacturing, International</t>
        </r>
      </text>
    </comment>
    <comment ref="D4" authorId="0" shapeId="0" xr:uid="{83F00289-728B-43DA-B00C-9FB13D5D82BA}">
      <text>
        <r>
          <rPr>
            <sz val="9"/>
            <color indexed="81"/>
            <rFont val="Tahoma"/>
            <family val="2"/>
          </rPr>
          <t xml:space="preserve">Name of the Division/ Site for which Business continuityi is planned e.g. Head Office, Plant A, Plant B, Distribution Centre, Country X
</t>
        </r>
      </text>
    </comment>
    <comment ref="E4" authorId="0" shapeId="0" xr:uid="{0BD5E596-9271-44B4-AE54-37B4B48234EB}">
      <text>
        <r>
          <rPr>
            <sz val="9"/>
            <color indexed="81"/>
            <rFont val="Tahoma"/>
            <family val="2"/>
          </rPr>
          <t>Name of Product/ Serviice for which Business continuity is planned</t>
        </r>
      </text>
    </comment>
    <comment ref="F4" authorId="0" shapeId="0" xr:uid="{1A3A50D2-796E-4774-B041-73DFE1238C07}">
      <text>
        <r>
          <rPr>
            <sz val="9"/>
            <color indexed="81"/>
            <rFont val="Tahoma"/>
            <family val="2"/>
          </rPr>
          <t>Name of sub-category of Product/ Serviec if applicable</t>
        </r>
      </text>
    </comment>
    <comment ref="G4" authorId="0" shapeId="0" xr:uid="{DC44FF70-1836-4A7A-BC7D-E4F724389179}">
      <text>
        <r>
          <rPr>
            <sz val="9"/>
            <color indexed="81"/>
            <rFont val="Tahoma"/>
            <family val="2"/>
          </rPr>
          <t>Business Title of Division/ 
site owner</t>
        </r>
      </text>
    </comment>
    <comment ref="H4" authorId="0" shapeId="0" xr:uid="{8E7574C7-0E67-4A49-8E93-15ECE1EF37ED}">
      <text>
        <r>
          <rPr>
            <sz val="9"/>
            <color indexed="81"/>
            <rFont val="Tahoma"/>
            <family val="2"/>
          </rPr>
          <t>Business title of the Head of the Business Unit</t>
        </r>
      </text>
    </comment>
    <comment ref="I4" authorId="0" shapeId="0" xr:uid="{035A9202-BD7F-43FE-9251-235A36A33F5D}">
      <text>
        <r>
          <rPr>
            <sz val="9"/>
            <color indexed="81"/>
            <rFont val="Tahoma"/>
            <family val="2"/>
          </rPr>
          <t>Choose Yes/ No to identify whether the product/ service is considered in scope for business continuity by EVP</t>
        </r>
      </text>
    </comment>
    <comment ref="J4" authorId="0" shapeId="0" xr:uid="{4E26F339-A740-40A9-8E2B-1384CED05D61}">
      <text>
        <r>
          <rPr>
            <sz val="9"/>
            <color indexed="81"/>
            <rFont val="Tahoma"/>
            <family val="2"/>
          </rPr>
          <t xml:space="preserve">Identify if the selected product/ service is critical to business for Business impact analysis (BIA)
</t>
        </r>
      </text>
    </comment>
    <comment ref="K4" authorId="0" shapeId="0" xr:uid="{AFEE5347-D753-415D-B5CD-D2D293F774AE}">
      <text>
        <r>
          <rPr>
            <sz val="9"/>
            <color indexed="81"/>
            <rFont val="Tahoma"/>
            <family val="2"/>
          </rPr>
          <t xml:space="preserve">MBCO (Minimum Business Continuity Objective) identified by Corporate office. i.e. the products/ service should be made available without interpption during crisi situation.
</t>
        </r>
      </text>
    </comment>
    <comment ref="L4" authorId="0" shapeId="0" xr:uid="{06596C9F-10AF-4F1B-951D-EA541A1BE616}">
      <text>
        <r>
          <rPr>
            <sz val="9"/>
            <color indexed="81"/>
            <rFont val="Tahoma"/>
            <family val="2"/>
          </rPr>
          <t xml:space="preserve">MTPD (Maximum Tolerable period of discruption) identified by Corporate for the disruption of the pproduction  of product or delivery of service.
</t>
        </r>
      </text>
    </comment>
    <comment ref="N4" authorId="0" shapeId="0" xr:uid="{C8675ABD-D03F-42BD-8D1E-4BB5E330FBCB}">
      <text>
        <r>
          <rPr>
            <sz val="9"/>
            <color indexed="81"/>
            <rFont val="Tahoma"/>
            <family val="2"/>
          </rPr>
          <t>Business Impact Analysis (BIA) order, gets updated automatically.</t>
        </r>
      </text>
    </comment>
    <comment ref="O4" authorId="0" shapeId="0" xr:uid="{8219D7FF-365B-4394-B73C-45F015867227}">
      <text>
        <r>
          <rPr>
            <sz val="9"/>
            <color indexed="81"/>
            <rFont val="Tahoma"/>
            <family val="2"/>
          </rPr>
          <t>MTPD (Maximum Tolerable Period of Disruption) identified during in Sheet 3 BIA (Business Impact Analysis)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4" authorId="0" shapeId="0" xr:uid="{D9CE3272-0313-48AC-887E-4911C74E0ED8}">
      <text>
        <r>
          <rPr>
            <sz val="9"/>
            <color indexed="81"/>
            <rFont val="Tahoma"/>
            <family val="2"/>
          </rPr>
          <t>Product Code created in column B of Sheet 2. Choose from Product code for which Process details to be identified.</t>
        </r>
      </text>
    </comment>
    <comment ref="C4" authorId="0" shapeId="0" xr:uid="{B0E5BCCB-9CBE-418B-9E49-8DBFD379F020}">
      <text>
        <r>
          <rPr>
            <sz val="9"/>
            <color indexed="81"/>
            <rFont val="Tahoma"/>
            <family val="2"/>
          </rPr>
          <t>Associated details of Product and Services picked automaticall from Col E of Sheet 2</t>
        </r>
      </text>
    </comment>
    <comment ref="D4" authorId="0" shapeId="0" xr:uid="{A1A1D118-A98F-4EBE-8226-9B6CDD4BE120}">
      <text>
        <r>
          <rPr>
            <sz val="9"/>
            <color indexed="81"/>
            <rFont val="Tahoma"/>
            <family val="2"/>
          </rPr>
          <t>Provide details of activities performed within the process</t>
        </r>
      </text>
    </comment>
    <comment ref="E4" authorId="0" shapeId="0" xr:uid="{00587BA0-EA9A-4347-9061-8EB84C27CC99}">
      <text>
        <r>
          <rPr>
            <sz val="9"/>
            <color indexed="81"/>
            <rFont val="Tahoma"/>
            <family val="2"/>
          </rPr>
          <t>Capture the frequency o fhe process (Daily, Weekly, Monthly , Yearly) from the dropdown list</t>
        </r>
      </text>
    </comment>
    <comment ref="F4" authorId="0" shapeId="0" xr:uid="{A2E89846-DFE2-4375-B848-21E406CEE61C}">
      <text>
        <r>
          <rPr>
            <sz val="9"/>
            <color indexed="81"/>
            <rFont val="Tahoma"/>
            <family val="2"/>
          </rPr>
          <t>Capture the peak period for this process e.g Ramadan, Bakr-Id</t>
        </r>
      </text>
    </comment>
    <comment ref="H4" authorId="0" shapeId="0" xr:uid="{4EBEC7FC-8A28-4446-B4B3-7FB472F7D9AC}">
      <text>
        <r>
          <rPr>
            <sz val="9"/>
            <color indexed="81"/>
            <rFont val="Tahoma"/>
            <family val="2"/>
          </rPr>
          <t>Mention current staff strength available to perform activities of this process</t>
        </r>
      </text>
    </comment>
    <comment ref="I4" authorId="0" shapeId="0" xr:uid="{862CF163-949D-40A3-8972-C7EBAE8D0993}">
      <text>
        <r>
          <rPr>
            <sz val="9"/>
            <color indexed="81"/>
            <rFont val="Tahoma"/>
            <family val="2"/>
          </rPr>
          <t>Identify whether this process can be done remotely from other office or work from home from dropdown list</t>
        </r>
      </text>
    </comment>
    <comment ref="J4" authorId="0" shapeId="0" xr:uid="{3C553570-D191-45BE-8911-CFE5A47F9BDA}">
      <text>
        <r>
          <rPr>
            <sz val="9"/>
            <color indexed="81"/>
            <rFont val="Tahoma"/>
            <family val="2"/>
          </rPr>
          <t>MTPD (Minimum Tolerable Period of Disruption) identified in Sheet 3 during Business Impact Analysis (BIA). Auto filled.</t>
        </r>
      </text>
    </comment>
    <comment ref="K4" authorId="0" shapeId="0" xr:uid="{D990987C-1B8A-4882-92EF-34C193B79CBF}">
      <text>
        <r>
          <rPr>
            <sz val="9"/>
            <color indexed="81"/>
            <rFont val="Tahoma"/>
            <family val="2"/>
          </rPr>
          <t xml:space="preserve">RTO (Recovery Time Objective) captured in Sheet 3 during Business Impact Analysis (BIA)
</t>
        </r>
      </text>
    </comment>
    <comment ref="L4" authorId="0" shapeId="0" xr:uid="{BBE272A7-71E4-4DC0-9EBC-8ACACE107B22}">
      <text>
        <r>
          <rPr>
            <sz val="9"/>
            <color indexed="81"/>
            <rFont val="Tahoma"/>
            <family val="2"/>
          </rPr>
          <t xml:space="preserve">Capture any rationale for reference.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G8" authorId="0" shapeId="0" xr:uid="{7C8FE35F-FD9B-44D2-B454-85B439FF8940}">
      <text>
        <r>
          <rPr>
            <sz val="9"/>
            <color indexed="81"/>
            <rFont val="Tahoma"/>
            <family val="2"/>
          </rPr>
          <t>ICT (Information and Communication Technology)</t>
        </r>
      </text>
    </comment>
    <comment ref="A9" authorId="0" shapeId="0" xr:uid="{C0A56704-39E6-41B4-825F-1A2C14625470}">
      <text>
        <r>
          <rPr>
            <sz val="9"/>
            <color indexed="81"/>
            <rFont val="Tahoma"/>
            <family val="2"/>
          </rPr>
          <t>IT (Information Technology) dependencies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4" authorId="0" shapeId="0" xr:uid="{39373352-81DA-414B-9C34-DAB38152C283}">
      <text>
        <r>
          <rPr>
            <sz val="9"/>
            <color indexed="81"/>
            <rFont val="Tahoma"/>
            <family val="2"/>
          </rPr>
          <t>Business impact analysis (BIA) #when a Col E, I, J and N are updated in Sheet 2.</t>
        </r>
      </text>
    </comment>
    <comment ref="C4" authorId="0" shapeId="0" xr:uid="{33E7F0FF-1F1D-477A-AF4E-42E7CA12D8E2}">
      <text>
        <r>
          <rPr>
            <sz val="9"/>
            <color indexed="81"/>
            <rFont val="Tahoma"/>
            <family val="2"/>
          </rPr>
          <t>Product / Service detail updated from Sheet 2 based on Col B.</t>
        </r>
      </text>
    </comment>
    <comment ref="D4" authorId="0" shapeId="0" xr:uid="{EE1E7AF8-3B92-4FE9-8240-4ECDABF73047}">
      <text>
        <r>
          <rPr>
            <sz val="9"/>
            <color indexed="81"/>
            <rFont val="Tahoma"/>
            <family val="2"/>
          </rPr>
          <t>Product / Service detail updated from Sheet 2 based on Col B.</t>
        </r>
      </text>
    </comment>
    <comment ref="E4" authorId="0" shapeId="0" xr:uid="{EAF46CF3-733D-48DE-8C7C-C3483A1088E5}">
      <text>
        <r>
          <rPr>
            <sz val="9"/>
            <color indexed="81"/>
            <rFont val="Tahoma"/>
            <family val="2"/>
          </rPr>
          <t>Product / Service detail updated from Sheet 2 based on Col B.</t>
        </r>
      </text>
    </comment>
    <comment ref="F4" authorId="0" shapeId="0" xr:uid="{27248680-8F66-4305-A8AB-4A0F431A1285}">
      <text>
        <r>
          <rPr>
            <sz val="9"/>
            <color indexed="81"/>
            <rFont val="Tahoma"/>
            <family val="2"/>
          </rPr>
          <t>Product/ Serviice ID created automatically from Sheet 2 based on Column C</t>
        </r>
      </text>
    </comment>
    <comment ref="G4" authorId="0" shapeId="0" xr:uid="{A45087D7-EEEF-4E76-ACE1-5B8B229649F4}">
      <text>
        <r>
          <rPr>
            <sz val="9"/>
            <color indexed="81"/>
            <rFont val="Tahoma"/>
            <family val="2"/>
          </rPr>
          <t>Risk identification is covered in Column E &amp; F by identifying the dependencies which will impact the production of Product or Delivery of Service.</t>
        </r>
      </text>
    </comment>
    <comment ref="I4" authorId="0" shapeId="0" xr:uid="{982DBCF5-2F03-41D0-A4C7-7F28F37050E2}">
      <text>
        <r>
          <rPr>
            <sz val="9"/>
            <color indexed="81"/>
            <rFont val="Tahoma"/>
            <family val="2"/>
          </rPr>
          <t xml:space="preserve">The impact categories identified by ERM team is lsited. Against each category impact over time at which the loss of the product / service is not manageble to be identified over Columns H to P. This done by giving a rating of 1 to 5. 1 being lowest and 5 being highest. The time at whcih impact is rating 4 (Significant) it is treated as MTPD (Maximum Tolerable Period of disrutpion) for that category.
</t>
        </r>
      </text>
    </comment>
    <comment ref="J4" authorId="0" shapeId="0" xr:uid="{080DF88C-FE6F-4206-9BC0-A5A90268B50B}">
      <text>
        <r>
          <rPr>
            <sz val="9"/>
            <color indexed="81"/>
            <rFont val="Tahoma"/>
            <family val="2"/>
          </rPr>
          <t>Impact over time is identified over Columns H to P.</t>
        </r>
      </text>
    </comment>
    <comment ref="G5" authorId="0" shapeId="0" xr:uid="{B253191B-71EB-49DA-97FB-AF10EFF36427}">
      <text>
        <r>
          <rPr>
            <sz val="9"/>
            <color indexed="81"/>
            <rFont val="Tahoma"/>
            <family val="2"/>
          </rPr>
          <t>Dependencies listed whicn can impact the delviery of Product / Service to be identified by selecting Yes/ No adjacent column F.
 are considered</t>
        </r>
      </text>
    </comment>
    <comment ref="H5" authorId="0" shapeId="0" xr:uid="{18D83DF8-B7B8-43A6-8AF0-AEA0C9EF99E3}">
      <text>
        <r>
          <rPr>
            <sz val="9"/>
            <color indexed="81"/>
            <rFont val="Tahoma"/>
            <family val="2"/>
          </rPr>
          <t>Identify whether the dependencies is Column E will disrupt the production of product or delivery of service</t>
        </r>
      </text>
    </comment>
    <comment ref="S5" authorId="0" shapeId="0" xr:uid="{DE5C7B37-B85C-4181-9D41-B2ECFAF18C9E}">
      <text>
        <r>
          <rPr>
            <sz val="9"/>
            <color indexed="81"/>
            <rFont val="Tahoma"/>
            <family val="2"/>
          </rPr>
          <t>Captures the maximum impact rating across all impact types for the BIA of Product/ Service under consideration. Auto updated.</t>
        </r>
      </text>
    </comment>
    <comment ref="T5" authorId="0" shapeId="0" xr:uid="{FA193E13-55E6-44AA-B4FB-04B264F3916A}">
      <text>
        <r>
          <rPr>
            <sz val="9"/>
            <color indexed="81"/>
            <rFont val="Tahoma"/>
            <family val="2"/>
          </rPr>
          <t xml:space="preserve">Captures the impact types which are critical. Auto updated.
</t>
        </r>
      </text>
    </comment>
    <comment ref="U5" authorId="0" shapeId="0" xr:uid="{A6D8586A-DB4F-4EC4-9BAF-4144E25294B4}">
      <text>
        <r>
          <rPr>
            <sz val="9"/>
            <color indexed="81"/>
            <rFont val="Tahoma"/>
            <family val="2"/>
          </rPr>
          <t>Auto update of criticalilty identified by Corporate captured in Col J of Sheet 2</t>
        </r>
      </text>
    </comment>
    <comment ref="V5" authorId="0" shapeId="0" xr:uid="{6EC372A7-3E6B-42CD-BD20-0D5106517D91}">
      <text>
        <r>
          <rPr>
            <sz val="9"/>
            <color indexed="81"/>
            <rFont val="Tahoma"/>
            <family val="2"/>
          </rPr>
          <t>Capture if this Product/ Service is critical to Busienss Unit (BU) in case Criticality is not captured by Corporate or Criticality tagged as Yes/ No from dropdown list from the view of BU also.</t>
        </r>
      </text>
    </comment>
    <comment ref="W5" authorId="0" shapeId="0" xr:uid="{B6E2DDCB-BFCB-4DE4-8594-79B7E206C647}">
      <text>
        <r>
          <rPr>
            <sz val="9"/>
            <color indexed="81"/>
            <rFont val="Tahoma"/>
            <family val="2"/>
          </rPr>
          <t>Final criticality calculated automaticlly based on values in Column S and T.</t>
        </r>
      </text>
    </comment>
    <comment ref="X5" authorId="0" shapeId="0" xr:uid="{88FFCBC9-CE88-4A27-BA1F-CE090AE7383F}">
      <text>
        <r>
          <rPr>
            <sz val="9"/>
            <color indexed="81"/>
            <rFont val="Tahoma"/>
            <family val="2"/>
          </rPr>
          <t>MBCO (Minimimum Business Continuity Objective) identified by Corporare is auto updated from Column K of sheet 2</t>
        </r>
      </text>
    </comment>
    <comment ref="Y5" authorId="0" shapeId="0" xr:uid="{057988A2-C111-4F4E-A1BC-1E95EE97A5A5}">
      <text>
        <r>
          <rPr>
            <sz val="9"/>
            <color indexed="81"/>
            <rFont val="Tahoma"/>
            <family val="2"/>
          </rPr>
          <t>MBCO (Minimum Business Continuity Objective) to be filled by Business Unit (BU) if it is not provided by the Corporate.</t>
        </r>
      </text>
    </comment>
    <comment ref="Z5" authorId="0" shapeId="0" xr:uid="{CA151C04-421A-4B4B-90D1-B82FA8657F26}">
      <text>
        <r>
          <rPr>
            <sz val="9"/>
            <color indexed="81"/>
            <rFont val="Tahoma"/>
            <family val="2"/>
          </rPr>
          <t>Provide justification for choosing the MBCO (Minimum Business Continuity  Objective) for this Product/ Service</t>
        </r>
      </text>
    </comment>
    <comment ref="AA5" authorId="0" shapeId="0" xr:uid="{79D7F833-34F9-44DD-81CA-4A0E5F992AAD}">
      <text>
        <r>
          <rPr>
            <sz val="9"/>
            <color indexed="81"/>
            <rFont val="Tahoma"/>
            <family val="2"/>
          </rPr>
          <t>MTPD (Minium Tolerable Period of Disruption) identified in Columns J to P is captured here automatically.</t>
        </r>
      </text>
    </comment>
    <comment ref="AB5" authorId="0" shapeId="0" xr:uid="{62CDA8D2-09B7-4881-B5FE-27D60FF5FC6A}">
      <text>
        <r>
          <rPr>
            <sz val="9"/>
            <color indexed="81"/>
            <rFont val="Tahoma"/>
            <family val="2"/>
          </rPr>
          <t>MTPD (Maximum Tolerable Period of Disruption) identified by Corporate in Column L of Sheet 2 is updated here automatically.</t>
        </r>
      </text>
    </comment>
    <comment ref="AC5" authorId="0" shapeId="0" xr:uid="{618972E4-0358-43B0-9E3C-6212763BF617}">
      <text>
        <r>
          <rPr>
            <sz val="9"/>
            <color indexed="81"/>
            <rFont val="Tahoma"/>
            <family val="2"/>
          </rPr>
          <t xml:space="preserve">RTO (Recovery Time Objective) for the Product/ Service considered to be updated by BU (Business Unit ) team.
</t>
        </r>
      </text>
    </comment>
    <comment ref="AD5" authorId="0" shapeId="0" xr:uid="{DB820D65-08B2-4864-BFFE-FA0C430D491B}">
      <text>
        <r>
          <rPr>
            <sz val="9"/>
            <color indexed="81"/>
            <rFont val="Tahoma"/>
            <family val="2"/>
          </rPr>
          <t xml:space="preserve">RTO (Recovery Time Objective) captured in Column AA is convered to numeric value for calculation. Auto updated.
</t>
        </r>
      </text>
    </comment>
    <comment ref="AE5" authorId="0" shapeId="0" xr:uid="{BC3E99FB-8063-4C13-A1A9-0AA68FBD98A9}">
      <text>
        <r>
          <rPr>
            <sz val="9"/>
            <color indexed="81"/>
            <rFont val="Tahoma"/>
            <family val="2"/>
          </rPr>
          <t>Recovery Point Objective (RPO) to be identified by Business Unit (BU) team if impact of Data is considered.</t>
        </r>
      </text>
    </comment>
    <comment ref="AF5" authorId="0" shapeId="0" xr:uid="{25C39F2C-D29C-47B1-A32B-525E2E44A3B5}">
      <text>
        <r>
          <rPr>
            <sz val="9"/>
            <color indexed="81"/>
            <rFont val="Tahoma"/>
            <family val="2"/>
          </rPr>
          <t>Date on which this Business Impact Assessment (BIA) was made.</t>
        </r>
      </text>
    </comment>
    <comment ref="AG5" authorId="0" shapeId="0" xr:uid="{E3F4880B-3B85-48C5-A169-9852EFC8BFA9}">
      <text>
        <r>
          <rPr>
            <sz val="9"/>
            <color indexed="81"/>
            <rFont val="Tahoma"/>
            <family val="2"/>
          </rPr>
          <t>Validity of the assessment is updated automatically.</t>
        </r>
      </text>
    </comment>
    <comment ref="AH5" authorId="0" shapeId="0" xr:uid="{6FDEEF06-F3C5-4C86-9EC8-DAE486EFE938}">
      <text>
        <r>
          <rPr>
            <sz val="9"/>
            <color indexed="81"/>
            <rFont val="Tahoma"/>
            <family val="2"/>
          </rPr>
          <t>Associated Risk ID's for this product/ Service is updated automatically.</t>
        </r>
      </text>
    </comment>
    <comment ref="AI5" authorId="0" shapeId="0" xr:uid="{A78D1F5E-3DFE-424B-89B8-B296182EEDDE}">
      <text>
        <r>
          <rPr>
            <sz val="9"/>
            <color indexed="81"/>
            <rFont val="Tahoma"/>
            <family val="2"/>
          </rPr>
          <t>Associated Strategiies &amp; Solutions (S &amp; S) #'s for this product/ Service from Sheet 5 is updated automatically.</t>
        </r>
      </text>
    </comment>
    <comment ref="AJ5" authorId="0" shapeId="0" xr:uid="{C6041B9B-4C78-4600-B71C-1B180FD3B7F6}">
      <text>
        <r>
          <rPr>
            <sz val="9"/>
            <color indexed="81"/>
            <rFont val="Tahoma"/>
            <family val="2"/>
          </rPr>
          <t>Associated Recovery &amp; Response (R &amp; R) ID's for this product/ Service created in Sheet 6 is updated automatically.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4" authorId="0" shapeId="0" xr:uid="{38241F83-D7A7-4222-97ED-9144A0054471}">
      <text>
        <r>
          <rPr>
            <sz val="9"/>
            <color indexed="81"/>
            <rFont val="Tahoma"/>
            <family val="2"/>
          </rPr>
          <t>Dependency ID. Created when Collumn I is updated automatically</t>
        </r>
      </text>
    </comment>
    <comment ref="C4" authorId="0" shapeId="0" xr:uid="{0D699511-6228-4F47-8964-E168A30B4943}">
      <text>
        <r>
          <rPr>
            <sz val="9"/>
            <color indexed="81"/>
            <rFont val="Tahoma"/>
            <family val="2"/>
          </rPr>
          <t>Business Impact Analyisis  (BIA) #. Dropdown list from BIA ID is created in Column B of Sheet  3.</t>
        </r>
      </text>
    </comment>
    <comment ref="D4" authorId="0" shapeId="0" xr:uid="{FEEB44A9-C75C-4F63-8177-22D50F347E52}">
      <text>
        <r>
          <rPr>
            <sz val="9"/>
            <color indexed="81"/>
            <rFont val="Tahoma"/>
            <family val="2"/>
          </rPr>
          <t>Product/ Service considered in BIA taken from Sheet 3 automatically.</t>
        </r>
      </text>
    </comment>
    <comment ref="E4" authorId="0" shapeId="0" xr:uid="{C3B28C83-F3B5-4B8D-B3A1-FDB730959DE5}">
      <text>
        <r>
          <rPr>
            <sz val="9"/>
            <color indexed="81"/>
            <rFont val="Tahoma"/>
            <family val="2"/>
          </rPr>
          <t xml:space="preserve">Product/ Service ID picked from Sheet 2 based on Column D.
</t>
        </r>
      </text>
    </comment>
    <comment ref="F4" authorId="0" shapeId="0" xr:uid="{689C8985-1309-4296-9450-EC7EEC0B05DE}">
      <text>
        <r>
          <rPr>
            <sz val="9"/>
            <color indexed="81"/>
            <rFont val="Tahoma"/>
            <family val="2"/>
          </rPr>
          <t>Select all the Dependency categories identified as impacting in Column F of Sheet 3 Subcategory can be chosed only for ICT and Equipment (Operations Technology)</t>
        </r>
      </text>
    </comment>
    <comment ref="G4" authorId="0" shapeId="0" xr:uid="{660252C2-FD41-4040-BFE5-8F7AA392DC4F}">
      <text>
        <r>
          <rPr>
            <sz val="9"/>
            <color indexed="81"/>
            <rFont val="Tahoma"/>
            <family val="2"/>
          </rPr>
          <t>Choose subcategory if ICT or Equipment is chosen in Column F.</t>
        </r>
      </text>
    </comment>
    <comment ref="H4" authorId="0" shapeId="0" xr:uid="{18EE1CF2-C158-4B01-8A47-44D5FADE4E3E}">
      <text>
        <r>
          <rPr>
            <sz val="9"/>
            <color indexed="81"/>
            <rFont val="Tahoma"/>
            <family val="2"/>
          </rPr>
          <t>Choose the applicable Application, Service or Equipment. List of applications, services and equipment to be created in Sheet 3c Application equp list specific to the Business Unit (BU).</t>
        </r>
      </text>
    </comment>
    <comment ref="I4" authorId="0" shapeId="0" xr:uid="{0AD1A6DD-B6C6-4612-BD73-7E17DA502952}">
      <text>
        <r>
          <rPr>
            <sz val="9"/>
            <color indexed="81"/>
            <rFont val="Tahoma"/>
            <family val="2"/>
          </rPr>
          <t>Provide name for the dependency</t>
        </r>
      </text>
    </comment>
    <comment ref="J4" authorId="0" shapeId="0" xr:uid="{4E6AFD8E-CF7A-450A-9715-4A812B8D6267}">
      <text>
        <r>
          <rPr>
            <sz val="9"/>
            <color indexed="81"/>
            <rFont val="Tahoma"/>
            <family val="2"/>
          </rPr>
          <t>Provide description for the dependency.</t>
        </r>
      </text>
    </comment>
    <comment ref="K4" authorId="0" shapeId="0" xr:uid="{55B17F4B-237E-4D1A-8148-EFC8DA808ECB}">
      <text>
        <r>
          <rPr>
            <sz val="9"/>
            <color indexed="81"/>
            <rFont val="Tahoma"/>
            <family val="2"/>
          </rPr>
          <t>Identify if this dependency is SPOF (Single Point of Failure)</t>
        </r>
      </text>
    </comment>
    <comment ref="L4" authorId="0" shapeId="0" xr:uid="{0AD523CE-9602-4033-8D9B-6C3445557406}">
      <text>
        <r>
          <rPr>
            <sz val="9"/>
            <color indexed="81"/>
            <rFont val="Tahoma"/>
            <family val="2"/>
          </rPr>
          <t xml:space="preserve">Capture the business title of the owner of the Dependency.
</t>
        </r>
      </text>
    </comment>
    <comment ref="M4" authorId="0" shapeId="0" xr:uid="{501C7BFF-3CBA-4EA0-A19C-19B0FD239833}">
      <text>
        <r>
          <rPr>
            <sz val="9"/>
            <color indexed="81"/>
            <rFont val="Tahoma"/>
            <family val="2"/>
          </rPr>
          <t>Add any additional informtion required.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4" authorId="0" shapeId="0" xr:uid="{96063A36-D1D5-4008-9417-9F1C26A0E77F}">
      <text>
        <r>
          <rPr>
            <sz val="9"/>
            <color indexed="81"/>
            <rFont val="Tahoma"/>
            <family val="2"/>
          </rPr>
          <t xml:space="preserve">Risk ID gets generated when Column G is updated
</t>
        </r>
      </text>
    </comment>
    <comment ref="C4" authorId="0" shapeId="0" xr:uid="{273CEF11-D825-4370-B346-8136539A5F51}">
      <text>
        <r>
          <rPr>
            <sz val="9"/>
            <color indexed="81"/>
            <rFont val="Tahoma"/>
            <family val="2"/>
          </rPr>
          <t>BU (Business Unit) e.g. Retail, Manufacturing, International</t>
        </r>
      </text>
    </comment>
    <comment ref="D4" authorId="0" shapeId="0" xr:uid="{24D40360-B644-433D-9EE1-3954795526EE}">
      <text>
        <r>
          <rPr>
            <sz val="9"/>
            <color indexed="81"/>
            <rFont val="Tahoma"/>
            <family val="2"/>
          </rPr>
          <t>Division within the BU considered for Business Continuity planning) e.g. Plant A, Distribution Centre, Country X</t>
        </r>
      </text>
    </comment>
    <comment ref="E4" authorId="0" shapeId="0" xr:uid="{E1793117-DD5B-4EDF-BDA2-BEBD0DB643F2}">
      <text>
        <r>
          <rPr>
            <sz val="9"/>
            <color indexed="81"/>
            <rFont val="Tahoma"/>
            <family val="2"/>
          </rPr>
          <t xml:space="preserve">List all the dependencis identified in Sheet 3 BIA Column F by choosing from dropdown list.
</t>
        </r>
      </text>
    </comment>
    <comment ref="G4" authorId="0" shapeId="0" xr:uid="{723198D0-E23A-4C2D-A5BC-C756BE2B9C83}">
      <text>
        <r>
          <rPr>
            <sz val="9"/>
            <color indexed="81"/>
            <rFont val="Tahoma"/>
            <family val="2"/>
          </rPr>
          <t>Choose Risk scenario assumed for the dependency category</t>
        </r>
      </text>
    </comment>
    <comment ref="H4" authorId="0" shapeId="0" xr:uid="{17A431D6-AA60-4E2E-ACF2-0AD171BD0CE6}">
      <text>
        <r>
          <rPr>
            <sz val="9"/>
            <color indexed="81"/>
            <rFont val="Tahoma"/>
            <family val="2"/>
          </rPr>
          <t>Scenario description is updated automatically baed on Column F</t>
        </r>
      </text>
    </comment>
    <comment ref="I4" authorId="0" shapeId="0" xr:uid="{18BB6E47-67D3-40E3-A74C-9F6C0BB52941}">
      <text>
        <r>
          <rPr>
            <sz val="9"/>
            <color indexed="81"/>
            <rFont val="Tahoma"/>
            <family val="2"/>
          </rPr>
          <t xml:space="preserve">Capture the Risk ID  # if this risk is already identified in ERM Risk register.
</t>
        </r>
      </text>
    </comment>
    <comment ref="J4" authorId="0" shapeId="0" xr:uid="{113025B3-67A2-417F-AB8C-15E947702B08}">
      <text>
        <r>
          <rPr>
            <sz val="9"/>
            <color indexed="81"/>
            <rFont val="Tahoma"/>
            <family val="2"/>
          </rPr>
          <t xml:space="preserve">Capture the implementtion controls mentioned in ERM register </t>
        </r>
      </text>
    </comment>
    <comment ref="K4" authorId="0" shapeId="0" xr:uid="{B813C15C-9BC0-47A4-A84E-0D5BCE7BF8B1}">
      <text>
        <r>
          <rPr>
            <sz val="9"/>
            <color indexed="81"/>
            <rFont val="Tahoma"/>
            <family val="2"/>
          </rPr>
          <t>Update Residual likelihood captured in ERM risk register.</t>
        </r>
      </text>
    </comment>
    <comment ref="L4" authorId="0" shapeId="0" xr:uid="{8A090114-95B4-40C7-A50B-51F7131D6ACC}">
      <text>
        <r>
          <rPr>
            <sz val="9"/>
            <color indexed="81"/>
            <rFont val="Tahoma"/>
            <family val="2"/>
          </rPr>
          <t>Likelihood rating gets updated automatically based on Column K value.</t>
        </r>
      </text>
    </comment>
    <comment ref="M4" authorId="0" shapeId="0" xr:uid="{F9C0B50E-34DD-4B1E-ADE1-01A642F61111}">
      <text>
        <r>
          <rPr>
            <sz val="9"/>
            <color indexed="81"/>
            <rFont val="Tahoma"/>
            <family val="2"/>
          </rPr>
          <t>Capture Residual impact rating catured in ERM risk register.</t>
        </r>
      </text>
    </comment>
    <comment ref="N4" authorId="0" shapeId="0" xr:uid="{DEC759A1-0DC0-4C55-A8D3-A7DFE9879600}">
      <text>
        <r>
          <rPr>
            <sz val="9"/>
            <color indexed="81"/>
            <rFont val="Tahoma"/>
            <family val="2"/>
          </rPr>
          <t>Risk impact rating gets updated automatically based on Column N value.</t>
        </r>
      </text>
    </comment>
    <comment ref="O4" authorId="0" shapeId="0" xr:uid="{EA11B593-4A83-4768-B7BD-4FEDDECAEC35}">
      <text>
        <r>
          <rPr>
            <sz val="9"/>
            <color indexed="81"/>
            <rFont val="Tahoma"/>
            <family val="2"/>
          </rPr>
          <t>Risk refernce gets updated automatically based on ERM guidance automatically</t>
        </r>
      </text>
    </comment>
    <comment ref="P4" authorId="0" shapeId="0" xr:uid="{65E5703A-3FDF-457F-AC3D-981A17FEBDE2}">
      <text>
        <r>
          <rPr>
            <sz val="9"/>
            <color indexed="81"/>
            <rFont val="Tahoma"/>
            <family val="2"/>
          </rPr>
          <t>Risk rating updaed automatically based on Column O value.</t>
        </r>
      </text>
    </comment>
    <comment ref="Q4" authorId="0" shapeId="0" xr:uid="{9B3EA757-56DC-42C8-809A-BB1D2833DF74}">
      <text>
        <r>
          <rPr>
            <sz val="9"/>
            <color indexed="81"/>
            <rFont val="Tahoma"/>
            <family val="2"/>
          </rPr>
          <t xml:space="preserve">BCP (Business Continuity Plan)  Priority gets updated automatically based on Column P value
</t>
        </r>
      </text>
    </comment>
    <comment ref="R4" authorId="0" shapeId="0" xr:uid="{A6F7EC93-D41D-41D2-86FD-B24482F3A9CD}">
      <text>
        <r>
          <rPr>
            <sz val="9"/>
            <color indexed="81"/>
            <rFont val="Tahoma"/>
            <family val="2"/>
          </rPr>
          <t>Add any additional inputs in Remarks.</t>
        </r>
      </text>
    </comment>
    <comment ref="S4" authorId="0" shapeId="0" xr:uid="{7DD84E95-B1C7-40A8-924B-726D6EE1D817}">
      <text>
        <r>
          <rPr>
            <sz val="9"/>
            <color indexed="81"/>
            <rFont val="Tahoma"/>
            <family val="2"/>
          </rPr>
          <t xml:space="preserve"> S &amp; S # (Strategy and Solution ) # associated to this Risk.</t>
        </r>
      </text>
    </comment>
    <comment ref="T4" authorId="0" shapeId="0" xr:uid="{A9AB12FE-BFA5-461E-A332-123C6A73B2B6}">
      <text>
        <r>
          <rPr>
            <sz val="9"/>
            <color indexed="81"/>
            <rFont val="Tahoma"/>
            <family val="2"/>
          </rPr>
          <t>Response and Recovery (R &amp; R) ID's associated to this Risk ID.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4" authorId="0" shapeId="0" xr:uid="{D65084EA-AD23-4B17-8CB6-BB43EBB8CE2D}">
      <text>
        <r>
          <rPr>
            <sz val="9"/>
            <color indexed="81"/>
            <rFont val="Tahoma"/>
            <family val="2"/>
          </rPr>
          <t>Risk ID to be selected from drop down list for which Strategies and Soluton to be identifeid. Risk ID's which have been already captured in ERM risk register shall not be considered for Strategies and Soluton exercise.</t>
        </r>
      </text>
    </comment>
    <comment ref="C4" authorId="0" shapeId="0" xr:uid="{967C09C4-4C57-4E2D-98FA-1758BE66672A}">
      <text>
        <r>
          <rPr>
            <sz val="9"/>
            <color indexed="81"/>
            <rFont val="Tahoma"/>
            <family val="2"/>
          </rPr>
          <t>S &amp; S (Strategies and Solutions) # gets created automatically when Risk ID is selected.</t>
        </r>
      </text>
    </comment>
    <comment ref="D4" authorId="0" shapeId="0" xr:uid="{1E4E3CBE-D3CE-4071-91FF-9D47232E9A97}">
      <text>
        <r>
          <rPr>
            <sz val="9"/>
            <color indexed="81"/>
            <rFont val="Tahoma"/>
            <family val="2"/>
          </rPr>
          <t>Dependency category gets updated based on Column c.</t>
        </r>
      </text>
    </comment>
    <comment ref="E4" authorId="0" shapeId="0" xr:uid="{5780F775-4D0A-492B-9B88-7E7E4DD1FA84}">
      <text>
        <r>
          <rPr>
            <sz val="9"/>
            <color indexed="81"/>
            <rFont val="Tahoma"/>
            <family val="2"/>
          </rPr>
          <t>Risk assumption gets updated based on Column C.</t>
        </r>
      </text>
    </comment>
    <comment ref="F4" authorId="0" shapeId="0" xr:uid="{A14AF4AB-B504-413B-A7EA-192E72D77C9C}">
      <text>
        <r>
          <rPr>
            <sz val="9"/>
            <color indexed="81"/>
            <rFont val="Tahoma"/>
            <family val="2"/>
          </rPr>
          <t>Business Disruption Scenario gets updated based on Column C.</t>
        </r>
      </text>
    </comment>
    <comment ref="G4" authorId="0" shapeId="0" xr:uid="{3436428D-C649-47E2-9333-34165252DE43}">
      <text>
        <r>
          <rPr>
            <sz val="9"/>
            <color indexed="81"/>
            <rFont val="Tahoma"/>
            <family val="2"/>
          </rPr>
          <t>Count of Product and Services associated to this Risk is updated based on column C.</t>
        </r>
      </text>
    </comment>
    <comment ref="H4" authorId="0" shapeId="0" xr:uid="{F1AB1D90-FB22-4AB4-84E7-D8AEAABA04F8}">
      <text>
        <r>
          <rPr>
            <sz val="9"/>
            <color indexed="81"/>
            <rFont val="Tahoma"/>
            <family val="2"/>
          </rPr>
          <t xml:space="preserve">For risks which are captured in ERM risk register select Do Nothing, as strategy to mitigate would have been identified already. For others choose strategy and continue.
</t>
        </r>
      </text>
    </comment>
    <comment ref="I4" authorId="0" shapeId="0" xr:uid="{49238DE5-F5FA-439F-BBE1-CB4B47B29B7E}">
      <text>
        <r>
          <rPr>
            <sz val="9"/>
            <color indexed="81"/>
            <rFont val="Tahoma"/>
            <family val="2"/>
          </rPr>
          <t>Provide details of Strategies and Solutions planned.</t>
        </r>
      </text>
    </comment>
    <comment ref="J4" authorId="0" shapeId="0" xr:uid="{67F43FA2-DF81-472D-8596-AB1E6D53F4EF}">
      <text>
        <r>
          <rPr>
            <sz val="9"/>
            <color indexed="81"/>
            <rFont val="Tahoma"/>
            <family val="2"/>
          </rPr>
          <t>Choose which all requirements are applicable for supporting the Strategy and Solution.</t>
        </r>
      </text>
    </comment>
    <comment ref="P4" authorId="0" shapeId="0" xr:uid="{C9CCA01D-D9B4-4812-AE26-3BE247D9C268}">
      <text>
        <r>
          <rPr>
            <sz val="9"/>
            <color indexed="81"/>
            <rFont val="Tahoma"/>
            <family val="2"/>
          </rPr>
          <t>Capture the Business title of the person in charge of implementing this strategy and soluton.</t>
        </r>
      </text>
    </comment>
    <comment ref="Q4" authorId="0" shapeId="0" xr:uid="{43145758-613C-45A9-93E1-873571512C15}">
      <text>
        <r>
          <rPr>
            <sz val="9"/>
            <color indexed="81"/>
            <rFont val="Tahoma"/>
            <family val="2"/>
          </rPr>
          <t>Capture the planned start date of the solution implementation.</t>
        </r>
      </text>
    </comment>
    <comment ref="S4" authorId="0" shapeId="0" xr:uid="{996E3397-EB33-4769-B1F9-56D5EE9A5AC0}">
      <text>
        <r>
          <rPr>
            <sz val="9"/>
            <color indexed="81"/>
            <rFont val="Tahoma"/>
            <family val="2"/>
          </rPr>
          <t>Capture the planned completion date of the solution implementation.</t>
        </r>
      </text>
    </comment>
    <comment ref="T4" authorId="0" shapeId="0" xr:uid="{0C7E07F9-35AA-4484-B151-76C00974AE23}">
      <text>
        <r>
          <rPr>
            <sz val="9"/>
            <color indexed="81"/>
            <rFont val="Tahoma"/>
            <family val="2"/>
          </rPr>
          <t>Staus of the implementation is captured automatically based on Due date and completion date.</t>
        </r>
      </text>
    </comment>
    <comment ref="U4" authorId="0" shapeId="0" xr:uid="{327C8A86-AA0F-4E1E-B719-67094A9B240C}">
      <text>
        <r>
          <rPr>
            <sz val="9"/>
            <color indexed="81"/>
            <rFont val="Tahoma"/>
            <family val="2"/>
          </rPr>
          <t>Integerity check (One is to One) check to ensure that Strategy and solution is not prepared for the same risk ID twice.</t>
        </r>
      </text>
    </comment>
    <comment ref="V4" authorId="0" shapeId="0" xr:uid="{F63A9A68-99B6-4EC7-BB62-306105D5094F}">
      <text>
        <r>
          <rPr>
            <sz val="9"/>
            <color indexed="81"/>
            <rFont val="Tahoma"/>
            <family val="2"/>
          </rPr>
          <t>Recovery and response ID's gets updated automatically.</t>
        </r>
      </text>
    </comment>
    <comment ref="W4" authorId="0" shapeId="0" xr:uid="{1908AAFD-9A0D-44B0-95C8-4AE8140472E8}">
      <text>
        <r>
          <rPr>
            <sz val="9"/>
            <color indexed="81"/>
            <rFont val="Tahoma"/>
            <family val="2"/>
          </rPr>
          <t>Add any additional inputs required.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4" authorId="0" shapeId="0" xr:uid="{BA106456-1F0D-430E-9C7F-C3004CA97A0D}">
      <text>
        <r>
          <rPr>
            <sz val="9"/>
            <color indexed="81"/>
            <rFont val="Tahoma"/>
            <family val="2"/>
          </rPr>
          <t>Requirements ID gets created when Column F is updated.</t>
        </r>
      </text>
    </comment>
    <comment ref="C4" authorId="0" shapeId="0" xr:uid="{34B8FCD3-AEFF-4EC6-A083-93FD7F25ECF7}">
      <text>
        <r>
          <rPr>
            <sz val="9"/>
            <color indexed="81"/>
            <rFont val="Tahoma"/>
            <family val="2"/>
          </rPr>
          <t>Select Strategies and Solutions (S &amp; S) # for which rewquirements should be updated.</t>
        </r>
      </text>
    </comment>
    <comment ref="D4" authorId="0" shapeId="0" xr:uid="{5C7BC01A-A79B-4440-8C8E-6D68CAEE22B8}">
      <text>
        <r>
          <rPr>
            <sz val="9"/>
            <color indexed="81"/>
            <rFont val="Tahoma"/>
            <family val="2"/>
          </rPr>
          <t>Risk ID gets updaetd based on Column C automatically</t>
        </r>
      </text>
    </comment>
    <comment ref="E4" authorId="0" shapeId="0" xr:uid="{7713592C-694B-4CC8-A9FA-0CB4408717F2}">
      <text>
        <r>
          <rPr>
            <sz val="9"/>
            <color indexed="81"/>
            <rFont val="Tahoma"/>
            <family val="2"/>
          </rPr>
          <t>Select the requirements identied in column J to O of Sheet 5. Add one row for each of the requirement.</t>
        </r>
      </text>
    </comment>
    <comment ref="F4" authorId="0" shapeId="0" xr:uid="{19254416-6637-4D64-B212-1114E22390F4}">
      <text>
        <r>
          <rPr>
            <sz val="9"/>
            <color indexed="81"/>
            <rFont val="Tahoma"/>
            <family val="2"/>
          </rPr>
          <t>Capture brief description of the requirement</t>
        </r>
      </text>
    </comment>
    <comment ref="G4" authorId="0" shapeId="0" xr:uid="{65B18BF1-4EDC-4FD6-BEB6-E233CC2D5DBB}">
      <text>
        <r>
          <rPr>
            <sz val="9"/>
            <color indexed="81"/>
            <rFont val="Tahoma"/>
            <family val="2"/>
          </rPr>
          <t>Provide Details/ Specifications of the requirement mentioned in Column F.</t>
        </r>
      </text>
    </comment>
    <comment ref="H4" authorId="0" shapeId="0" xr:uid="{8C62ADFF-0D56-4230-8DBB-275A75F73DB4}">
      <text>
        <r>
          <rPr>
            <sz val="9"/>
            <color indexed="81"/>
            <rFont val="Tahoma"/>
            <family val="2"/>
          </rPr>
          <t>Mention the Primary location where this requirement shall be delivered.</t>
        </r>
      </text>
    </comment>
    <comment ref="I4" authorId="0" shapeId="0" xr:uid="{464D1D11-2E54-452D-A7D7-64152B40F9F9}">
      <text>
        <r>
          <rPr>
            <sz val="9"/>
            <color indexed="81"/>
            <rFont val="Tahoma"/>
            <family val="2"/>
          </rPr>
          <t>Mention the Alternate location where this requirement shall be delivered.</t>
        </r>
      </text>
    </comment>
    <comment ref="J4" authorId="0" shapeId="0" xr:uid="{0783B8CE-1F91-406E-84A7-DA2AB04BFD40}">
      <text>
        <r>
          <rPr>
            <sz val="9"/>
            <color indexed="81"/>
            <rFont val="Tahoma"/>
            <family val="2"/>
          </rPr>
          <t xml:space="preserve">Capture the contract reference number or Document reference in which this required is captured.
</t>
        </r>
      </text>
    </comment>
    <comment ref="K4" authorId="0" shapeId="0" xr:uid="{B3C8DC48-6EFC-4B96-9F16-952BC530B4C4}">
      <text>
        <r>
          <rPr>
            <sz val="9"/>
            <color indexed="81"/>
            <rFont val="Tahoma"/>
            <family val="2"/>
          </rPr>
          <t>Capture the business title of the person who is responsible to fulfil this requirement.</t>
        </r>
      </text>
    </comment>
    <comment ref="L4" authorId="0" shapeId="0" xr:uid="{FB76DA4A-2ADA-4748-A726-FF4F2CE362AB}">
      <text>
        <r>
          <rPr>
            <sz val="9"/>
            <color indexed="81"/>
            <rFont val="Tahoma"/>
            <family val="2"/>
          </rPr>
          <t>Add any additional inputs if required</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4" authorId="0" shapeId="0" xr:uid="{21FB0068-AC37-45AF-BDB6-A57931BA7D65}">
      <text>
        <r>
          <rPr>
            <sz val="9"/>
            <color indexed="81"/>
            <rFont val="Tahoma"/>
            <family val="2"/>
          </rPr>
          <t xml:space="preserve">Disaser recovery (DR) ID </t>
        </r>
      </text>
    </comment>
    <comment ref="C4" authorId="0" shapeId="0" xr:uid="{D5890A53-E34F-44DC-8211-C8573B60605B}">
      <text>
        <r>
          <rPr>
            <sz val="9"/>
            <color indexed="81"/>
            <rFont val="Tahoma"/>
            <family val="2"/>
          </rPr>
          <t xml:space="preserve">Dependency category dropdown list for ICT </t>
        </r>
      </text>
    </comment>
    <comment ref="D4" authorId="0" shapeId="0" xr:uid="{6BBAA122-1C40-4A57-849B-10ADDCB9E2E3}">
      <text>
        <r>
          <rPr>
            <sz val="9"/>
            <color indexed="81"/>
            <rFont val="Tahoma"/>
            <family val="2"/>
          </rPr>
          <t>Dependency area associated to ICT/ Equipment</t>
        </r>
      </text>
    </comment>
    <comment ref="E4" authorId="0" shapeId="0" xr:uid="{B30A3230-8173-49A5-935F-56C042312E38}">
      <text>
        <r>
          <rPr>
            <sz val="9"/>
            <color indexed="81"/>
            <rFont val="Tahoma"/>
            <family val="2"/>
          </rPr>
          <t>Application/ Service/ Equipment considered for DR.</t>
        </r>
      </text>
    </comment>
    <comment ref="F4" authorId="0" shapeId="0" xr:uid="{D78FC3E5-1A42-4210-A86F-D45D236CE847}">
      <text>
        <r>
          <rPr>
            <sz val="9"/>
            <color indexed="81"/>
            <rFont val="Tahoma"/>
            <family val="2"/>
          </rPr>
          <t>Capture the Product / Service (P &amp; S) for which this DR is applicable.</t>
        </r>
      </text>
    </comment>
    <comment ref="G4" authorId="0" shapeId="0" xr:uid="{35EF3C04-62FB-454D-AC11-DB47F75E3AC6}">
      <text>
        <r>
          <rPr>
            <sz val="9"/>
            <color indexed="81"/>
            <rFont val="Tahoma"/>
            <family val="2"/>
          </rPr>
          <t>Capture the Recovery Time Objective (RTO) for this dependency.</t>
        </r>
      </text>
    </comment>
    <comment ref="J4" authorId="0" shapeId="0" xr:uid="{AD3ABE05-78E2-423F-BD07-8AE49B0B8EEB}">
      <text>
        <r>
          <rPr>
            <sz val="9"/>
            <color indexed="81"/>
            <rFont val="Tahoma"/>
            <family val="2"/>
          </rPr>
          <t>Capture the Recovery Point e Objective (RTO) for this dependency.</t>
        </r>
      </text>
    </comment>
    <comment ref="K4" authorId="0" shapeId="0" xr:uid="{F4472BA0-6C97-490B-BA06-1BEDF1F50B54}">
      <text>
        <r>
          <rPr>
            <sz val="9"/>
            <color indexed="81"/>
            <rFont val="Tahoma"/>
            <family val="2"/>
          </rPr>
          <t>Capture the Disaster recovery strategy in place for recovery from dropdown list.</t>
        </r>
      </text>
    </comment>
    <comment ref="L4" authorId="0" shapeId="0" xr:uid="{A16D5924-7AE1-4417-8D41-7EEE5F0300E0}">
      <text>
        <r>
          <rPr>
            <sz val="9"/>
            <color indexed="81"/>
            <rFont val="Tahoma"/>
            <family val="2"/>
          </rPr>
          <t xml:space="preserve">Capture the Disaster recovery site details (if DR site is available) 
</t>
        </r>
      </text>
    </comment>
    <comment ref="M4" authorId="0" shapeId="0" xr:uid="{AE0FCC7D-8A63-4A95-B1AA-E3DC8BE7CC48}">
      <text>
        <r>
          <rPr>
            <sz val="9"/>
            <color indexed="81"/>
            <rFont val="Tahoma"/>
            <family val="2"/>
          </rPr>
          <t>Capture the last on which Disaster recovery test was done.</t>
        </r>
      </text>
    </comment>
    <comment ref="O4" authorId="0" shapeId="0" xr:uid="{7ADA6603-A37D-4E85-804E-1D79D1418C73}">
      <text>
        <r>
          <rPr>
            <sz val="9"/>
            <color indexed="81"/>
            <rFont val="Tahoma"/>
            <family val="2"/>
          </rPr>
          <t>Capture the test result from the dropdownl ist.</t>
        </r>
      </text>
    </comment>
    <comment ref="P4" authorId="0" shapeId="0" xr:uid="{8B900953-5371-401E-A33F-5A3D6876E47E}">
      <text>
        <r>
          <rPr>
            <sz val="9"/>
            <color indexed="81"/>
            <rFont val="Tahoma"/>
            <family val="2"/>
          </rPr>
          <t>Next test date is aut updated for annual frequency</t>
        </r>
      </text>
    </comment>
    <comment ref="Q4" authorId="0" shapeId="0" xr:uid="{298978B2-0434-4197-84C1-A92511D6CCF7}">
      <text>
        <r>
          <rPr>
            <sz val="9"/>
            <color indexed="81"/>
            <rFont val="Tahoma"/>
            <family val="2"/>
          </rPr>
          <t>Status of DR strategy availability, status of testing and test status is captured.</t>
        </r>
      </text>
    </comment>
    <comment ref="R4" authorId="0" shapeId="0" xr:uid="{9F0ACCC0-CA55-463C-861D-169939DEF014}">
      <text>
        <r>
          <rPr>
            <sz val="9"/>
            <color indexed="81"/>
            <rFont val="Tahoma"/>
            <family val="2"/>
          </rPr>
          <t>Add any applicable remarks.</t>
        </r>
      </text>
    </comment>
    <comment ref="S4" authorId="0" shapeId="0" xr:uid="{86771C37-0871-41AE-B07A-46236DCB1656}">
      <text>
        <r>
          <rPr>
            <sz val="9"/>
            <color indexed="81"/>
            <rFont val="Tahoma"/>
            <family val="2"/>
          </rPr>
          <t>Recovery Time Objective (RTO) compliance is calculated automatically based on values in columns G and I</t>
        </r>
      </text>
    </comment>
    <comment ref="T4" authorId="0" shapeId="0" xr:uid="{5DD8E5E4-8556-4145-BE93-9C6845322BF1}">
      <text>
        <r>
          <rPr>
            <sz val="9"/>
            <color indexed="81"/>
            <rFont val="Tahoma"/>
            <family val="2"/>
          </rPr>
          <t>Recovery Point Objective (RPO) compliance is calculated automatically based on values in columns H and J</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4" authorId="0" shapeId="0" xr:uid="{05D2F0E2-B36E-43F0-B017-FAEF1D2C3040}">
      <text>
        <r>
          <rPr>
            <sz val="9"/>
            <color indexed="81"/>
            <rFont val="Tahoma"/>
            <family val="2"/>
          </rPr>
          <t>Response and Recover ) R&amp;R) ID is created automatically based on Column B</t>
        </r>
      </text>
    </comment>
    <comment ref="C4" authorId="0" shapeId="0" xr:uid="{EF3DCEC5-7C16-4CCE-8137-0F12FCE70E5A}">
      <text>
        <r>
          <rPr>
            <sz val="9"/>
            <color indexed="81"/>
            <rFont val="Tahoma"/>
            <family val="2"/>
          </rPr>
          <t>Strategies and Solutions # for which Response and Recovery plan is prepared shall be selected from dropdown list.</t>
        </r>
      </text>
    </comment>
    <comment ref="D4" authorId="0" shapeId="0" xr:uid="{D4326FA4-1192-4BC7-B85B-9EEF86AA2BC3}">
      <text>
        <r>
          <rPr>
            <sz val="9"/>
            <color indexed="81"/>
            <rFont val="Tahoma"/>
            <family val="2"/>
          </rPr>
          <t>Product/ Service associated to the BIA # (Business Impact analysis) is updaed automatically.</t>
        </r>
      </text>
    </comment>
    <comment ref="E4" authorId="0" shapeId="0" xr:uid="{BD19CDF1-D753-4C06-89EB-7D004B67C5CE}">
      <text>
        <r>
          <rPr>
            <sz val="9"/>
            <color indexed="81"/>
            <rFont val="Tahoma"/>
            <family val="2"/>
          </rPr>
          <t>Capture the details of response and recovery actions.</t>
        </r>
      </text>
    </comment>
    <comment ref="F4" authorId="0" shapeId="0" xr:uid="{1F396873-E57E-409D-BA10-D4D45632ED5F}">
      <text>
        <r>
          <rPr>
            <sz val="9"/>
            <color indexed="81"/>
            <rFont val="Tahoma"/>
            <family val="2"/>
          </rPr>
          <t>Capture the details of the plans, procedure, documents where these actions are detailed.</t>
        </r>
      </text>
    </comment>
    <comment ref="G4" authorId="0" shapeId="0" xr:uid="{C8E2B1E7-18F1-4D5F-8242-E455D151F1B2}">
      <text>
        <r>
          <rPr>
            <sz val="9"/>
            <color indexed="81"/>
            <rFont val="Tahoma"/>
            <family val="2"/>
          </rPr>
          <t>Dependency category gets updated automaticallly based on S &amp; S # in Column B.</t>
        </r>
      </text>
    </comment>
    <comment ref="H4" authorId="0" shapeId="0" xr:uid="{47A15701-9998-4399-9EF0-C283D789E180}">
      <text>
        <r>
          <rPr>
            <sz val="9"/>
            <color indexed="81"/>
            <rFont val="Tahoma"/>
            <family val="2"/>
          </rPr>
          <t>Risk assumption is updated based on Column B automatically.</t>
        </r>
      </text>
    </comment>
    <comment ref="I4" authorId="0" shapeId="0" xr:uid="{AAFBB65F-A3E7-4F8F-89A5-914629D1BC9A}">
      <text>
        <r>
          <rPr>
            <sz val="9"/>
            <color indexed="81"/>
            <rFont val="Tahoma"/>
            <family val="2"/>
          </rPr>
          <t>Business disruption scenarion is updated based on Column B automatically.</t>
        </r>
      </text>
    </comment>
    <comment ref="J4" authorId="0" shapeId="0" xr:uid="{1973AE97-69EA-48E3-ADE3-5E1B034BDE4F}">
      <text>
        <r>
          <rPr>
            <sz val="9"/>
            <color indexed="81"/>
            <rFont val="Tahoma"/>
            <family val="2"/>
          </rPr>
          <t>Strategy gets updated based on Coliumn B.</t>
        </r>
      </text>
    </comment>
    <comment ref="K4" authorId="0" shapeId="0" xr:uid="{1B0A24AC-CEB1-4E3F-8513-17FB6B9ADEFA}">
      <text>
        <r>
          <rPr>
            <sz val="9"/>
            <color indexed="81"/>
            <rFont val="Tahoma"/>
            <family val="2"/>
          </rPr>
          <t>Solution details gets updated based on Coliumn B.</t>
        </r>
      </text>
    </comment>
    <comment ref="L4" authorId="0" shapeId="0" xr:uid="{77B2DA8D-49A5-4E2A-B4DC-EA365AA5743F}">
      <text>
        <r>
          <rPr>
            <sz val="9"/>
            <color indexed="81"/>
            <rFont val="Tahoma"/>
            <family val="2"/>
          </rPr>
          <t xml:space="preserve">Capture date on which business continuity exercises are planned.
</t>
        </r>
      </text>
    </comment>
    <comment ref="M4" authorId="0" shapeId="0" xr:uid="{320705C1-01C3-4519-B28D-93BFE808C6B9}">
      <text>
        <r>
          <rPr>
            <sz val="9"/>
            <color indexed="81"/>
            <rFont val="Tahoma"/>
            <family val="2"/>
          </rPr>
          <t xml:space="preserve">Capture date on which business continuity exercises are completed
</t>
        </r>
      </text>
    </comment>
    <comment ref="N4" authorId="0" shapeId="0" xr:uid="{414023E8-B11B-465C-86D5-F09627E35F27}">
      <text>
        <r>
          <rPr>
            <sz val="9"/>
            <color indexed="81"/>
            <rFont val="Tahoma"/>
            <family val="2"/>
          </rPr>
          <t>Status of exerciise completion is captured based on current date and completion date on Column T.</t>
        </r>
      </text>
    </comment>
    <comment ref="P4" authorId="0" shapeId="0" xr:uid="{B7B896B8-401B-4061-9746-A4137236DFAD}">
      <text>
        <r>
          <rPr>
            <sz val="9"/>
            <color indexed="81"/>
            <rFont val="Tahoma"/>
            <family val="2"/>
          </rPr>
          <t>Add any addional inputs required</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A5" authorId="0" shapeId="0" xr:uid="{E78599DA-873F-4853-9905-4B63903BC39E}">
      <text>
        <r>
          <rPr>
            <sz val="9"/>
            <color indexed="81"/>
            <rFont val="Tahoma"/>
            <family val="2"/>
          </rPr>
          <t>Risk ID's get updated automatically.</t>
        </r>
      </text>
    </comment>
    <comment ref="B5" authorId="0" shapeId="0" xr:uid="{B7BC7086-39A0-4123-A568-D148E021CF55}">
      <text>
        <r>
          <rPr>
            <sz val="9"/>
            <color indexed="81"/>
            <rFont val="Tahoma"/>
            <family val="2"/>
          </rPr>
          <t>Risk assumptions  get updated automatically.</t>
        </r>
      </text>
    </comment>
    <comment ref="C5" authorId="0" shapeId="0" xr:uid="{7E414F7F-DC82-4E7C-B142-BCA680EA2417}">
      <text>
        <r>
          <rPr>
            <sz val="9"/>
            <color indexed="81"/>
            <rFont val="Tahoma"/>
            <family val="2"/>
          </rPr>
          <t>Disruption scenarios get updated automatically.</t>
        </r>
      </text>
    </comment>
    <comment ref="D5" authorId="0" shapeId="0" xr:uid="{B0D8911A-9903-44DE-B3F5-B88421D7C064}">
      <text>
        <r>
          <rPr>
            <sz val="9"/>
            <color indexed="81"/>
            <rFont val="Tahoma"/>
            <family val="2"/>
          </rPr>
          <t>Dependencies associated to Risks get updated automatically.</t>
        </r>
      </text>
    </comment>
    <comment ref="E5" authorId="0" shapeId="0" xr:uid="{E9F10CAC-4A0C-4D8A-8958-E2F688C90586}">
      <text>
        <r>
          <rPr>
            <sz val="9"/>
            <color indexed="81"/>
            <rFont val="Tahoma"/>
            <family val="2"/>
          </rPr>
          <t>Risk likelihood gets updated automatically.</t>
        </r>
      </text>
    </comment>
    <comment ref="F5" authorId="0" shapeId="0" xr:uid="{36BA0A79-670B-48FD-94FF-B06FB516B236}">
      <text>
        <r>
          <rPr>
            <sz val="9"/>
            <color indexed="81"/>
            <rFont val="Tahoma"/>
            <family val="2"/>
          </rPr>
          <t>Impact of risks  gets updated automatically.</t>
        </r>
      </text>
    </comment>
    <comment ref="G5" authorId="0" shapeId="0" xr:uid="{C95475D8-41C4-4B00-86D7-6953347636F4}">
      <text>
        <r>
          <rPr>
            <sz val="9"/>
            <color indexed="81"/>
            <rFont val="Tahoma"/>
            <family val="2"/>
          </rPr>
          <t>Associated rating gets updated automatically</t>
        </r>
      </text>
    </comment>
    <comment ref="H5" authorId="0" shapeId="0" xr:uid="{1758966E-0AE3-4FD4-BBA6-F137FE144C0A}">
      <text>
        <r>
          <rPr>
            <sz val="9"/>
            <color indexed="81"/>
            <rFont val="Tahoma"/>
            <family val="2"/>
          </rPr>
          <t>BCP (Business Continuity Plan) priority  gets updated automatically.</t>
        </r>
      </text>
    </comment>
    <comment ref="I5" authorId="0" shapeId="0" xr:uid="{E0E82571-2A7D-44C1-91AF-AE26FA5C38FC}">
      <text>
        <r>
          <rPr>
            <sz val="9"/>
            <color indexed="81"/>
            <rFont val="Tahoma"/>
            <family val="2"/>
          </rPr>
          <t>Associated BIA (Business Impact Analysis) #s  get updated automatically.</t>
        </r>
      </text>
    </comment>
    <comment ref="J5" authorId="0" shapeId="0" xr:uid="{F36FDD6E-A75A-4514-A16D-D9C39A005475}">
      <text>
        <r>
          <rPr>
            <sz val="9"/>
            <color indexed="81"/>
            <rFont val="Tahoma"/>
            <family val="2"/>
          </rPr>
          <t>Product and Service names are listed based on the BIA # captured in Column I from Sheet 3 BIA.</t>
        </r>
      </text>
    </comment>
    <comment ref="K5" authorId="0" shapeId="0" xr:uid="{8B50FD6C-C7DB-4AA4-BDB1-72EAEDF9CFFA}">
      <text>
        <r>
          <rPr>
            <sz val="9"/>
            <color indexed="81"/>
            <rFont val="Tahoma"/>
            <family val="2"/>
          </rPr>
          <t>Response and Recovery # is captured from Sheet 6 based on values in Column L.</t>
        </r>
      </text>
    </comment>
    <comment ref="L5" authorId="0" shapeId="0" xr:uid="{5DFD4D5E-E042-44F2-8D52-BB9334F614D9}">
      <text>
        <r>
          <rPr>
            <sz val="9"/>
            <color indexed="81"/>
            <rFont val="Tahoma"/>
            <family val="2"/>
          </rPr>
          <t>S &amp; S (Strategy &amp; Solution) #  gets updated automatically.</t>
        </r>
      </text>
    </comment>
    <comment ref="M5" authorId="0" shapeId="0" xr:uid="{8D5669DB-A589-4D1E-8D21-7D53D070889C}">
      <text>
        <r>
          <rPr>
            <sz val="9"/>
            <color indexed="81"/>
            <rFont val="Tahoma"/>
            <family val="2"/>
          </rPr>
          <t>Status of Strategy and Soluton (S &amp; S) implementation  gets updated automatically.</t>
        </r>
      </text>
    </comment>
    <comment ref="N5" authorId="0" shapeId="0" xr:uid="{0F113465-F401-4B7D-AC90-E13D29D57E2C}">
      <text>
        <r>
          <rPr>
            <sz val="9"/>
            <color indexed="81"/>
            <rFont val="Tahoma"/>
            <family val="2"/>
          </rPr>
          <t>Due date gets updated automatically.</t>
        </r>
      </text>
    </comment>
    <comment ref="O5" authorId="0" shapeId="0" xr:uid="{F368FD17-EF66-4B73-8022-75E21C62DCC6}">
      <text>
        <r>
          <rPr>
            <sz val="9"/>
            <color indexed="81"/>
            <rFont val="Tahoma"/>
            <family val="2"/>
          </rPr>
          <t>Response and Recovery (R &amp;R) exercise status gets updated automatically.</t>
        </r>
      </text>
    </comment>
    <comment ref="P5" authorId="0" shapeId="0" xr:uid="{64892B96-F183-47C2-AF83-90F606F1FEA0}">
      <text>
        <r>
          <rPr>
            <sz val="9"/>
            <color indexed="81"/>
            <rFont val="Tahoma"/>
            <family val="2"/>
          </rPr>
          <t>Add any additional inputs in Remarks column.</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5" authorId="0" shapeId="0" xr:uid="{99F668CB-6C86-4CEA-B755-3E56A4FA748A}">
      <text>
        <r>
          <rPr>
            <sz val="9"/>
            <color indexed="81"/>
            <rFont val="Tahoma"/>
            <family val="2"/>
          </rPr>
          <t>Corrective Action Preventive Action (CAPA) ID gets created when collumn F (Finding) is updated automatically.</t>
        </r>
      </text>
    </comment>
    <comment ref="C5" authorId="0" shapeId="0" xr:uid="{9F4FD5E1-8E97-45C7-B45C-0046BC11245B}">
      <text>
        <r>
          <rPr>
            <sz val="9"/>
            <color indexed="81"/>
            <rFont val="Tahoma"/>
            <family val="2"/>
          </rPr>
          <t xml:space="preserve">Select from dropdown list the source from which the  finding was identified </t>
        </r>
      </text>
    </comment>
    <comment ref="D5" authorId="0" shapeId="0" xr:uid="{160C77C2-9F2B-4CCF-9461-F0FE243318F6}">
      <text>
        <r>
          <rPr>
            <sz val="9"/>
            <color indexed="81"/>
            <rFont val="Tahoma"/>
            <family val="2"/>
          </rPr>
          <t>Provide reference of the source e.g. Audit finding, exercise result, actions from Mangement review, mitigation identified in risk assessment etc.,</t>
        </r>
      </text>
    </comment>
    <comment ref="E5" authorId="0" shapeId="0" xr:uid="{68182273-1405-4918-A1B2-19771E9A5F41}">
      <text>
        <r>
          <rPr>
            <sz val="9"/>
            <color indexed="81"/>
            <rFont val="Tahoma"/>
            <family val="2"/>
          </rPr>
          <t>Capture the date on which the finding was identified</t>
        </r>
      </text>
    </comment>
    <comment ref="F5" authorId="0" shapeId="0" xr:uid="{25C9CA0B-FD17-4191-902F-CA51BE0FAC02}">
      <text>
        <r>
          <rPr>
            <sz val="9"/>
            <color indexed="81"/>
            <rFont val="Tahoma"/>
            <family val="2"/>
          </rPr>
          <t>Provide details of the finding.</t>
        </r>
      </text>
    </comment>
    <comment ref="G5" authorId="0" shapeId="0" xr:uid="{2ABC2C2B-B29C-48F9-BFC6-C309AD9100E3}">
      <text>
        <r>
          <rPr>
            <sz val="9"/>
            <color indexed="81"/>
            <rFont val="Tahoma"/>
            <family val="2"/>
          </rPr>
          <t>Select the severity classification from the dropdown list</t>
        </r>
      </text>
    </comment>
    <comment ref="H5" authorId="0" shapeId="0" xr:uid="{CA9871E7-4BD6-44E8-A5B2-A878EC142458}">
      <text>
        <r>
          <rPr>
            <sz val="9"/>
            <color indexed="81"/>
            <rFont val="Tahoma"/>
            <family val="2"/>
          </rPr>
          <t xml:space="preserve">Immediate temporary correction plan to address the finding.
</t>
        </r>
      </text>
    </comment>
    <comment ref="I5" authorId="0" shapeId="0" xr:uid="{D374F573-4DFF-470B-AA2D-90BF166ED697}">
      <text>
        <r>
          <rPr>
            <sz val="9"/>
            <color indexed="81"/>
            <rFont val="Tahoma"/>
            <family val="2"/>
          </rPr>
          <t xml:space="preserve">Details of the root cause identified after doing root cause analysis
 </t>
        </r>
      </text>
    </comment>
    <comment ref="J5" authorId="0" shapeId="0" xr:uid="{748C2687-1A41-41B8-BC6E-74721FA0F0CC}">
      <text>
        <r>
          <rPr>
            <sz val="9"/>
            <color indexed="81"/>
            <rFont val="Tahoma"/>
            <family val="2"/>
          </rPr>
          <t xml:space="preserve">Permanent corrective action plan identified to address the root cause identified.
</t>
        </r>
      </text>
    </comment>
    <comment ref="K5" authorId="0" shapeId="0" xr:uid="{5EE0962E-91E1-43D7-A0A4-4687B4F3B15A}">
      <text>
        <r>
          <rPr>
            <sz val="9"/>
            <color indexed="81"/>
            <rFont val="Tahoma"/>
            <family val="2"/>
          </rPr>
          <t xml:space="preserve">Identify the business title of the person who will be getting corrective action implemented </t>
        </r>
      </text>
    </comment>
    <comment ref="L5" authorId="0" shapeId="0" xr:uid="{5C4EFAFB-CAF9-4DC3-91A4-5E7011A3E788}">
      <text>
        <r>
          <rPr>
            <sz val="9"/>
            <color indexed="81"/>
            <rFont val="Tahoma"/>
            <family val="2"/>
          </rPr>
          <t>Capture the target date on which the correction/ corrective actoin will be implemented</t>
        </r>
      </text>
    </comment>
    <comment ref="M5" authorId="0" shapeId="0" xr:uid="{5ACA4D3E-373B-4052-A397-E8D438D023BF}">
      <text>
        <r>
          <rPr>
            <sz val="9"/>
            <color indexed="81"/>
            <rFont val="Tahoma"/>
            <family val="2"/>
          </rPr>
          <t>Capture the closure status of the finding from the dropdown list</t>
        </r>
      </text>
    </comment>
    <comment ref="N5" authorId="0" shapeId="0" xr:uid="{D028054F-C9F3-4346-B542-E817451A842B}">
      <text>
        <r>
          <rPr>
            <sz val="9"/>
            <color indexed="81"/>
            <rFont val="Tahoma"/>
            <family val="2"/>
          </rPr>
          <t>Provide details of the evidence for correction/corrective action.</t>
        </r>
      </text>
    </comment>
    <comment ref="O5" authorId="0" shapeId="0" xr:uid="{875A2BAD-E85A-4667-A79F-71297B31176E}">
      <text>
        <r>
          <rPr>
            <sz val="9"/>
            <color indexed="81"/>
            <rFont val="Tahoma"/>
            <family val="2"/>
          </rPr>
          <t xml:space="preserve">Provide business title of the person who will be verifying the effectiveness of the correction/ corrective action implemented.
</t>
        </r>
      </text>
    </comment>
    <comment ref="P5" authorId="0" shapeId="0" xr:uid="{8A4EBDA2-AD3E-4BA0-A49C-319A796476B3}">
      <text>
        <r>
          <rPr>
            <sz val="9"/>
            <color indexed="81"/>
            <rFont val="Tahoma"/>
            <family val="2"/>
          </rPr>
          <t xml:space="preserve">Provide the date on which the correction/ corrective action was verified by the verification owner.
</t>
        </r>
      </text>
    </comment>
    <comment ref="Q5" authorId="0" shapeId="0" xr:uid="{EAC24F09-2657-4E96-BB6C-95417557BD05}">
      <text>
        <r>
          <rPr>
            <sz val="9"/>
            <color indexed="81"/>
            <rFont val="Tahoma"/>
            <family val="2"/>
          </rPr>
          <t>Capture the effectivess of the correction/ corrective action from the dropdown list.</t>
        </r>
      </text>
    </comment>
    <comment ref="R5" authorId="0" shapeId="0" xr:uid="{58CB72E5-E42E-42E2-93D4-3DBBDD4BF525}">
      <text>
        <r>
          <rPr>
            <sz val="9"/>
            <color indexed="81"/>
            <rFont val="Tahoma"/>
            <family val="2"/>
          </rPr>
          <t>Capture the date on which the corrective action was verified as effective.</t>
        </r>
      </text>
    </comment>
    <comment ref="S5" authorId="0" shapeId="0" xr:uid="{66526192-ABAB-4F62-9C6D-370169B4BE0B}">
      <text>
        <r>
          <rPr>
            <sz val="9"/>
            <color indexed="81"/>
            <rFont val="Tahoma"/>
            <family val="2"/>
          </rPr>
          <t xml:space="preserve"># of days for which the finding was open calculated from the date on which the finding was identified to the date of closure
</t>
        </r>
      </text>
    </comment>
    <comment ref="T5" authorId="0" shapeId="0" xr:uid="{97D6C0AA-1FE3-47E4-A300-C1C7454A9F35}">
      <text>
        <r>
          <rPr>
            <sz val="9"/>
            <color indexed="81"/>
            <rFont val="Tahoma"/>
            <family val="2"/>
          </rPr>
          <t>Overdue status auto populated based on the column L (Target date), column M (Status) and today's date.</t>
        </r>
      </text>
    </comment>
    <comment ref="U5" authorId="0" shapeId="0" xr:uid="{3778DD19-31C3-4504-84FB-6414EFDAEAA7}">
      <text>
        <r>
          <rPr>
            <sz val="9"/>
            <color indexed="81"/>
            <rFont val="Tahoma"/>
            <family val="2"/>
          </rPr>
          <t>Capture the risk ID for the finding.</t>
        </r>
      </text>
    </comment>
    <comment ref="V5" authorId="0" shapeId="0" xr:uid="{55AB4216-0151-443A-BD95-0FE021948A74}">
      <text>
        <r>
          <rPr>
            <sz val="9"/>
            <color indexed="81"/>
            <rFont val="Tahoma"/>
            <family val="2"/>
          </rPr>
          <t>Capture the Strategy and Solution ID for the finding.</t>
        </r>
      </text>
    </comment>
    <comment ref="W5" authorId="0" shapeId="0" xr:uid="{303331FC-536E-4278-AA67-92B18BC22543}">
      <text>
        <r>
          <rPr>
            <sz val="9"/>
            <color indexed="81"/>
            <rFont val="Tahoma"/>
            <family val="2"/>
          </rPr>
          <t>Capture the Response and Recovery ID for the finding</t>
        </r>
      </text>
    </comment>
    <comment ref="X5" authorId="0" shapeId="0" xr:uid="{7AB5A5F8-B9D5-4BBA-BAE2-F4D79707AFF6}">
      <text>
        <r>
          <rPr>
            <sz val="9"/>
            <color indexed="81"/>
            <rFont val="Tahoma"/>
            <family val="2"/>
          </rPr>
          <t>Add any additional remark.</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<sst xmlns="http://schemas.openxmlformats.org/spreadsheetml/2006/main" count="453" uniqueCount="453">
  <si>
    <t>Review Date</t>
  </si>
  <si>
    <t>Status</t>
  </si>
  <si>
    <t>Position / Title</t>
  </si>
  <si>
    <t>Name</t>
  </si>
  <si>
    <t>Date</t>
  </si>
  <si>
    <t>Signature</t>
  </si>
  <si>
    <t>Coverage</t>
  </si>
  <si>
    <t>Risk &amp; Readiness</t>
  </si>
  <si>
    <t>Governance &amp; Compliance</t>
  </si>
  <si>
    <t>P&amp;S in scope</t>
  </si>
  <si>
    <t>Risks assessed</t>
  </si>
  <si>
    <t>BCP rows (RR plan)</t>
  </si>
  <si>
    <t>BIAs completed</t>
  </si>
  <si>
    <t>Critical / Significant risks</t>
  </si>
  <si>
    <t>Exercises done / overdue</t>
  </si>
  <si>
    <t>Critical P&amp;S (final)</t>
  </si>
  <si>
    <t>Priority 1-2 risks (BCP)</t>
  </si>
  <si>
    <t>DR systems / tested-current</t>
  </si>
  <si>
    <t>P&amp;S-risk associations</t>
  </si>
  <si>
    <t>Solutions defined / overdue</t>
  </si>
  <si>
    <t>Dependencies registered</t>
  </si>
  <si>
    <t>Requirement rows (5b)</t>
  </si>
  <si>
    <t>BIA reviews overdue</t>
  </si>
  <si>
    <t>Duplicate S&amp;S mappings</t>
  </si>
  <si>
    <t>Corrective Action &amp; Improvement</t>
  </si>
  <si>
    <t>Open CAPAs</t>
  </si>
  <si>
    <t>Overdue CAPAs</t>
  </si>
  <si>
    <t>Effectiveness pending</t>
  </si>
  <si>
    <t>Critical / High open</t>
  </si>
  <si>
    <t>Business Unit Profile - BCM Implementation Scope</t>
  </si>
  <si>
    <t>Section 1 - Organization Identity</t>
  </si>
  <si>
    <t>Organization Legal Name</t>
  </si>
  <si>
    <t>Business Unit Name</t>
  </si>
  <si>
    <t>Business Unit Code / ID</t>
  </si>
  <si>
    <t>Parent Division</t>
  </si>
  <si>
    <t>Headquarters Location</t>
  </si>
  <si>
    <t>Operating Locations (list)</t>
  </si>
  <si>
    <t>Date Established</t>
  </si>
  <si>
    <t>Number of Employees (BU)</t>
  </si>
  <si>
    <t>Industry Sector</t>
  </si>
  <si>
    <t>Primary Business Activities</t>
  </si>
  <si>
    <t>Section 2 - Leadership &amp; Governance</t>
  </si>
  <si>
    <t>Field</t>
  </si>
  <si>
    <t>Title</t>
  </si>
  <si>
    <t>Contact</t>
  </si>
  <si>
    <t>Section 3 - Internal Context</t>
  </si>
  <si>
    <t>Mission Statement</t>
  </si>
  <si>
    <t>Vision Statement</t>
  </si>
  <si>
    <t>Strategic Objectives (BU)</t>
  </si>
  <si>
    <t>Key Products / Services</t>
  </si>
  <si>
    <t>Annual Revenue (local currency)</t>
  </si>
  <si>
    <t>Operating Hours</t>
  </si>
  <si>
    <t>Peak Seasons / Periods</t>
  </si>
  <si>
    <t>Organizational Structure</t>
  </si>
  <si>
    <t>Section 4 - External Context</t>
  </si>
  <si>
    <t>Primary Regulators</t>
  </si>
  <si>
    <t>Market Position</t>
  </si>
  <si>
    <t>Key Competitors</t>
  </si>
  <si>
    <t>Geographic Markets Served</t>
  </si>
  <si>
    <t>Economic Factors</t>
  </si>
  <si>
    <t>Political / Legal Factors</t>
  </si>
  <si>
    <t>Technology Trends</t>
  </si>
  <si>
    <t>Environmental Factors</t>
  </si>
  <si>
    <t>Social / Cultural Factors</t>
  </si>
  <si>
    <t>Section 5 - Climate Relevance for BCMS Context and Interested Parties</t>
  </si>
  <si>
    <t>Climate prompt</t>
  </si>
  <si>
    <t>Assessment / response</t>
  </si>
  <si>
    <t>Is climate change a relevant external or internal issue for the BCMS? Record the rationale.</t>
  </si>
  <si>
    <t>Which interested parties have climate-related requirements or expectations relevant to continuity?</t>
  </si>
  <si>
    <t>Which products, sites, utilities, logistics routes, suppliers or ICT services have climate-sensitive dependencies?</t>
  </si>
  <si>
    <t>Which acute or chronic climate-related disruption scenarios should be assessed?</t>
  </si>
  <si>
    <t>Which continuity strategies or actions address material climate-related risks and dependencies?</t>
  </si>
  <si>
    <t>Section 6 - Interested Parties &amp; Requirements</t>
  </si>
  <si>
    <t>Interested Party</t>
  </si>
  <si>
    <t>Requirements / Expectations</t>
  </si>
  <si>
    <t>How Addressed</t>
  </si>
  <si>
    <t>Priority</t>
  </si>
  <si>
    <t>Shareholders / Board</t>
  </si>
  <si>
    <t>Customers (B2B)</t>
  </si>
  <si>
    <t>Consumers (End Users)</t>
  </si>
  <si>
    <t>Employees</t>
  </si>
  <si>
    <t>Suppliers / Vendors</t>
  </si>
  <si>
    <t>Regulatory Authorities</t>
  </si>
  <si>
    <t>Government Agencies</t>
  </si>
  <si>
    <t>Local Communities</t>
  </si>
  <si>
    <t>Insurance Providers</t>
  </si>
  <si>
    <t>Media / Public</t>
  </si>
  <si>
    <t>Banks / Financial Institutions</t>
  </si>
  <si>
    <t>Section 7 - BCMS Scope Definition</t>
  </si>
  <si>
    <t>In-Scope Products / Services</t>
  </si>
  <si>
    <t>In-Scope Locations / Sites</t>
  </si>
  <si>
    <t>In-Scope Departments / Functions</t>
  </si>
  <si>
    <t>Out-of-Scope Items (exclusions)</t>
  </si>
  <si>
    <t>Justification for Exclusions</t>
  </si>
  <si>
    <t>Interfaces with Other BUs</t>
  </si>
  <si>
    <t>Section 8 - Legal &amp; Regulatory Requirements</t>
  </si>
  <si>
    <t>Requirement Type</t>
  </si>
  <si>
    <t>Specific Requirement</t>
  </si>
  <si>
    <t>Compliance Status</t>
  </si>
  <si>
    <t>Owner</t>
  </si>
  <si>
    <t>Section 9 - Critical Assets &amp; Resources Overview</t>
  </si>
  <si>
    <t>Critical Facilities / Sites</t>
  </si>
  <si>
    <t>Critical Equipment / Machinery</t>
  </si>
  <si>
    <t>Critical IT Systems</t>
  </si>
  <si>
    <t>Critical Data / Records</t>
  </si>
  <si>
    <t>Key Suppliers (Top 5)</t>
  </si>
  <si>
    <t>Key Customers (Top 5)</t>
  </si>
  <si>
    <t>Outsourced Functions</t>
  </si>
  <si>
    <t>Utility Dependencies</t>
  </si>
  <si>
    <t>Transportation / Logistics</t>
  </si>
  <si>
    <t>Specialized Skills / Roles</t>
  </si>
  <si>
    <t>Section 10 - Risk Appetite &amp; Tolerance (aligned with ERM)</t>
  </si>
  <si>
    <t>Risk Category</t>
  </si>
  <si>
    <t>Appetite Level</t>
  </si>
  <si>
    <t>Tolerance Threshold</t>
  </si>
  <si>
    <t>Rationale</t>
  </si>
  <si>
    <t>Financial</t>
  </si>
  <si>
    <t>Operational</t>
  </si>
  <si>
    <t>Product / Service Safety</t>
  </si>
  <si>
    <t>Health, Safety &amp; Environment</t>
  </si>
  <si>
    <t>Regulatory &amp; Compliance</t>
  </si>
  <si>
    <t>Reputation</t>
  </si>
  <si>
    <t>Information Technology</t>
  </si>
  <si>
    <t>Customer Impact</t>
  </si>
  <si>
    <t>Section 11 - Profile Approval</t>
  </si>
  <si>
    <t>Profile Completed By:</t>
  </si>
  <si>
    <t>Profile Reviewed By:</t>
  </si>
  <si>
    <t>ERM - Business Continuity</t>
  </si>
  <si>
    <t>Profile Approved By:</t>
  </si>
  <si>
    <t>Completed Date:</t>
  </si>
  <si>
    <t>Next Review Date:</t>
  </si>
  <si>
    <t>No.</t>
  </si>
  <si>
    <t>P&amp;S ID</t>
  </si>
  <si>
    <t>Business Unit</t>
  </si>
  <si>
    <t>Division / Site</t>
  </si>
  <si>
    <t>Product / Service</t>
  </si>
  <si>
    <t>Sub-Category</t>
  </si>
  <si>
    <t>EVP</t>
  </si>
  <si>
    <t>In Scope (Y/N)</t>
  </si>
  <si>
    <t>Corporate BIA Critical</t>
  </si>
  <si>
    <t>Corporate MBCO (if provided)</t>
  </si>
  <si>
    <t>Corporate MTPD (if provided)</t>
  </si>
  <si>
    <t>Corporate MTPD (hours)</t>
  </si>
  <si>
    <t>BIA Order</t>
  </si>
  <si>
    <t>BU BIA MTPD</t>
  </si>
  <si>
    <t>Sl #</t>
  </si>
  <si>
    <t>Product Code</t>
  </si>
  <si>
    <t>Product &amp; Services</t>
  </si>
  <si>
    <t>Activities performed within the process</t>
  </si>
  <si>
    <t>Frequency of Activity</t>
  </si>
  <si>
    <t>Peak Period</t>
  </si>
  <si>
    <t>Rationale for Peak Period</t>
  </si>
  <si>
    <t>Current Staff to Perform Activity</t>
  </si>
  <si>
    <t>Activity Can be Performed Remotely?</t>
  </si>
  <si>
    <t>BlA level MTPD in hours</t>
  </si>
  <si>
    <t>BIA Level RTO in hours</t>
  </si>
  <si>
    <t>Remark</t>
  </si>
  <si>
    <t>Application equip list</t>
  </si>
  <si>
    <t>Note:</t>
  </si>
  <si>
    <t>Here list of applications and services related to IT and equipment and applications related to OT to be captured by BU team.</t>
  </si>
  <si>
    <t>ICT</t>
  </si>
  <si>
    <t>Equipment / Building / Utilities</t>
  </si>
  <si>
    <t>IT dependencies</t>
  </si>
  <si>
    <t>Sub dependencies</t>
  </si>
  <si>
    <t>Application</t>
  </si>
  <si>
    <t>Service</t>
  </si>
  <si>
    <t>Business Impact Analysis (Product &amp; Service Level)</t>
  </si>
  <si>
    <t>BIA #</t>
  </si>
  <si>
    <t>Product / Service
(auto - value-chain order)</t>
  </si>
  <si>
    <t>Product / Service ID</t>
  </si>
  <si>
    <t>Risk Identification</t>
  </si>
  <si>
    <t>Impact Type</t>
  </si>
  <si>
    <t>Process Unavailability Impact Over Time (1-5) - anchors in Sheet 9</t>
  </si>
  <si>
    <t>Criticality (Corporate cascade)</t>
  </si>
  <si>
    <t>MBCO &amp; Recovery Targets</t>
  </si>
  <si>
    <t>Linked Records (auto)</t>
  </si>
  <si>
    <t>Dependencies</t>
  </si>
  <si>
    <t>Will it interrupt the operation? (Y/N)</t>
  </si>
  <si>
    <t>Up to
6 Hours</t>
  </si>
  <si>
    <t>Up to
18 Hours</t>
  </si>
  <si>
    <t>Up to
36 Hours</t>
  </si>
  <si>
    <t>Up to
3 Days</t>
  </si>
  <si>
    <t>Up to
1 Week</t>
  </si>
  <si>
    <t>Up to
2 Weeks</t>
  </si>
  <si>
    <t>Up to
3 Weeks</t>
  </si>
  <si>
    <t>Up to
1 month</t>
  </si>
  <si>
    <t>More than
1 Month</t>
  </si>
  <si>
    <t>Max Impact (auto)</t>
  </si>
  <si>
    <t>Max Impact Type (auto)</t>
  </si>
  <si>
    <t>Corporate Critical (auto)</t>
  </si>
  <si>
    <t>BU Critical (Y/N)</t>
  </si>
  <si>
    <t>Critical - Final (auto)</t>
  </si>
  <si>
    <t>MBCO - Corporate (auto)</t>
  </si>
  <si>
    <t>MBCO - BU</t>
  </si>
  <si>
    <t>Rationale / Supporting Reasons</t>
  </si>
  <si>
    <t>MTPD (auto) hours</t>
  </si>
  <si>
    <t>CEO MTPD</t>
  </si>
  <si>
    <t>RTO</t>
  </si>
  <si>
    <t>RTO (auto) in hours</t>
  </si>
  <si>
    <t>RPO
(fill if Data/ICT = Yes) in hours</t>
  </si>
  <si>
    <t>Assessment Date</t>
  </si>
  <si>
    <t>Valid Until (auto +12 mo)</t>
  </si>
  <si>
    <t>Risk IDs</t>
  </si>
  <si>
    <t>S&amp;S #</t>
  </si>
  <si>
    <t>R&amp;R IDs</t>
  </si>
  <si>
    <t>People</t>
  </si>
  <si>
    <t>Data / Info</t>
  </si>
  <si>
    <t>3rd Party</t>
  </si>
  <si>
    <t>Pre-Service</t>
  </si>
  <si>
    <t>Post-Service</t>
  </si>
  <si>
    <t>Dependency Register</t>
  </si>
  <si>
    <t>Dep ID</t>
  </si>
  <si>
    <t>BIA #
(select)</t>
  </si>
  <si>
    <t>Product / Service (auto)</t>
  </si>
  <si>
    <t>Category (select)</t>
  </si>
  <si>
    <t>Sub category (For ICT and Equipment)</t>
  </si>
  <si>
    <t>ICT/ Equipment details</t>
  </si>
  <si>
    <t>Dependency Name</t>
  </si>
  <si>
    <t>Description / Detail</t>
  </si>
  <si>
    <t>SPOF? (Y/N)</t>
  </si>
  <si>
    <t>Remarks</t>
  </si>
  <si>
    <t>BCM Risk Assessment by Dependency</t>
  </si>
  <si>
    <t>Dependency categories</t>
  </si>
  <si>
    <t>Mass staff absence</t>
  </si>
  <si>
    <t>Cyberattack</t>
  </si>
  <si>
    <t>Critical data loss</t>
  </si>
  <si>
    <t>Critical supplier failure</t>
  </si>
  <si>
    <t>Critical site loss</t>
  </si>
  <si>
    <t>Critical material shortage</t>
  </si>
  <si>
    <t>Distribution network failure</t>
  </si>
  <si>
    <t>Key person loss</t>
  </si>
  <si>
    <t>Core application outage</t>
  </si>
  <si>
    <t>Traceability records unavailable</t>
  </si>
  <si>
    <t>Import route disruption</t>
  </si>
  <si>
    <t>Production line failure</t>
  </si>
  <si>
    <t>Feed or farm input shortage</t>
  </si>
  <si>
    <t>Warehouse or depot loss</t>
  </si>
  <si>
    <t>Skilled operator shortage</t>
  </si>
  <si>
    <t>Data centre or cloud outage</t>
  </si>
  <si>
    <t>Food-safety records unavailable</t>
  </si>
  <si>
    <t>Logistics provider failure</t>
  </si>
  <si>
    <t>Process utility outage</t>
  </si>
  <si>
    <t>Packaging shortage</t>
  </si>
  <si>
    <t>Fleet, fuel, or route disruption</t>
  </si>
  <si>
    <t>Staff unable to access site</t>
  </si>
  <si>
    <t>Network or communications outage</t>
  </si>
  <si>
    <t>Inventory or master-data failure</t>
  </si>
  <si>
    <t>External utility outage</t>
  </si>
  <si>
    <t>Cold-chain equipment failure</t>
  </si>
  <si>
    <t>Incoming material rejection</t>
  </si>
  <si>
    <t>Finished-goods cold-chain failure</t>
  </si>
  <si>
    <t>Workforce evacuation</t>
  </si>
  <si>
    <t>Backup or recovery failure</t>
  </si>
  <si>
    <t>Regulatory records unavailable</t>
  </si>
  <si>
    <t>Outsourced service failure</t>
  </si>
  <si>
    <t>Maintenance or spare-parts shortage</t>
  </si>
  <si>
    <t>Material stock-out</t>
  </si>
  <si>
    <t>Customer channel or demand disruption</t>
  </si>
  <si>
    <t>Slot</t>
  </si>
  <si>
    <t>Risk ID # /
BIA # (assoc.)</t>
  </si>
  <si>
    <t>BU</t>
  </si>
  <si>
    <t>Division</t>
  </si>
  <si>
    <t>Applicable BIA #s</t>
  </si>
  <si>
    <t>Risk Assumption (select or type) /
Associated Product / Service (auto)</t>
  </si>
  <si>
    <t>Business Disruption Scenario (auto)</t>
  </si>
  <si>
    <t>ERM / Site Risk Register Ref#</t>
  </si>
  <si>
    <t>Implemented Controls</t>
  </si>
  <si>
    <t>Residual Likelihood (1-5)</t>
  </si>
  <si>
    <t>Likelihood Rating (auto)</t>
  </si>
  <si>
    <t>Residual Impact (1-5)</t>
  </si>
  <si>
    <t>Impact Rating (auto)</t>
  </si>
  <si>
    <t>Risk Rating (auto)</t>
  </si>
  <si>
    <t>BCP Priority (auto)
1=Critical...4=Low</t>
  </si>
  <si>
    <t>S&amp;S # (auto)</t>
  </si>
  <si>
    <t>R&amp;R IDs (auto)</t>
  </si>
  <si>
    <t>Continuity Strategies &amp; Solutions + MBCO Operating Mode</t>
  </si>
  <si>
    <t>Risk ID</t>
  </si>
  <si>
    <t>S&amp;S ID</t>
  </si>
  <si>
    <t>Dependency</t>
  </si>
  <si>
    <t>Risk Assumption</t>
  </si>
  <si>
    <t>Disruption Scenario</t>
  </si>
  <si>
    <t>Products / Services</t>
  </si>
  <si>
    <t>Strategy</t>
  </si>
  <si>
    <t>Strategy Details / Do nothing Justification</t>
  </si>
  <si>
    <t>Data Backup</t>
  </si>
  <si>
    <t>Fund</t>
  </si>
  <si>
    <t>Action Owner</t>
  </si>
  <si>
    <t>Start Date</t>
  </si>
  <si>
    <t>Due Date</t>
  </si>
  <si>
    <t>Completion Date</t>
  </si>
  <si>
    <t>1:1 Check</t>
  </si>
  <si>
    <t>Req ID</t>
  </si>
  <si>
    <t>Risk ID (auto)</t>
  </si>
  <si>
    <t>Category</t>
  </si>
  <si>
    <t>Item / Resource / Role</t>
  </si>
  <si>
    <t>Detail / Specification</t>
  </si>
  <si>
    <t>Primary Location</t>
  </si>
  <si>
    <t>Alternate Location(s)</t>
  </si>
  <si>
    <t>Supporting Documents</t>
  </si>
  <si>
    <t>Readiness</t>
  </si>
  <si>
    <t>IT Disaster Recovery Register</t>
  </si>
  <si>
    <t>DR ID</t>
  </si>
  <si>
    <t>Dependency category</t>
  </si>
  <si>
    <t>Dependency area</t>
  </si>
  <si>
    <t>Dependent System / Application</t>
  </si>
  <si>
    <t>Business P&amp;S supported</t>
  </si>
  <si>
    <t>Required RTO in hours</t>
  </si>
  <si>
    <t>Required RPO in hours</t>
  </si>
  <si>
    <t>DR RTO (capable)</t>
  </si>
  <si>
    <t>DR RPO (capable)</t>
  </si>
  <si>
    <t>DR Strategy</t>
  </si>
  <si>
    <t>DR Site / Location</t>
  </si>
  <si>
    <t>Last DR Test</t>
  </si>
  <si>
    <t>Test Scenario</t>
  </si>
  <si>
    <t>Result</t>
  </si>
  <si>
    <t>Next Test Due</t>
  </si>
  <si>
    <t>Status (auto)</t>
  </si>
  <si>
    <t>Gaps / Remarks</t>
  </si>
  <si>
    <t>RTO Compliance</t>
  </si>
  <si>
    <t>RPO Compliance</t>
  </si>
  <si>
    <t>R&amp;R ID</t>
  </si>
  <si>
    <t>Response &amp; Recovery Actions</t>
  </si>
  <si>
    <t>Supporting Plans / Procedures</t>
  </si>
  <si>
    <t>Solution Details</t>
  </si>
  <si>
    <t>Planned Exercise Date</t>
  </si>
  <si>
    <t>Actual Exercise Date</t>
  </si>
  <si>
    <t>Exercise Result</t>
  </si>
  <si>
    <t>Next Exercise Due</t>
  </si>
  <si>
    <t>Exercise Status</t>
  </si>
  <si>
    <t>Duplicate Check</t>
  </si>
  <si>
    <t>Consolidated BCM Risk Register (auto view for ERM &amp; audit)</t>
  </si>
  <si>
    <t>Risk Assumption (auto)</t>
  </si>
  <si>
    <t>Disruption Scenario (auto)</t>
  </si>
  <si>
    <t>Dependency (auto)</t>
  </si>
  <si>
    <t>Likelihood (auto)</t>
  </si>
  <si>
    <t>Impact (auto)</t>
  </si>
  <si>
    <t>Rating (auto)</t>
  </si>
  <si>
    <t>BCP Priority (auto)</t>
  </si>
  <si>
    <t>Associated BIA #s (auto)</t>
  </si>
  <si>
    <t>Associated P &amp; S Name</t>
  </si>
  <si>
    <t>Associated R &amp; R #</t>
  </si>
  <si>
    <t>S&amp;S Status - Worst Linked (auto)</t>
  </si>
  <si>
    <t>Earliest Outstanding Due Date (auto)</t>
  </si>
  <si>
    <t>Exercise Status - Worst Linked R&amp;R (auto)</t>
  </si>
  <si>
    <t>Treatment Health (auto)</t>
  </si>
  <si>
    <t>Review / Escalation (auto)</t>
  </si>
  <si>
    <t>Remarks (auto)</t>
  </si>
  <si>
    <t>Risk Owner (auto)</t>
  </si>
  <si>
    <t>Assessment Date (auto)</t>
  </si>
  <si>
    <t>Review Date (auto)</t>
  </si>
  <si>
    <t>Approver (auto)</t>
  </si>
  <si>
    <t>Evidence Reference (auto)</t>
  </si>
  <si>
    <t>Source Completion (auto)</t>
  </si>
  <si>
    <t>Corrective Action &amp; Continual Improvement Register</t>
  </si>
  <si>
    <t>CAPA ID</t>
  </si>
  <si>
    <t>Source Type</t>
  </si>
  <si>
    <t>Source Ref</t>
  </si>
  <si>
    <t>Finding Date</t>
  </si>
  <si>
    <t>Finding</t>
  </si>
  <si>
    <t>Severity</t>
  </si>
  <si>
    <t>Immediate Correction</t>
  </si>
  <si>
    <t>Root Cause</t>
  </si>
  <si>
    <t>Corrective Action</t>
  </si>
  <si>
    <t>Target Date</t>
  </si>
  <si>
    <t>Evidence Ref</t>
  </si>
  <si>
    <t>Verification Owner</t>
  </si>
  <si>
    <t>Verification Date</t>
  </si>
  <si>
    <t>Effectiveness</t>
  </si>
  <si>
    <t>Closure Date</t>
  </si>
  <si>
    <t>Days Open</t>
  </si>
  <si>
    <t>Overdue</t>
  </si>
  <si>
    <t>Approver</t>
  </si>
  <si>
    <t>Not Started</t>
  </si>
  <si>
    <t>Score</t>
  </si>
  <si>
    <t>Catastrophic</t>
  </si>
  <si>
    <t>Critical</t>
  </si>
  <si>
    <t>Medium</t>
  </si>
  <si>
    <t>Minor</t>
  </si>
  <si>
    <t>Negligible</t>
  </si>
  <si>
    <t>Low</t>
  </si>
  <si>
    <t>YN</t>
  </si>
  <si>
    <t>YPN</t>
  </si>
  <si>
    <t>DepCat</t>
  </si>
  <si>
    <t>CorpCrit</t>
  </si>
  <si>
    <t>ChainCrit</t>
  </si>
  <si>
    <t>TestResult</t>
  </si>
  <si>
    <t>DRStrategy</t>
  </si>
  <si>
    <t xml:space="preserve">Rating </t>
  </si>
  <si>
    <t>SPOF</t>
  </si>
  <si>
    <t>ReqCat</t>
  </si>
  <si>
    <t>BusinessUnits</t>
  </si>
  <si>
    <t>DivisionSite</t>
  </si>
  <si>
    <t>MTPD hrs</t>
  </si>
  <si>
    <t>Label</t>
  </si>
  <si>
    <t>Yes</t>
  </si>
  <si>
    <t>Critical - cannot be removed or moved</t>
  </si>
  <si>
    <t>Alternative Site / Relocation</t>
  </si>
  <si>
    <t>Pass</t>
  </si>
  <si>
    <t>Active-Active</t>
  </si>
  <si>
    <t>High</t>
  </si>
  <si>
    <t>In Place</t>
  </si>
  <si>
    <t>Up to 6 Hours</t>
  </si>
  <si>
    <t>No</t>
  </si>
  <si>
    <t>Partial</t>
  </si>
  <si>
    <t>Important - can be substituted</t>
  </si>
  <si>
    <t>In Progress</t>
  </si>
  <si>
    <t>Third-Party / Outsourcing Arrangement</t>
  </si>
  <si>
    <t>Pass with finding</t>
  </si>
  <si>
    <t>Active-Passive (Hot)</t>
  </si>
  <si>
    <t>Up to 18 Hours</t>
  </si>
  <si>
    <t>Under Evaluation</t>
  </si>
  <si>
    <t>Supporting - can be deferred</t>
  </si>
  <si>
    <t>Manual / Alternative Process (Workaround)</t>
  </si>
  <si>
    <t>Fail</t>
  </si>
  <si>
    <t>Warm Standby</t>
  </si>
  <si>
    <t>Missing</t>
  </si>
  <si>
    <t>Up to 36 Hours</t>
  </si>
  <si>
    <t>Can be ignored (out of chain)</t>
  </si>
  <si>
    <t>Completed</t>
  </si>
  <si>
    <t>Stock Build / Buffer Inventory</t>
  </si>
  <si>
    <t>Backup &amp; Restore</t>
  </si>
  <si>
    <t>External Document</t>
  </si>
  <si>
    <t>Up to 3 Days</t>
  </si>
  <si>
    <t>Dual / Multi-Sourcing</t>
  </si>
  <si>
    <t>Cloud DR</t>
  </si>
  <si>
    <t>Up to 1 Week</t>
  </si>
  <si>
    <t>N/A</t>
  </si>
  <si>
    <t>Resource Redundancy (People/Equipment)</t>
  </si>
  <si>
    <t>None (gap)</t>
  </si>
  <si>
    <t>Up to 2 Weeks</t>
  </si>
  <si>
    <t>Do Nothing / Accept (justify)</t>
  </si>
  <si>
    <t>Up to 3 Weeks</t>
  </si>
  <si>
    <t>Up to 4 Weeks</t>
  </si>
  <si>
    <t>&gt; 1 Month</t>
  </si>
  <si>
    <t>Active-Active, Active-Passive (Hot), Warm Standby, Backup &amp; Restore, Cloud DR, None (gap)</t>
  </si>
  <si>
    <t>BCM Programme Dashboard - Organization</t>
  </si>
  <si>
    <t>Scope: Organization Products &amp; Services</t>
  </si>
  <si>
    <t>Strategies &amp; Solutions Requirements Register</t>
  </si>
  <si>
    <t>Recovery &amp; Response Plan</t>
  </si>
  <si>
    <t>Workbook support lists — editable values; calculated lists update from Products &amp; Services</t>
  </si>
  <si>
    <t>Evidence status</t>
  </si>
  <si>
    <t>Risk Owner</t>
  </si>
  <si>
    <t>Evidence Reference</t>
  </si>
  <si>
    <t>Source Completion</t>
  </si>
  <si>
    <t>Risk Score (Likelihood × Impact)</t>
  </si>
  <si>
    <t>Business unit list order</t>
  </si>
  <si>
    <t>Division list order</t>
  </si>
  <si>
    <t>Duration unit</t>
  </si>
  <si>
    <t>Hours multiplier</t>
  </si>
  <si>
    <t>hou</t>
  </si>
  <si>
    <t>day</t>
  </si>
  <si>
    <t>wee</t>
  </si>
  <si>
    <t>mon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</si>
</sst>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dd\-mmm\-yy"/>
    <numFmt numFmtId="167" formatCode="dd\ mmm\ yyyy"/>
    <numFmt numFmtId="168" formatCode="0.##"/>
  </numFmts>
  <fonts count="44" x14ac:knownFonts="1">
    <font>
      <sz val="11"/>
      <color theme="1"/>
      <name val="Calibri"/>
      <family val="2"/>
      <charset val="1"/>
    </font>
    <font>
      <sz val="10"/>
      <name val="Arial"/>
      <family val="2"/>
      <charset val="1"/>
    </font>
    <font>
      <sz val="12"/>
      <color theme="1"/>
      <name val="Calibri"/>
      <family val="2"/>
      <charset val="1"/>
    </font>
    <font>
      <b/>
      <sz val="9"/>
      <color rgb="FF000000"/>
      <name val="Calibri"/>
      <charset val="1"/>
    </font>
    <font>
      <sz val="9"/>
      <color rgb="FF000000"/>
      <name val="Calibri"/>
      <charset val="1"/>
    </font>
    <font>
      <sz val="8"/>
      <color rgb="FF000000"/>
      <name val="Calibri"/>
      <charset val="1"/>
    </font>
    <font>
      <b/>
      <sz val="8"/>
      <color rgb="FF000000"/>
      <name val="Calibri"/>
      <charset val="1"/>
    </font>
    <font>
      <b/>
      <sz val="8"/>
      <color rgb="FF004687"/>
      <name val="Calibri"/>
      <charset val="1"/>
    </font>
    <font>
      <b/>
      <sz val="8"/>
      <color rgb="FFFFFFFF"/>
      <name val="Calibri"/>
      <charset val="1"/>
    </font>
    <font>
      <b/>
      <sz val="14"/>
      <color rgb="FFFFFFFF"/>
      <name val="Calibri"/>
      <charset val="1"/>
    </font>
    <font>
      <sz val="10"/>
      <color rgb="FFFFFFFF"/>
      <name val="Calibri"/>
      <charset val="1"/>
    </font>
    <font>
      <b/>
      <sz val="12"/>
      <color rgb="FF004687"/>
      <name val="Calibri"/>
      <charset val="1"/>
    </font>
    <font>
      <b/>
      <sz val="10"/>
      <color rgb="FF000000"/>
      <name val="Calibri"/>
      <charset val="1"/>
    </font>
    <font>
      <b/>
      <sz val="10"/>
      <color rgb="FFFFFFFF"/>
      <name val="Calibri"/>
      <charset val="1"/>
    </font>
    <font>
      <b/>
      <sz val="14"/>
      <color rgb="FFFFFFFF"/>
      <name val="Calibri"/>
      <family val="2"/>
      <charset val="1"/>
    </font>
    <font>
      <i/>
      <sz val="10"/>
      <color theme="1"/>
      <name val="Calibri"/>
      <family val="2"/>
      <charset val="1"/>
    </font>
    <font>
      <b/>
      <sz val="11"/>
      <color rgb="FFFFFFFF"/>
      <name val="Calibri"/>
      <family val="2"/>
      <charset val="1"/>
    </font>
    <font>
      <b/>
      <sz val="11"/>
      <color theme="1"/>
      <name val="Calibri"/>
      <family val="2"/>
      <charset val="1"/>
    </font>
    <font>
      <b/>
      <sz val="9"/>
      <color rgb="FF004687"/>
      <name val="Calibri"/>
      <charset val="1"/>
    </font>
    <font>
      <b/>
      <sz val="9"/>
      <color rgb="FF192882"/>
      <name val="Calibri"/>
      <charset val="1"/>
    </font>
    <font>
      <b/>
      <sz val="9"/>
      <color rgb="FFFFFFFF"/>
      <name val="Calibri"/>
      <charset val="1"/>
    </font>
    <font>
      <b/>
      <sz val="8"/>
      <color rgb="FF009137"/>
      <name val="Calibri"/>
      <charset val="1"/>
    </font>
    <font>
      <b/>
      <sz val="12"/>
      <color rgb="FF192882"/>
      <name val="Calibri"/>
      <charset val="1"/>
    </font>
    <font>
      <sz val="11"/>
      <color rgb="FFFF0000"/>
      <name val="Calibri"/>
      <family val="2"/>
      <charset val="1"/>
    </font>
    <font>
      <b/>
      <sz val="11"/>
      <color theme="0"/>
      <name val="Calibri"/>
      <family val="2"/>
      <charset val="1"/>
    </font>
    <font>
      <sz val="11"/>
      <name val="Calibri"/>
      <family val="2"/>
      <charset val="1"/>
    </font>
    <font>
      <sz val="11"/>
      <color rgb="FFFFFFFF"/>
      <name val="Calibri"/>
      <family val="2"/>
      <charset val="1"/>
    </font>
    <font>
      <sz val="11"/>
      <color theme="1"/>
      <name val="Calibri"/>
      <family val="2"/>
      <charset val="1"/>
    </font>
    <font>
      <u/>
      <sz val="11"/>
      <color theme="10"/>
      <name val="Calibri"/>
      <family val="2"/>
      <charset val="1"/>
    </font>
    <font>
      <b/>
      <sz val="9"/>
      <color theme="0"/>
      <name val="Calibri"/>
    </font>
    <font>
      <sz val="11"/>
      <color theme="1"/>
      <name val="Calibri"/>
      <family val="2"/>
      <scheme val="minor"/>
    </font>
    <font>
      <sz val="10"/>
      <color theme="1"/>
      <name val="Calibri"/>
      <family val="2"/>
    </font>
    <font>
      <sz val="10"/>
      <color rgb="FF000000"/>
      <name val="Calibri"/>
      <family val="2"/>
    </font>
    <font>
      <b/>
      <sz val="8"/>
      <name val="Calibri"/>
      <charset val="1"/>
    </font>
    <font>
      <sz val="11"/>
      <name val="Calibri"/>
    </font>
    <font>
      <b/>
      <sz val="8"/>
      <color theme="0"/>
      <name val="Calibri"/>
      <charset val="1"/>
    </font>
    <font>
      <b/>
      <sz val="11"/>
      <color theme="0"/>
      <name val="Calibri"/>
      <family val="2"/>
    </font>
    <font>
      <sz val="8"/>
      <name val="Calibri"/>
      <family val="2"/>
      <charset val="1"/>
    </font>
    <font>
      <sz val="9"/>
      <color indexed="81"/>
      <name val="Tahoma"/>
      <family val="2"/>
    </font>
    <font>
      <b/>
      <sz val="9"/>
      <color rgb="FF192882"/>
      <name val="Calibri"/>
    </font>
    <font>
      <sz val="9"/>
      <color rgb="FF000000"/>
      <name val="Calibri"/>
    </font>
    <font>
      <sz val="8"/>
      <color rgb="FF000000"/>
      <name val="Calibri"/>
    </font>
    <font>
      <b/>
      <sz val="18"/>
      <color rgb="FFFFFFFF"/>
      <name val="Calibri"/>
      <family val="2"/>
      <charset val="1"/>
    </font>
    <font>
      <sz val="11"/>
      <color rgb="FF1F1F1F"/>
      <name val="Calibri"/>
      <family val="2"/>
      <charset val="1"/>
    </font>
  </fonts>
  <fills count="35">
    <fill>
      <patternFill patternType="none"/>
    </fill>
    <fill>
      <patternFill patternType="gray125"/>
    </fill>
    <fill>
      <patternFill patternType="solid">
        <fgColor rgb="FFE7EEF7"/>
        <bgColor rgb="FFE3ECF8"/>
      </patternFill>
    </fill>
    <fill>
      <patternFill patternType="solid">
        <fgColor rgb="FF00A0E1"/>
        <bgColor rgb="FF4BACC6"/>
      </patternFill>
    </fill>
    <fill>
      <patternFill patternType="solid">
        <fgColor rgb="FF192882"/>
        <bgColor rgb="FF191E8C"/>
      </patternFill>
    </fill>
    <fill>
      <patternFill patternType="solid">
        <fgColor rgb="FF004687"/>
        <bgColor rgb="FF1F4E79"/>
      </patternFill>
    </fill>
    <fill>
      <patternFill patternType="solid">
        <fgColor theme="0"/>
        <bgColor rgb="FFF2F2F2"/>
      </patternFill>
    </fill>
    <fill>
      <patternFill patternType="solid">
        <fgColor rgb="FF1F4E79"/>
        <bgColor rgb="FF004687"/>
      </patternFill>
    </fill>
    <fill>
      <patternFill patternType="solid">
        <fgColor rgb="FFD6DCE5"/>
        <bgColor rgb="FFD9D9D9"/>
      </patternFill>
    </fill>
    <fill>
      <patternFill patternType="solid">
        <fgColor rgb="FF2E75B6"/>
        <bgColor rgb="FF3072C2"/>
      </patternFill>
    </fill>
    <fill>
      <patternFill patternType="solid">
        <fgColor rgb="FFF2F2F2"/>
        <bgColor rgb="FFE7EEF7"/>
      </patternFill>
    </fill>
    <fill>
      <patternFill patternType="solid">
        <fgColor rgb="FFBDD7EE"/>
        <bgColor rgb="FFD6DCE5"/>
      </patternFill>
    </fill>
    <fill>
      <patternFill patternType="solid">
        <fgColor rgb="FF009137"/>
        <bgColor rgb="FF00B050"/>
      </patternFill>
    </fill>
    <fill>
      <patternFill patternType="solid">
        <fgColor rgb="FF004687"/>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EEFE2"/>
        <bgColor indexed="64"/>
      </patternFill>
    </fill>
    <fill>
      <patternFill patternType="solid">
        <fgColor rgb="FFFEEFE2"/>
        <bgColor rgb="FFFDEADA"/>
      </patternFill>
    </fill>
    <fill>
      <patternFill patternType="solid">
        <fgColor theme="9" tint="0.79998168889431442"/>
        <bgColor rgb="FFE3ECF8"/>
      </patternFill>
    </fill>
    <fill>
      <patternFill patternType="solid">
        <fgColor theme="9" tint="0.79998168889431442"/>
        <bgColor rgb="FFFDEADA"/>
      </patternFill>
    </fill>
    <fill>
      <patternFill patternType="solid">
        <fgColor theme="4" tint="0.79998168889431442"/>
        <bgColor rgb="FFE3ECF8"/>
      </patternFill>
    </fill>
    <fill>
      <patternFill patternType="solid">
        <fgColor theme="4" tint="0.79998168889431442"/>
        <bgColor rgb="FFF2F2F2"/>
      </patternFill>
    </fill>
    <fill>
      <patternFill patternType="solid">
        <fgColor theme="4"/>
        <bgColor theme="4"/>
      </patternFill>
    </fill>
    <fill>
      <patternFill patternType="solid">
        <fgColor rgb="FF1F4E78"/>
        <bgColor indexed="64"/>
      </patternFill>
    </fill>
    <fill>
      <patternFill patternType="solid">
        <fgColor rgb="FFE7EEF7"/>
        <bgColor indexed="64"/>
      </patternFill>
    </fill>
    <fill>
      <patternFill patternType="solid">
        <fgColor rgb="FFD9EAF7"/>
        <bgColor indexed="64"/>
      </patternFill>
    </fill>
    <fill>
      <patternFill patternType="solid">
        <fgColor rgb="FF4472C4"/>
        <bgColor indexed="64"/>
      </patternFill>
    </fill>
    <fill>
      <patternFill patternType="solid">
        <fgColor rgb="FFFDE9D9"/>
        <bgColor indexed="64"/>
      </patternFill>
    </fill>
    <fill>
      <patternFill patternType="solid">
        <fgColor rgb="FFFDE9D9"/>
        <bgColor rgb="FF191E8C"/>
      </patternFill>
    </fill>
    <fill>
      <patternFill patternType="solid">
        <fgColor rgb="FFFDE9D9"/>
        <bgColor rgb="FFE3ECF8"/>
      </patternFill>
    </fill>
    <fill>
      <patternFill patternType="solid">
        <fgColor rgb="FFE7EEF7"/>
        <bgColor rgb="FFF2F2F2"/>
      </patternFill>
    </fill>
    <fill>
      <patternFill patternType="solid">
        <fgColor rgb="FF17365D"/>
        <bgColor indexed="64"/>
      </patternFill>
    </fill>
    <fill>
      <patternFill patternType="solid">
        <fgColor rgb="FFDCE6F1"/>
        <bgColor indexed="64"/>
      </patternFill>
    </fill>
    <fill>
      <patternFill patternType="solid">
        <fgColor rgb="FFFFF2CC"/>
        <bgColor indexed="64"/>
      </patternFill>
    </fill>
    <fill>
      <patternFill patternType="solid">
        <fgColor rgb="FFFFFF99"/>
        <bgColor indexed="64"/>
      </patternFill>
    </fill>
  </fills>
  <borders count="39">
    <border>
      <left/>
      <right/>
      <top/>
      <bottom/>
      <diagonal/>
    </border>
    <border>
      <left style="thin">
        <color auto="1"/>
      </left>
      <right style="thin">
        <color auto="1"/>
      </right>
      <top style="thin">
        <color auto="1"/>
      </top>
      <bottom style="thin">
        <color auto="1"/>
      </bottom>
      <diagonal/>
    </border>
    <border>
      <left style="thin">
        <color rgb="FFB0B0B0"/>
      </left>
      <right style="thin">
        <color rgb="FFB0B0B0"/>
      </right>
      <top style="thin">
        <color rgb="FFB0B0B0"/>
      </top>
      <bottom style="thin">
        <color rgb="FFB0B0B0"/>
      </bottom>
      <diagonal/>
    </border>
    <border>
      <left style="thin">
        <color auto="1"/>
      </left>
      <right style="thin">
        <color rgb="FFD9D9D9"/>
      </right>
      <top style="thin">
        <color auto="1"/>
      </top>
      <bottom style="thin">
        <color rgb="FFD9D9D9"/>
      </bottom>
      <diagonal/>
    </border>
    <border>
      <left style="thin">
        <color auto="1"/>
      </left>
      <right style="thin">
        <color rgb="FFD9D9D9"/>
      </right>
      <top style="thin">
        <color rgb="FFD9D9D9"/>
      </top>
      <bottom style="thin">
        <color rgb="FFD9D9D9"/>
      </bottom>
      <diagonal/>
    </border>
    <border>
      <left style="thin">
        <color rgb="FFD9D9D9"/>
      </left>
      <right style="thin">
        <color auto="1"/>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auto="1"/>
      </left>
      <right style="thin">
        <color rgb="FFD9D9D9"/>
      </right>
      <top style="thin">
        <color rgb="FFD9D9D9"/>
      </top>
      <bottom style="thin">
        <color auto="1"/>
      </bottom>
      <diagonal/>
    </border>
    <border>
      <left style="thin">
        <color rgb="FFD9D9D9"/>
      </left>
      <right style="thin">
        <color rgb="FFD9D9D9"/>
      </right>
      <top style="thin">
        <color rgb="FFD9D9D9"/>
      </top>
      <bottom style="thin">
        <color auto="1"/>
      </bottom>
      <diagonal/>
    </border>
    <border>
      <left style="thin">
        <color rgb="FFB0B0B0"/>
      </left>
      <right style="thin">
        <color rgb="FFB0B0B0"/>
      </right>
      <top style="thin">
        <color rgb="FFB0B0B0"/>
      </top>
      <bottom/>
      <diagonal/>
    </border>
    <border>
      <left style="thin">
        <color rgb="FFB0B0B0"/>
      </left>
      <right/>
      <top style="thin">
        <color rgb="FFB0B0B0"/>
      </top>
      <bottom style="thin">
        <color rgb="FFB0B0B0"/>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
      <left style="thin">
        <color rgb="FFB0B0B0"/>
      </left>
      <right style="thin">
        <color rgb="FFB0B0B0"/>
      </right>
      <top/>
      <bottom/>
      <diagonal/>
    </border>
    <border>
      <left style="thin">
        <color auto="1"/>
      </left>
      <right style="thin">
        <color auto="1"/>
      </right>
      <top style="thin">
        <color auto="1"/>
      </top>
      <bottom/>
      <diagonal/>
    </border>
    <border>
      <left style="thin">
        <color theme="0"/>
      </left>
      <right style="thin">
        <color rgb="FFB0B0B0"/>
      </right>
      <top style="thin">
        <color rgb="FFB0B0B0"/>
      </top>
      <bottom style="thin">
        <color rgb="FFB0B0B0"/>
      </bottom>
      <diagonal/>
    </border>
    <border>
      <left/>
      <right style="thin">
        <color auto="1"/>
      </right>
      <top style="thin">
        <color auto="1"/>
      </top>
      <bottom style="thin">
        <color auto="1"/>
      </bottom>
      <diagonal/>
    </border>
    <border>
      <left/>
      <right/>
      <top style="thin">
        <color auto="1"/>
      </top>
      <bottom style="thin">
        <color rgb="FFD9D9D9"/>
      </bottom>
      <diagonal/>
    </border>
    <border>
      <left/>
      <right style="thin">
        <color rgb="FFD9D9D9"/>
      </right>
      <top style="thin">
        <color auto="1"/>
      </top>
      <bottom style="thin">
        <color rgb="FFD9D9D9"/>
      </bottom>
      <diagonal/>
    </border>
    <border>
      <left/>
      <right/>
      <top style="thin">
        <color rgb="FFD9D9D9"/>
      </top>
      <bottom style="thin">
        <color rgb="FFD9D9D9"/>
      </bottom>
      <diagonal/>
    </border>
    <border>
      <left/>
      <right style="thin">
        <color auto="1"/>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B0B0B0"/>
      </left>
      <right style="thin">
        <color rgb="FFB0B0B0"/>
      </right>
      <top/>
      <bottom style="thin">
        <color rgb="FFB0B0B0"/>
      </bottom>
      <diagonal/>
    </border>
    <border>
      <left/>
      <right style="thin">
        <color rgb="FFB0B0B0"/>
      </right>
      <top/>
      <bottom style="thin">
        <color rgb="FFB0B0B0"/>
      </bottom>
      <diagonal/>
    </border>
    <border>
      <left style="thin">
        <color rgb="FFB0B0B0"/>
      </left>
      <right/>
      <top/>
      <bottom style="thin">
        <color rgb="FFB0B0B0"/>
      </bottom>
      <diagonal/>
    </border>
    <border>
      <left/>
      <right style="thin">
        <color rgb="FFB0B0B0"/>
      </right>
      <top style="thin">
        <color rgb="FFB0B0B0"/>
      </top>
      <bottom/>
      <diagonal/>
    </border>
    <border>
      <left style="thin">
        <color rgb="FFB0B0B0"/>
      </left>
      <right/>
      <top style="thin">
        <color rgb="FFB0B0B0"/>
      </top>
      <bottom/>
      <diagonal/>
    </border>
    <border>
      <left style="thin">
        <color rgb="FFB0B0B0"/>
      </left>
      <right/>
      <top/>
      <bottom/>
      <diagonal/>
    </border>
    <border>
      <left/>
      <right/>
      <top style="thin">
        <color rgb="FFB0B0B0"/>
      </top>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rgb="FFD9D9D9"/>
      </left>
      <right/>
      <top style="thin">
        <color rgb="FFD9D9D9"/>
      </top>
      <bottom/>
      <diagonal/>
    </border>
    <border>
      <left/>
      <right/>
      <top style="thin">
        <color rgb="FFD9D9D9"/>
      </top>
      <bottom/>
      <diagonal/>
    </border>
    <border>
      <left style="thin">
        <color rgb="FFD9D9D9"/>
      </left>
      <right/>
      <top/>
      <bottom/>
      <diagonal/>
    </border>
    <border>
      <left/>
      <right/>
      <top/>
      <bottom style="thin">
        <color auto="1"/>
      </bottom>
      <diagonal/>
    </border>
  </borders>
  <cellStyleXfs count="7">
    <xf numFmtId="0" fontId="0" fillId="0" borderId="0"/>
    <xf numFmtId="0" fontId="28" fillId="0" borderId="0"/>
    <xf numFmtId="0" fontId="1" fillId="0" borderId="0"/>
    <xf numFmtId="0" fontId="27" fillId="0" borderId="0"/>
    <xf numFmtId="0" fontId="1" fillId="0" borderId="0"/>
    <xf numFmtId="0" fontId="2" fillId="0" borderId="0"/>
    <xf numFmtId="0" fontId="30" fillId="0" borderId="0"/>
  </cellStyleXfs>
  <cellXfs count="332">
    <xf numFmtId="0" fontId="0" fillId="0" borderId="0" xfId="0"/>
    <xf numFmtId="0" fontId="5" fillId="0" borderId="1" xfId="0" applyFont="1" applyBorder="1" applyAlignment="1">
      <alignment horizontal="center" vertical="center" wrapText="1"/>
    </xf>
    <xf numFmtId="0" fontId="8" fillId="4" borderId="2" xfId="0" applyFont="1" applyFill="1" applyBorder="1" applyAlignment="1">
      <alignment horizontal="center" vertical="center" wrapText="1"/>
    </xf>
    <xf numFmtId="0" fontId="0" fillId="0" borderId="0" xfId="0" applyAlignment="1">
      <alignment wrapText="1"/>
    </xf>
    <xf numFmtId="0" fontId="18" fillId="2" borderId="2" xfId="0" applyFont="1" applyFill="1" applyBorder="1" applyAlignment="1">
      <alignment horizontal="center" vertical="center" wrapText="1"/>
    </xf>
    <xf numFmtId="0" fontId="20" fillId="5" borderId="2" xfId="0" applyFont="1" applyFill="1" applyBorder="1" applyAlignment="1">
      <alignment horizontal="center" vertical="center" wrapText="1"/>
    </xf>
    <xf numFmtId="0" fontId="20" fillId="4"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22" fillId="0" borderId="0" xfId="0" applyFont="1"/>
    <xf numFmtId="0" fontId="12" fillId="2" borderId="2" xfId="0" applyFont="1" applyFill="1" applyBorder="1" applyAlignment="1">
      <alignment horizontal="left" vertical="center" wrapText="1"/>
    </xf>
    <xf numFmtId="0" fontId="11" fillId="0" borderId="2" xfId="0" applyFont="1" applyBorder="1" applyAlignment="1">
      <alignment horizontal="center" vertical="center" wrapText="1"/>
    </xf>
    <xf numFmtId="0" fontId="23" fillId="0" borderId="0" xfId="0" applyFont="1"/>
    <xf numFmtId="0" fontId="0" fillId="2" borderId="0" xfId="0" applyFill="1"/>
    <xf numFmtId="0" fontId="5" fillId="0" borderId="1" xfId="0" applyFont="1" applyBorder="1" applyAlignment="1">
      <alignment horizontal="left" vertical="center" wrapText="1"/>
    </xf>
    <xf numFmtId="0" fontId="0" fillId="15" borderId="1" xfId="0" applyFill="1" applyBorder="1"/>
    <xf numFmtId="0" fontId="7" fillId="18" borderId="1" xfId="0" applyFont="1" applyFill="1" applyBorder="1" applyAlignment="1">
      <alignment horizontal="center" vertical="center" wrapText="1"/>
    </xf>
    <xf numFmtId="0" fontId="7" fillId="18" borderId="1" xfId="0" quotePrefix="1" applyFont="1" applyFill="1" applyBorder="1" applyAlignment="1">
      <alignment horizontal="center" vertical="center" wrapText="1"/>
    </xf>
    <xf numFmtId="0" fontId="0" fillId="0" borderId="0" xfId="0" applyProtection="1">
      <protection locked="0"/>
    </xf>
    <xf numFmtId="0" fontId="4" fillId="0" borderId="2" xfId="0" applyFont="1" applyBorder="1" applyAlignment="1" applyProtection="1">
      <alignment horizontal="left" vertical="center" wrapText="1"/>
      <protection locked="0"/>
    </xf>
    <xf numFmtId="0" fontId="23" fillId="0" borderId="0" xfId="0" applyFont="1" applyProtection="1">
      <protection locked="0"/>
    </xf>
    <xf numFmtId="0" fontId="19" fillId="2" borderId="2" xfId="0" applyFont="1" applyFill="1" applyBorder="1" applyAlignment="1">
      <alignment horizontal="center" vertical="center" wrapText="1"/>
    </xf>
    <xf numFmtId="0" fontId="0" fillId="0" borderId="6" xfId="0" applyBorder="1" applyAlignment="1" applyProtection="1">
      <alignment wrapText="1"/>
      <protection locked="0"/>
    </xf>
    <xf numFmtId="0" fontId="0" fillId="6" borderId="6" xfId="0" applyFill="1" applyBorder="1" applyAlignment="1" applyProtection="1">
      <alignment wrapText="1"/>
      <protection locked="0"/>
    </xf>
    <xf numFmtId="0" fontId="17" fillId="10" borderId="4" xfId="0" applyFont="1" applyFill="1" applyBorder="1"/>
    <xf numFmtId="0" fontId="0" fillId="0" borderId="4" xfId="0" applyBorder="1"/>
    <xf numFmtId="0" fontId="0" fillId="0" borderId="6" xfId="0" applyBorder="1" applyAlignment="1">
      <alignment wrapText="1"/>
    </xf>
    <xf numFmtId="0" fontId="0" fillId="0" borderId="5" xfId="0" applyBorder="1" applyAlignment="1">
      <alignment wrapText="1"/>
    </xf>
    <xf numFmtId="0" fontId="17" fillId="11" borderId="4" xfId="0" applyFont="1" applyFill="1" applyBorder="1"/>
    <xf numFmtId="0" fontId="17" fillId="11" borderId="6" xfId="0" applyFont="1" applyFill="1" applyBorder="1" applyAlignment="1">
      <alignment wrapText="1"/>
    </xf>
    <xf numFmtId="0" fontId="17" fillId="11" borderId="5" xfId="0" applyFont="1" applyFill="1" applyBorder="1" applyAlignment="1">
      <alignment wrapText="1"/>
    </xf>
    <xf numFmtId="0" fontId="17" fillId="0" borderId="4" xfId="0" applyFont="1" applyBorder="1"/>
    <xf numFmtId="0" fontId="17" fillId="10" borderId="7" xfId="0" applyFont="1" applyFill="1" applyBorder="1"/>
    <xf numFmtId="0" fontId="23" fillId="0" borderId="0" xfId="0" applyFont="1" applyAlignment="1">
      <alignment vertical="top" wrapText="1"/>
    </xf>
    <xf numFmtId="0" fontId="4" fillId="19" borderId="2" xfId="0" applyFont="1" applyFill="1" applyBorder="1" applyAlignment="1" applyProtection="1">
      <alignment horizontal="center" vertical="center" wrapText="1"/>
      <protection locked="0"/>
    </xf>
    <xf numFmtId="0" fontId="4" fillId="0" borderId="2" xfId="0" applyFont="1" applyBorder="1" applyAlignment="1" applyProtection="1">
      <alignment horizontal="center" vertical="center" wrapText="1"/>
      <protection locked="0"/>
    </xf>
    <xf numFmtId="0" fontId="0" fillId="0" borderId="1" xfId="0" applyBorder="1" applyAlignment="1" applyProtection="1">
      <alignment vertical="top"/>
      <protection locked="0"/>
    </xf>
    <xf numFmtId="0" fontId="0" fillId="15" borderId="1" xfId="0" applyFill="1" applyBorder="1" applyAlignment="1" applyProtection="1">
      <alignment vertical="top"/>
      <protection locked="0"/>
    </xf>
    <xf numFmtId="0" fontId="0" fillId="0" borderId="1" xfId="0" applyBorder="1" applyAlignment="1" applyProtection="1">
      <alignment vertical="top" wrapText="1"/>
      <protection locked="0"/>
    </xf>
    <xf numFmtId="0" fontId="31" fillId="0" borderId="1" xfId="6" applyFont="1" applyBorder="1" applyAlignment="1" applyProtection="1">
      <alignment vertical="top" wrapText="1"/>
      <protection locked="0"/>
    </xf>
    <xf numFmtId="0" fontId="0" fillId="15" borderId="1" xfId="0" applyFill="1" applyBorder="1" applyProtection="1">
      <protection locked="0"/>
    </xf>
    <xf numFmtId="0" fontId="0" fillId="0" borderId="1" xfId="0" applyBorder="1" applyAlignment="1" applyProtection="1">
      <alignment wrapText="1"/>
      <protection locked="0"/>
    </xf>
    <xf numFmtId="0" fontId="0" fillId="0" borderId="1" xfId="0" applyBorder="1" applyProtection="1">
      <protection locked="0"/>
    </xf>
    <xf numFmtId="0" fontId="0" fillId="14" borderId="1" xfId="0" applyFill="1" applyBorder="1" applyAlignment="1">
      <alignment vertical="top" wrapText="1"/>
    </xf>
    <xf numFmtId="0" fontId="0" fillId="14" borderId="1" xfId="0" applyFill="1" applyBorder="1" applyAlignment="1">
      <alignment wrapText="1"/>
    </xf>
    <xf numFmtId="0" fontId="0" fillId="0" borderId="0" xfId="0" applyAlignment="1">
      <alignment vertical="top"/>
    </xf>
    <xf numFmtId="0" fontId="12" fillId="2" borderId="2" xfId="0" applyFont="1" applyFill="1" applyBorder="1" applyAlignment="1">
      <alignment horizontal="center" vertical="center" wrapText="1"/>
    </xf>
    <xf numFmtId="0" fontId="0" fillId="0" borderId="0" xfId="0" quotePrefix="1"/>
    <xf numFmtId="0" fontId="4" fillId="15" borderId="2" xfId="0" applyFont="1" applyFill="1" applyBorder="1" applyAlignment="1" applyProtection="1">
      <alignment horizontal="center" vertical="center" wrapText="1"/>
      <protection locked="0"/>
    </xf>
    <xf numFmtId="0" fontId="4" fillId="17" borderId="2" xfId="0" applyFont="1" applyFill="1" applyBorder="1" applyAlignment="1" applyProtection="1">
      <alignment horizontal="center" vertical="center" wrapText="1"/>
      <protection locked="0"/>
    </xf>
    <xf numFmtId="0" fontId="0" fillId="16" borderId="10" xfId="0" applyFill="1" applyBorder="1" applyProtection="1">
      <protection locked="0"/>
    </xf>
    <xf numFmtId="0" fontId="4" fillId="16" borderId="2" xfId="0" applyFont="1" applyFill="1" applyBorder="1" applyAlignment="1" applyProtection="1">
      <alignment horizontal="center" vertical="center" wrapText="1"/>
      <protection locked="0"/>
    </xf>
    <xf numFmtId="0" fontId="4" fillId="0" borderId="2" xfId="0" applyFont="1" applyBorder="1" applyAlignment="1" applyProtection="1">
      <alignment horizontal="left" vertical="center"/>
      <protection locked="0"/>
    </xf>
    <xf numFmtId="0" fontId="32" fillId="0" borderId="15" xfId="3" applyFont="1" applyBorder="1" applyAlignment="1" applyProtection="1">
      <alignment horizontal="left"/>
      <protection locked="0"/>
    </xf>
    <xf numFmtId="0" fontId="36" fillId="13" borderId="0" xfId="0" applyFont="1" applyFill="1"/>
    <xf numFmtId="0" fontId="24" fillId="13" borderId="14" xfId="0" applyFont="1" applyFill="1" applyBorder="1"/>
    <xf numFmtId="0" fontId="24" fillId="13" borderId="1" xfId="0" applyFont="1" applyFill="1" applyBorder="1"/>
    <xf numFmtId="0" fontId="20" fillId="5" borderId="1" xfId="0" applyFont="1" applyFill="1" applyBorder="1" applyAlignment="1" applyProtection="1">
      <alignment horizontal="center" vertical="center" wrapText="1"/>
      <protection locked="0"/>
    </xf>
    <xf numFmtId="0" fontId="0" fillId="14" borderId="0" xfId="0" applyFill="1" applyProtection="1">
      <protection locked="0"/>
    </xf>
    <xf numFmtId="0" fontId="5" fillId="19" borderId="2" xfId="0" applyFont="1" applyFill="1" applyBorder="1" applyAlignment="1" applyProtection="1">
      <alignment horizontal="center" vertical="center" wrapText="1"/>
      <protection locked="0"/>
    </xf>
    <xf numFmtId="0" fontId="5" fillId="15" borderId="2" xfId="0" applyFont="1" applyFill="1" applyBorder="1" applyAlignment="1" applyProtection="1">
      <alignment horizontal="center" vertical="center" wrapText="1"/>
      <protection locked="0"/>
    </xf>
    <xf numFmtId="0" fontId="5" fillId="0" borderId="2" xfId="0" applyFont="1" applyBorder="1" applyAlignment="1" applyProtection="1">
      <alignment horizontal="left" vertical="center" wrapText="1"/>
      <protection locked="0"/>
    </xf>
    <xf numFmtId="165" fontId="5" fillId="0" borderId="2" xfId="0" applyNumberFormat="1" applyFont="1" applyBorder="1" applyAlignment="1" applyProtection="1">
      <alignment horizontal="center" vertical="center" wrapText="1"/>
      <protection locked="0"/>
    </xf>
    <xf numFmtId="9" fontId="4" fillId="0" borderId="2" xfId="0" applyNumberFormat="1" applyFont="1" applyBorder="1" applyAlignment="1" applyProtection="1">
      <alignment horizontal="left" vertical="center" wrapText="1"/>
      <protection locked="0"/>
    </xf>
    <xf numFmtId="0" fontId="4" fillId="0" borderId="2" xfId="0" quotePrefix="1" applyFont="1" applyBorder="1" applyAlignment="1" applyProtection="1">
      <alignment horizontal="left" vertical="center" wrapText="1"/>
      <protection locked="0"/>
    </xf>
    <xf numFmtId="165" fontId="5" fillId="0" borderId="1" xfId="0" applyNumberFormat="1" applyFont="1" applyBorder="1" applyAlignment="1">
      <alignment horizontal="center" vertical="center" wrapText="1"/>
    </xf>
    <xf numFmtId="0" fontId="0" fillId="14" borderId="1" xfId="0" applyFill="1" applyBorder="1"/>
    <xf numFmtId="0" fontId="18" fillId="20" borderId="2" xfId="0" applyFont="1" applyFill="1" applyBorder="1" applyAlignment="1">
      <alignment horizontal="center" vertical="center" wrapText="1"/>
    </xf>
    <xf numFmtId="0" fontId="4" fillId="20" borderId="2" xfId="0" applyFont="1" applyFill="1" applyBorder="1" applyAlignment="1">
      <alignment horizontal="left" vertical="center" wrapText="1"/>
    </xf>
    <xf numFmtId="0" fontId="7" fillId="20" borderId="2" xfId="0" applyFont="1" applyFill="1" applyBorder="1" applyAlignment="1">
      <alignment horizontal="center" vertical="center" wrapText="1"/>
    </xf>
    <xf numFmtId="0" fontId="5" fillId="20" borderId="2" xfId="0" applyFont="1" applyFill="1" applyBorder="1" applyAlignment="1">
      <alignment horizontal="center" vertical="center" wrapText="1"/>
    </xf>
    <xf numFmtId="0" fontId="6" fillId="20" borderId="2" xfId="0" applyFont="1" applyFill="1" applyBorder="1" applyAlignment="1">
      <alignment horizontal="left" vertical="center" wrapText="1"/>
    </xf>
    <xf numFmtId="0" fontId="40" fillId="19" borderId="2" xfId="0" applyFont="1" applyFill="1" applyBorder="1" applyAlignment="1" applyProtection="1">
      <alignment horizontal="center" vertical="center" wrapText="1"/>
      <protection locked="0"/>
    </xf>
    <xf numFmtId="0" fontId="5" fillId="15" borderId="1" xfId="0" applyFont="1" applyFill="1" applyBorder="1" applyAlignment="1">
      <alignment horizontal="left" vertical="center" wrapText="1"/>
    </xf>
    <xf numFmtId="0" fontId="41" fillId="15" borderId="1" xfId="0" applyFont="1" applyFill="1" applyBorder="1" applyAlignment="1">
      <alignment horizontal="left" vertical="center" wrapText="1"/>
    </xf>
    <xf numFmtId="0" fontId="35" fillId="13" borderId="1" xfId="0" applyFont="1" applyFill="1" applyBorder="1"/>
    <xf numFmtId="0" fontId="18" fillId="2" borderId="1" xfId="0" applyFont="1" applyFill="1" applyBorder="1" applyAlignment="1">
      <alignment horizontal="center" vertical="center" wrapText="1"/>
    </xf>
    <xf numFmtId="0" fontId="41" fillId="2" borderId="1" xfId="0" applyFont="1" applyFill="1" applyBorder="1" applyAlignment="1">
      <alignment horizontal="left" vertical="center" wrapText="1"/>
    </xf>
    <xf numFmtId="0" fontId="3" fillId="20" borderId="1" xfId="0" applyFont="1" applyFill="1" applyBorder="1" applyAlignment="1">
      <alignment horizontal="left" vertical="center" wrapText="1"/>
    </xf>
    <xf numFmtId="0" fontId="3" fillId="0" borderId="1" xfId="0" applyFont="1" applyBorder="1" applyAlignment="1" applyProtection="1">
      <alignment horizontal="center" vertical="center" wrapText="1"/>
      <protection locked="0"/>
    </xf>
    <xf numFmtId="0" fontId="3" fillId="0" borderId="1" xfId="0" applyFont="1" applyBorder="1" applyAlignment="1" applyProtection="1">
      <alignment horizontal="left" vertical="center" wrapText="1"/>
      <protection locked="0"/>
    </xf>
    <xf numFmtId="0" fontId="3" fillId="20" borderId="1" xfId="0" applyFont="1" applyFill="1" applyBorder="1" applyAlignment="1">
      <alignment horizontal="center" vertical="center" wrapText="1"/>
    </xf>
    <xf numFmtId="0" fontId="33" fillId="20" borderId="1" xfId="0" applyFont="1" applyFill="1" applyBorder="1" applyAlignment="1">
      <alignment horizontal="center" vertical="center" wrapText="1"/>
    </xf>
    <xf numFmtId="0" fontId="18" fillId="20" borderId="1" xfId="0" applyFont="1" applyFill="1" applyBorder="1" applyAlignment="1">
      <alignment horizontal="center" vertical="center" wrapText="1"/>
    </xf>
    <xf numFmtId="0" fontId="4" fillId="19" borderId="26" xfId="0" applyFont="1" applyFill="1" applyBorder="1" applyAlignment="1">
      <alignment horizontal="center" vertical="center" wrapText="1"/>
    </xf>
    <xf numFmtId="0" fontId="18" fillId="20" borderId="26" xfId="0" applyFont="1" applyFill="1" applyBorder="1" applyAlignment="1">
      <alignment horizontal="center" vertical="center" wrapText="1"/>
    </xf>
    <xf numFmtId="0" fontId="4" fillId="20" borderId="26" xfId="0" applyFont="1" applyFill="1" applyBorder="1" applyAlignment="1">
      <alignment horizontal="center" vertical="center" wrapText="1"/>
    </xf>
    <xf numFmtId="0" fontId="4" fillId="20" borderId="26" xfId="0" applyFont="1" applyFill="1" applyBorder="1" applyAlignment="1">
      <alignment horizontal="left" vertical="center" wrapText="1"/>
    </xf>
    <xf numFmtId="0" fontId="4" fillId="19" borderId="26" xfId="0" applyFont="1" applyFill="1" applyBorder="1" applyAlignment="1">
      <alignment horizontal="left" vertical="center" wrapText="1"/>
    </xf>
    <xf numFmtId="0" fontId="8" fillId="20" borderId="26" xfId="0" applyFont="1" applyFill="1" applyBorder="1" applyAlignment="1">
      <alignment horizontal="center" vertical="center" wrapText="1"/>
    </xf>
    <xf numFmtId="0" fontId="4" fillId="15" borderId="26" xfId="0" applyFont="1" applyFill="1" applyBorder="1" applyAlignment="1">
      <alignment horizontal="center" vertical="center" wrapText="1"/>
    </xf>
    <xf numFmtId="0" fontId="4" fillId="15" borderId="26" xfId="0" applyFont="1" applyFill="1" applyBorder="1" applyAlignment="1">
      <alignment horizontal="left" vertical="center" wrapText="1"/>
    </xf>
    <xf numFmtId="0" fontId="4" fillId="14" borderId="28" xfId="0" applyFont="1" applyFill="1" applyBorder="1" applyAlignment="1">
      <alignment horizontal="center" vertical="center" wrapText="1"/>
    </xf>
    <xf numFmtId="0" fontId="20" fillId="5" borderId="27" xfId="0" applyFont="1" applyFill="1" applyBorder="1" applyAlignment="1">
      <alignment horizontal="center" vertical="center" wrapText="1"/>
    </xf>
    <xf numFmtId="0" fontId="20" fillId="5" borderId="0" xfId="0" applyFont="1" applyFill="1" applyAlignment="1">
      <alignment horizontal="center" vertical="center" wrapText="1"/>
    </xf>
    <xf numFmtId="0" fontId="20" fillId="4" borderId="27" xfId="0" applyFont="1" applyFill="1" applyBorder="1" applyAlignment="1">
      <alignment horizontal="center" vertical="center" wrapText="1"/>
    </xf>
    <xf numFmtId="0" fontId="20" fillId="12" borderId="27" xfId="0" applyFont="1" applyFill="1" applyBorder="1" applyAlignment="1">
      <alignment horizontal="center" vertical="center" wrapText="1"/>
    </xf>
    <xf numFmtId="0" fontId="4" fillId="0" borderId="26" xfId="0" applyFont="1" applyBorder="1" applyAlignment="1">
      <alignment horizontal="left" vertical="center" wrapText="1"/>
    </xf>
    <xf numFmtId="0" fontId="24" fillId="22" borderId="27" xfId="0" applyFont="1" applyFill="1" applyBorder="1" applyAlignment="1">
      <alignment horizontal="center" vertical="center" wrapText="1"/>
    </xf>
    <xf numFmtId="0" fontId="24" fillId="22" borderId="0" xfId="0" applyFont="1" applyFill="1" applyAlignment="1">
      <alignment horizontal="center" vertical="center" wrapText="1"/>
    </xf>
    <xf numFmtId="0" fontId="8" fillId="5" borderId="12" xfId="0" applyFont="1" applyFill="1" applyBorder="1" applyAlignment="1">
      <alignment horizontal="center" vertical="center" wrapText="1"/>
    </xf>
    <xf numFmtId="0" fontId="5" fillId="14" borderId="12" xfId="0" applyFont="1" applyFill="1" applyBorder="1" applyAlignment="1">
      <alignment horizontal="center" vertical="center" wrapText="1"/>
    </xf>
    <xf numFmtId="0" fontId="5" fillId="15" borderId="10" xfId="0" applyFont="1" applyFill="1" applyBorder="1" applyAlignment="1" applyProtection="1">
      <alignment horizontal="left" vertical="center" wrapText="1"/>
      <protection locked="0"/>
    </xf>
    <xf numFmtId="0" fontId="8" fillId="5" borderId="23" xfId="0" applyFont="1" applyFill="1" applyBorder="1" applyAlignment="1">
      <alignment horizontal="center" vertical="center" wrapText="1"/>
    </xf>
    <xf numFmtId="0" fontId="8" fillId="5" borderId="22" xfId="0" applyFont="1" applyFill="1" applyBorder="1" applyAlignment="1">
      <alignment horizontal="center" vertical="center" wrapText="1"/>
    </xf>
    <xf numFmtId="0" fontId="8" fillId="5" borderId="24" xfId="0" applyFont="1" applyFill="1" applyBorder="1" applyAlignment="1">
      <alignment horizontal="center" vertical="center" wrapText="1"/>
    </xf>
    <xf numFmtId="0" fontId="5" fillId="14" borderId="25" xfId="0" applyFont="1" applyFill="1" applyBorder="1" applyAlignment="1">
      <alignment horizontal="center" vertical="center" wrapText="1"/>
    </xf>
    <xf numFmtId="0" fontId="7" fillId="20" borderId="9" xfId="0" applyFont="1" applyFill="1" applyBorder="1" applyAlignment="1">
      <alignment horizontal="center" vertical="center" wrapText="1"/>
    </xf>
    <xf numFmtId="0" fontId="5" fillId="15" borderId="9" xfId="0" applyFont="1" applyFill="1" applyBorder="1" applyAlignment="1" applyProtection="1">
      <alignment horizontal="center" vertical="center" wrapText="1"/>
      <protection locked="0"/>
    </xf>
    <xf numFmtId="0" fontId="5" fillId="20" borderId="9" xfId="0" applyFont="1" applyFill="1" applyBorder="1" applyAlignment="1">
      <alignment horizontal="center" vertical="center" wrapText="1"/>
    </xf>
    <xf numFmtId="0" fontId="5" fillId="0" borderId="9" xfId="0" applyFont="1" applyBorder="1" applyAlignment="1" applyProtection="1">
      <alignment horizontal="left" vertical="center" wrapText="1"/>
      <protection locked="0"/>
    </xf>
    <xf numFmtId="0" fontId="5" fillId="15" borderId="26" xfId="0" applyFont="1" applyFill="1" applyBorder="1" applyAlignment="1" applyProtection="1">
      <alignment horizontal="left" vertical="center" wrapText="1"/>
      <protection locked="0"/>
    </xf>
    <xf numFmtId="0" fontId="8" fillId="5" borderId="30" xfId="0" applyFont="1" applyFill="1" applyBorder="1" applyAlignment="1">
      <alignment horizontal="center" vertical="center" wrapText="1"/>
    </xf>
    <xf numFmtId="0" fontId="8" fillId="5" borderId="31" xfId="0" applyFont="1" applyFill="1" applyBorder="1" applyAlignment="1">
      <alignment horizontal="center" vertical="center" wrapText="1"/>
    </xf>
    <xf numFmtId="0" fontId="8" fillId="5" borderId="32" xfId="0" applyFont="1" applyFill="1" applyBorder="1" applyAlignment="1">
      <alignment horizontal="center" vertical="center" wrapText="1"/>
    </xf>
    <xf numFmtId="0" fontId="7" fillId="18" borderId="14" xfId="0" applyFont="1" applyFill="1" applyBorder="1" applyAlignment="1">
      <alignment horizontal="center" vertical="center" wrapText="1"/>
    </xf>
    <xf numFmtId="0" fontId="7" fillId="18" borderId="14" xfId="0" quotePrefix="1" applyFont="1" applyFill="1" applyBorder="1" applyAlignment="1">
      <alignment horizontal="center" vertical="center" wrapText="1"/>
    </xf>
    <xf numFmtId="0" fontId="5" fillId="0" borderId="14" xfId="0" applyFont="1" applyBorder="1" applyAlignment="1">
      <alignment horizontal="left" vertical="center" wrapText="1"/>
    </xf>
    <xf numFmtId="0" fontId="5" fillId="0" borderId="14" xfId="0" applyFont="1" applyBorder="1" applyAlignment="1">
      <alignment horizontal="center" vertical="center" wrapText="1"/>
    </xf>
    <xf numFmtId="0" fontId="5" fillId="15" borderId="14" xfId="0" applyFont="1" applyFill="1" applyBorder="1" applyAlignment="1">
      <alignment horizontal="left" vertical="center" wrapText="1"/>
    </xf>
    <xf numFmtId="165" fontId="5" fillId="0" borderId="14" xfId="0" applyNumberFormat="1" applyFont="1" applyBorder="1" applyAlignment="1">
      <alignment horizontal="center" vertical="center" wrapText="1"/>
    </xf>
    <xf numFmtId="0" fontId="41" fillId="15" borderId="14" xfId="0" applyFont="1" applyFill="1" applyBorder="1" applyAlignment="1">
      <alignment horizontal="left" vertical="center" wrapText="1"/>
    </xf>
    <xf numFmtId="0" fontId="3" fillId="14" borderId="16" xfId="0" applyFont="1" applyFill="1" applyBorder="1" applyAlignment="1">
      <alignment horizontal="center" vertical="center" wrapText="1"/>
    </xf>
    <xf numFmtId="0" fontId="33" fillId="20" borderId="29" xfId="0" applyFont="1" applyFill="1" applyBorder="1" applyAlignment="1">
      <alignment horizontal="center" vertical="center" wrapText="1"/>
    </xf>
    <xf numFmtId="0" fontId="20" fillId="5" borderId="30" xfId="0" applyFont="1" applyFill="1" applyBorder="1" applyAlignment="1">
      <alignment horizontal="center" vertical="center" wrapText="1"/>
    </xf>
    <xf numFmtId="0" fontId="20" fillId="5" borderId="31" xfId="0" applyFont="1" applyFill="1" applyBorder="1" applyAlignment="1">
      <alignment horizontal="center" vertical="center" wrapText="1"/>
    </xf>
    <xf numFmtId="0" fontId="20" fillId="4" borderId="31" xfId="0" applyFont="1" applyFill="1" applyBorder="1" applyAlignment="1">
      <alignment horizontal="center" vertical="center" wrapText="1"/>
    </xf>
    <xf numFmtId="0" fontId="20" fillId="12" borderId="31" xfId="0" applyFont="1" applyFill="1" applyBorder="1" applyAlignment="1">
      <alignment horizontal="center" vertical="center" wrapText="1"/>
    </xf>
    <xf numFmtId="0" fontId="20" fillId="12" borderId="32" xfId="0" applyFont="1" applyFill="1" applyBorder="1" applyAlignment="1">
      <alignment horizontal="center" vertical="center" wrapText="1"/>
    </xf>
    <xf numFmtId="0" fontId="20" fillId="23" borderId="2" xfId="0" applyFont="1" applyFill="1" applyBorder="1" applyAlignment="1">
      <alignment horizontal="center" vertical="center" wrapText="1"/>
    </xf>
    <xf numFmtId="0" fontId="16" fillId="23" borderId="0" xfId="0" applyFont="1" applyFill="1" applyAlignment="1">
      <alignment horizontal="center" wrapText="1"/>
    </xf>
    <xf numFmtId="164" fontId="0" fillId="0" borderId="0" xfId="0" applyNumberFormat="1" applyAlignment="1">
      <alignment wrapText="1"/>
    </xf>
    <xf numFmtId="164" fontId="0" fillId="0" borderId="0" xfId="0" applyNumberFormat="1"/>
    <xf numFmtId="1" fontId="0" fillId="0" borderId="0" xfId="0" applyNumberFormat="1" applyAlignment="1">
      <alignment wrapText="1"/>
    </xf>
    <xf numFmtId="1" fontId="0" fillId="0" borderId="0" xfId="0" applyNumberFormat="1"/>
    <xf numFmtId="0" fontId="4" fillId="0" borderId="12" xfId="0" applyFont="1" applyBorder="1" applyAlignment="1">
      <alignment horizontal="center" vertical="center" wrapText="1"/>
    </xf>
    <xf numFmtId="0" fontId="13" fillId="5" borderId="23" xfId="0" applyFont="1" applyFill="1" applyBorder="1" applyAlignment="1">
      <alignment horizontal="center" vertical="center" wrapText="1"/>
    </xf>
    <xf numFmtId="0" fontId="13" fillId="5" borderId="22" xfId="0" applyFont="1" applyFill="1" applyBorder="1" applyAlignment="1">
      <alignment horizontal="center" vertical="center" wrapText="1"/>
    </xf>
    <xf numFmtId="0" fontId="13" fillId="5" borderId="24" xfId="0" applyFont="1" applyFill="1" applyBorder="1" applyAlignment="1">
      <alignment horizontal="center" vertical="center" wrapText="1"/>
    </xf>
    <xf numFmtId="0" fontId="4" fillId="0" borderId="25" xfId="0" applyFont="1" applyBorder="1" applyAlignment="1">
      <alignment horizontal="center" vertical="center" wrapText="1"/>
    </xf>
    <xf numFmtId="0" fontId="18" fillId="2" borderId="9" xfId="0" applyFont="1" applyFill="1" applyBorder="1" applyAlignment="1">
      <alignment horizontal="center" vertical="center" wrapText="1"/>
    </xf>
    <xf numFmtId="0" fontId="4" fillId="0" borderId="9" xfId="0" applyFont="1" applyBorder="1" applyAlignment="1" applyProtection="1">
      <alignment horizontal="left" vertical="center" wrapText="1"/>
      <protection locked="0"/>
    </xf>
    <xf numFmtId="0" fontId="4" fillId="19" borderId="9" xfId="0" applyFont="1" applyFill="1" applyBorder="1" applyAlignment="1" applyProtection="1">
      <alignment horizontal="center" vertical="center" wrapText="1"/>
      <protection locked="0"/>
    </xf>
    <xf numFmtId="0" fontId="4" fillId="0" borderId="9" xfId="0" applyFont="1" applyBorder="1" applyAlignment="1" applyProtection="1">
      <alignment horizontal="center" vertical="center" wrapText="1"/>
      <protection locked="0"/>
    </xf>
    <xf numFmtId="0" fontId="19" fillId="2" borderId="9" xfId="0" applyFont="1" applyFill="1" applyBorder="1" applyAlignment="1">
      <alignment horizontal="center" vertical="center" wrapText="1"/>
    </xf>
    <xf numFmtId="0" fontId="0" fillId="0" borderId="16" xfId="0" applyBorder="1" applyAlignment="1">
      <alignment vertical="top"/>
    </xf>
    <xf numFmtId="0" fontId="0" fillId="0" borderId="29" xfId="0" applyBorder="1" applyAlignment="1" applyProtection="1">
      <alignment vertical="top"/>
      <protection locked="0"/>
    </xf>
    <xf numFmtId="0" fontId="0" fillId="0" borderId="29" xfId="0" applyBorder="1" applyProtection="1">
      <protection locked="0"/>
    </xf>
    <xf numFmtId="0" fontId="29" fillId="13" borderId="30" xfId="0" applyFont="1" applyFill="1" applyBorder="1" applyAlignment="1">
      <alignment wrapText="1"/>
    </xf>
    <xf numFmtId="0" fontId="29" fillId="13" borderId="31" xfId="0" applyFont="1" applyFill="1" applyBorder="1" applyAlignment="1">
      <alignment wrapText="1"/>
    </xf>
    <xf numFmtId="0" fontId="29" fillId="13" borderId="32" xfId="0" applyFont="1" applyFill="1" applyBorder="1" applyAlignment="1">
      <alignment wrapText="1"/>
    </xf>
    <xf numFmtId="0" fontId="0" fillId="0" borderId="34" xfId="0" applyBorder="1" applyAlignment="1">
      <alignment vertical="top"/>
    </xf>
    <xf numFmtId="0" fontId="0" fillId="15" borderId="14" xfId="0" applyFill="1" applyBorder="1" applyProtection="1">
      <protection locked="0"/>
    </xf>
    <xf numFmtId="0" fontId="0" fillId="14" borderId="14" xfId="0" applyFill="1" applyBorder="1" applyAlignment="1">
      <alignment wrapText="1"/>
    </xf>
    <xf numFmtId="0" fontId="0" fillId="0" borderId="14" xfId="0" applyBorder="1" applyProtection="1">
      <protection locked="0"/>
    </xf>
    <xf numFmtId="0" fontId="0" fillId="0" borderId="33" xfId="0" applyBorder="1" applyProtection="1">
      <protection locked="0"/>
    </xf>
    <xf numFmtId="0" fontId="4" fillId="21" borderId="12" xfId="0" applyFont="1" applyFill="1" applyBorder="1" applyAlignment="1">
      <alignment horizontal="center" vertical="center" wrapText="1"/>
    </xf>
    <xf numFmtId="0" fontId="4" fillId="0" borderId="10" xfId="0" applyFont="1" applyBorder="1" applyAlignment="1" applyProtection="1">
      <alignment horizontal="left" vertical="center" wrapText="1"/>
      <protection locked="0"/>
    </xf>
    <xf numFmtId="0" fontId="20" fillId="5" borderId="23" xfId="0" applyFont="1" applyFill="1" applyBorder="1" applyAlignment="1">
      <alignment horizontal="center" vertical="center" wrapText="1"/>
    </xf>
    <xf numFmtId="0" fontId="20" fillId="5" borderId="22" xfId="0" applyFont="1" applyFill="1" applyBorder="1" applyAlignment="1">
      <alignment horizontal="center" vertical="center" wrapText="1"/>
    </xf>
    <xf numFmtId="0" fontId="20" fillId="5" borderId="22" xfId="0" applyFont="1" applyFill="1" applyBorder="1" applyAlignment="1">
      <alignment horizontal="center" vertical="center"/>
    </xf>
    <xf numFmtId="0" fontId="20" fillId="5" borderId="24" xfId="0" applyFont="1" applyFill="1" applyBorder="1" applyAlignment="1">
      <alignment horizontal="center" vertical="center" wrapText="1"/>
    </xf>
    <xf numFmtId="0" fontId="4" fillId="21" borderId="25" xfId="0" applyFont="1" applyFill="1" applyBorder="1" applyAlignment="1">
      <alignment horizontal="center" vertical="center" wrapText="1"/>
    </xf>
    <xf numFmtId="0" fontId="18" fillId="20" borderId="9" xfId="0" applyFont="1" applyFill="1" applyBorder="1" applyAlignment="1">
      <alignment horizontal="center" vertical="center" wrapText="1"/>
    </xf>
    <xf numFmtId="0" fontId="4" fillId="15" borderId="9" xfId="0" applyFont="1" applyFill="1" applyBorder="1" applyAlignment="1" applyProtection="1">
      <alignment horizontal="center" vertical="center" wrapText="1"/>
      <protection locked="0"/>
    </xf>
    <xf numFmtId="0" fontId="4" fillId="20" borderId="9" xfId="0" applyFont="1" applyFill="1" applyBorder="1" applyAlignment="1">
      <alignment horizontal="left" vertical="center" wrapText="1"/>
    </xf>
    <xf numFmtId="0" fontId="4" fillId="16" borderId="9" xfId="0" applyFont="1" applyFill="1" applyBorder="1" applyAlignment="1" applyProtection="1">
      <alignment horizontal="center" vertical="center" wrapText="1"/>
      <protection locked="0"/>
    </xf>
    <xf numFmtId="0" fontId="4" fillId="0" borderId="9" xfId="0" applyFont="1" applyBorder="1" applyAlignment="1" applyProtection="1">
      <alignment horizontal="left" vertical="center"/>
      <protection locked="0"/>
    </xf>
    <xf numFmtId="0" fontId="4" fillId="0" borderId="26" xfId="0" applyFont="1" applyBorder="1" applyAlignment="1" applyProtection="1">
      <alignment horizontal="left" vertical="center" wrapText="1"/>
      <protection locked="0"/>
    </xf>
    <xf numFmtId="0" fontId="24" fillId="13" borderId="29" xfId="0" applyFont="1" applyFill="1" applyBorder="1"/>
    <xf numFmtId="0" fontId="0" fillId="14" borderId="14" xfId="0" applyFill="1" applyBorder="1"/>
    <xf numFmtId="0" fontId="16" fillId="26" borderId="0" xfId="0" applyFont="1" applyFill="1" applyAlignment="1">
      <alignment wrapText="1"/>
    </xf>
    <xf numFmtId="0" fontId="17" fillId="11" borderId="4" xfId="0" applyFont="1" applyFill="1" applyBorder="1" applyAlignment="1">
      <alignment wrapText="1"/>
    </xf>
    <xf numFmtId="0" fontId="17" fillId="10" borderId="4" xfId="0" applyFont="1" applyFill="1" applyBorder="1" applyAlignment="1">
      <alignment wrapText="1"/>
    </xf>
    <xf numFmtId="0" fontId="0" fillId="20" borderId="26" xfId="0" applyFill="1" applyBorder="1" applyAlignment="1">
      <alignment horizontal="center" vertical="center" wrapText="1"/>
    </xf>
    <xf numFmtId="0" fontId="0" fillId="0" borderId="2" xfId="0" applyBorder="1" applyAlignment="1">
      <alignment horizontal="center" vertical="center" wrapText="1"/>
    </xf>
    <xf numFmtId="0" fontId="0" fillId="24" borderId="1" xfId="0" applyFill="1" applyBorder="1"/>
    <xf numFmtId="0" fontId="3" fillId="27" borderId="1" xfId="0" applyFont="1" applyFill="1" applyBorder="1" applyAlignment="1">
      <alignment horizontal="center" vertical="center" wrapText="1"/>
    </xf>
    <xf numFmtId="0" fontId="3" fillId="27" borderId="1" xfId="0" applyFont="1" applyFill="1" applyBorder="1" applyAlignment="1">
      <alignment horizontal="center" vertical="center"/>
    </xf>
    <xf numFmtId="0" fontId="34" fillId="28" borderId="1" xfId="0" applyFont="1" applyFill="1" applyBorder="1" applyAlignment="1" applyProtection="1">
      <alignment vertical="center" wrapText="1"/>
      <protection locked="0"/>
    </xf>
    <xf numFmtId="0" fontId="3" fillId="27" borderId="1" xfId="0" applyFont="1" applyFill="1" applyBorder="1" applyAlignment="1" applyProtection="1">
      <alignment horizontal="left" vertical="center" wrapText="1"/>
      <protection locked="0"/>
    </xf>
    <xf numFmtId="0" fontId="3" fillId="27" borderId="1" xfId="0" applyFont="1" applyFill="1" applyBorder="1" applyAlignment="1" applyProtection="1">
      <alignment horizontal="center" vertical="center" wrapText="1"/>
      <protection locked="0"/>
    </xf>
    <xf numFmtId="165" fontId="4" fillId="0" borderId="26" xfId="0" applyNumberFormat="1" applyFont="1" applyBorder="1" applyAlignment="1">
      <alignment horizontal="center" vertical="center" wrapText="1"/>
    </xf>
    <xf numFmtId="0" fontId="5" fillId="24" borderId="16" xfId="0" applyFont="1" applyFill="1" applyBorder="1" applyAlignment="1">
      <alignment horizontal="center" vertical="center" wrapText="1"/>
    </xf>
    <xf numFmtId="0" fontId="7" fillId="24" borderId="14" xfId="0" applyFont="1" applyFill="1" applyBorder="1" applyAlignment="1">
      <alignment horizontal="center" vertical="center" wrapText="1"/>
    </xf>
    <xf numFmtId="0" fontId="7" fillId="24" borderId="1" xfId="0" applyFont="1" applyFill="1" applyBorder="1" applyAlignment="1">
      <alignment horizontal="center" vertical="center" wrapText="1"/>
    </xf>
    <xf numFmtId="165" fontId="5" fillId="24" borderId="1" xfId="0" applyNumberFormat="1" applyFont="1" applyFill="1" applyBorder="1" applyAlignment="1">
      <alignment horizontal="center" vertical="center" wrapText="1"/>
    </xf>
    <xf numFmtId="0" fontId="5" fillId="24" borderId="1" xfId="0" applyFont="1" applyFill="1" applyBorder="1" applyAlignment="1">
      <alignment horizontal="center" vertical="center" wrapText="1"/>
    </xf>
    <xf numFmtId="165" fontId="5" fillId="24" borderId="14" xfId="0" applyNumberFormat="1" applyFont="1" applyFill="1" applyBorder="1" applyAlignment="1">
      <alignment horizontal="center" vertical="center" wrapText="1"/>
    </xf>
    <xf numFmtId="0" fontId="5" fillId="24" borderId="14" xfId="0" applyFont="1" applyFill="1" applyBorder="1" applyAlignment="1">
      <alignment horizontal="center" vertical="center" wrapText="1"/>
    </xf>
    <xf numFmtId="0" fontId="5" fillId="24" borderId="29" xfId="0" applyFont="1" applyFill="1" applyBorder="1" applyAlignment="1">
      <alignment horizontal="center" vertical="center" wrapText="1"/>
    </xf>
    <xf numFmtId="0" fontId="5" fillId="24" borderId="33" xfId="0" applyFont="1" applyFill="1" applyBorder="1" applyAlignment="1">
      <alignment horizontal="center" vertical="center" wrapText="1"/>
    </xf>
    <xf numFmtId="0" fontId="5" fillId="24" borderId="12" xfId="0" applyFont="1" applyFill="1" applyBorder="1" applyAlignment="1">
      <alignment horizontal="center" vertical="center" wrapText="1"/>
    </xf>
    <xf numFmtId="0" fontId="21" fillId="24" borderId="2" xfId="0" applyFont="1" applyFill="1" applyBorder="1" applyAlignment="1">
      <alignment horizontal="center" vertical="center" wrapText="1"/>
    </xf>
    <xf numFmtId="0" fontId="5" fillId="24" borderId="2" xfId="0" applyFont="1" applyFill="1" applyBorder="1" applyAlignment="1">
      <alignment horizontal="left" vertical="center" wrapText="1"/>
    </xf>
    <xf numFmtId="0" fontId="5" fillId="24" borderId="2" xfId="0" applyFont="1" applyFill="1" applyBorder="1" applyAlignment="1">
      <alignment horizontal="center" vertical="center" wrapText="1"/>
    </xf>
    <xf numFmtId="165" fontId="5" fillId="24" borderId="2" xfId="0" applyNumberFormat="1" applyFont="1" applyFill="1" applyBorder="1" applyAlignment="1">
      <alignment horizontal="center" vertical="center" wrapText="1"/>
    </xf>
    <xf numFmtId="0" fontId="5" fillId="24" borderId="2" xfId="0" applyFont="1" applyFill="1" applyBorder="1" applyAlignment="1" applyProtection="1">
      <alignment horizontal="left" vertical="center" wrapText="1"/>
      <protection locked="0"/>
    </xf>
    <xf numFmtId="0" fontId="5" fillId="29" borderId="2" xfId="0" applyFont="1" applyFill="1" applyBorder="1" applyAlignment="1">
      <alignment horizontal="center" vertical="center" wrapText="1"/>
    </xf>
    <xf numFmtId="0" fontId="4" fillId="2" borderId="2" xfId="0" applyFont="1" applyFill="1" applyBorder="1" applyAlignment="1">
      <alignment horizontal="left" vertical="center" wrapText="1"/>
    </xf>
    <xf numFmtId="1" fontId="4" fillId="2" borderId="2" xfId="0" applyNumberFormat="1" applyFont="1" applyFill="1" applyBorder="1" applyAlignment="1">
      <alignment horizontal="center" vertical="center" wrapText="1"/>
    </xf>
    <xf numFmtId="164" fontId="4" fillId="2" borderId="2" xfId="0" applyNumberFormat="1" applyFont="1" applyFill="1" applyBorder="1" applyAlignment="1">
      <alignment horizontal="center" vertical="center" wrapText="1"/>
    </xf>
    <xf numFmtId="0" fontId="4" fillId="2" borderId="2" xfId="0" applyFont="1" applyFill="1" applyBorder="1" applyAlignment="1" applyProtection="1">
      <alignment horizontal="left" vertical="center" wrapText="1"/>
      <protection locked="0"/>
    </xf>
    <xf numFmtId="1" fontId="0" fillId="2" borderId="0" xfId="0" applyNumberFormat="1" applyFill="1"/>
    <xf numFmtId="0" fontId="0" fillId="27" borderId="0" xfId="0" applyFill="1"/>
    <xf numFmtId="0" fontId="0" fillId="0" borderId="5" xfId="0" applyBorder="1" applyAlignment="1" applyProtection="1">
      <alignment wrapText="1"/>
      <protection locked="0"/>
    </xf>
    <xf numFmtId="0" fontId="0" fillId="0" borderId="4" xfId="0" applyBorder="1" applyProtection="1">
      <protection locked="0"/>
    </xf>
    <xf numFmtId="164" fontId="0" fillId="0" borderId="6" xfId="0" applyNumberFormat="1" applyBorder="1" applyAlignment="1" applyProtection="1">
      <alignment wrapText="1"/>
      <protection locked="0"/>
    </xf>
    <xf numFmtId="164" fontId="0" fillId="0" borderId="8" xfId="0" applyNumberFormat="1" applyBorder="1" applyAlignment="1" applyProtection="1">
      <alignment wrapText="1"/>
      <protection locked="0"/>
    </xf>
    <xf numFmtId="164" fontId="0" fillId="30" borderId="8" xfId="0" applyNumberFormat="1" applyFill="1" applyBorder="1" applyAlignment="1">
      <alignment wrapText="1"/>
    </xf>
    <xf numFmtId="0" fontId="28" fillId="0" borderId="5" xfId="1" applyBorder="1" applyAlignment="1" applyProtection="1">
      <alignment wrapText="1"/>
      <protection locked="0"/>
    </xf>
    <xf numFmtId="0" fontId="0" fillId="24" borderId="1" xfId="0" applyFill="1" applyBorder="1" applyAlignment="1" applyProtection="1">
      <alignment vertical="top" wrapText="1"/>
      <protection locked="0"/>
    </xf>
    <xf numFmtId="0" fontId="0" fillId="0" borderId="0" xfId="0" applyAlignment="1" applyProtection="1">
      <alignment horizontal="left" wrapText="1"/>
      <protection locked="0"/>
    </xf>
    <xf numFmtId="0" fontId="0" fillId="0" borderId="0" xfId="0"/>
    <xf numFmtId="0" fontId="0" fillId="0" borderId="0" xfId="0" applyProtection="1">
      <protection locked="0"/>
    </xf>
    <xf numFmtId="0" fontId="9" fillId="5" borderId="0" xfId="0" applyFont="1" applyFill="1" applyAlignment="1">
      <alignment horizontal="center" vertical="center" wrapText="1"/>
    </xf>
    <xf numFmtId="0" fontId="10" fillId="3" borderId="0" xfId="0" applyFont="1" applyFill="1" applyAlignment="1">
      <alignment horizontal="center" vertical="center" wrapText="1"/>
    </xf>
    <xf numFmtId="0" fontId="16" fillId="26" borderId="0" xfId="0" applyFont="1" applyFill="1"/>
    <xf numFmtId="0" fontId="0" fillId="0" borderId="5" xfId="0" applyBorder="1" applyAlignment="1" applyProtection="1">
      <alignment wrapText="1"/>
      <protection locked="0"/>
    </xf>
    <xf numFmtId="0" fontId="0" fillId="0" borderId="19" xfId="0" applyBorder="1" applyProtection="1">
      <protection locked="0"/>
    </xf>
    <xf numFmtId="0" fontId="0" fillId="0" borderId="20" xfId="0" applyBorder="1" applyProtection="1">
      <protection locked="0"/>
    </xf>
    <xf numFmtId="0" fontId="15" fillId="8" borderId="0" xfId="0" applyFont="1" applyFill="1" applyAlignment="1">
      <alignment horizontal="center"/>
    </xf>
    <xf numFmtId="0" fontId="0" fillId="0" borderId="0" xfId="0" applyAlignment="1">
      <alignment wrapText="1"/>
    </xf>
    <xf numFmtId="0" fontId="16" fillId="9" borderId="3" xfId="0" applyFont="1" applyFill="1" applyBorder="1"/>
    <xf numFmtId="0" fontId="0" fillId="0" borderId="17" xfId="0" applyBorder="1"/>
    <xf numFmtId="0" fontId="0" fillId="0" borderId="18" xfId="0" applyBorder="1"/>
    <xf numFmtId="0" fontId="16" fillId="9" borderId="4" xfId="0" applyFont="1" applyFill="1" applyBorder="1"/>
    <xf numFmtId="0" fontId="0" fillId="0" borderId="19" xfId="0" applyBorder="1"/>
    <xf numFmtId="0" fontId="0" fillId="0" borderId="21" xfId="0" applyBorder="1"/>
    <xf numFmtId="0" fontId="14" fillId="7" borderId="0" xfId="0" applyFont="1" applyFill="1" applyAlignment="1">
      <alignment horizontal="center"/>
    </xf>
    <xf numFmtId="0" fontId="0" fillId="0" borderId="37" xfId="0" applyBorder="1" applyAlignment="1" applyProtection="1">
      <alignment horizontal="left" wrapText="1"/>
      <protection locked="0"/>
    </xf>
    <xf numFmtId="0" fontId="0" fillId="0" borderId="0" xfId="0" applyAlignment="1" applyProtection="1">
      <alignment horizontal="left" wrapText="1"/>
      <protection locked="0"/>
    </xf>
    <xf numFmtId="0" fontId="16" fillId="9" borderId="4" xfId="0" applyFont="1" applyFill="1" applyBorder="1" applyAlignment="1">
      <alignment wrapText="1"/>
    </xf>
    <xf numFmtId="0" fontId="0" fillId="0" borderId="19" xfId="0" applyBorder="1" applyAlignment="1">
      <alignment wrapText="1"/>
    </xf>
    <xf numFmtId="0" fontId="17" fillId="11" borderId="35" xfId="0" applyFont="1" applyFill="1" applyBorder="1" applyAlignment="1">
      <alignment horizontal="left" wrapText="1"/>
    </xf>
    <xf numFmtId="0" fontId="17" fillId="11" borderId="36" xfId="0" applyFont="1" applyFill="1" applyBorder="1" applyAlignment="1">
      <alignment horizontal="left" wrapText="1"/>
    </xf>
    <xf numFmtId="0" fontId="9" fillId="5" borderId="0" xfId="0" applyFont="1" applyFill="1" applyAlignment="1">
      <alignment horizontal="left" vertical="center" wrapText="1"/>
    </xf>
    <xf numFmtId="0" fontId="10" fillId="3" borderId="0" xfId="0" applyFont="1" applyFill="1" applyAlignment="1">
      <alignment horizontal="left" vertical="center" wrapText="1"/>
    </xf>
    <xf numFmtId="0" fontId="35" fillId="13" borderId="1" xfId="0" applyFont="1" applyFill="1" applyBorder="1" applyAlignment="1">
      <alignment horizontal="center"/>
    </xf>
    <xf numFmtId="0" fontId="0" fillId="0" borderId="16" xfId="0" applyBorder="1"/>
    <xf numFmtId="0" fontId="3" fillId="20" borderId="9" xfId="0" applyFont="1" applyFill="1" applyBorder="1" applyAlignment="1">
      <alignment horizontal="center" vertical="center" wrapText="1"/>
    </xf>
    <xf numFmtId="0" fontId="3" fillId="20" borderId="13" xfId="0" applyFont="1" applyFill="1" applyBorder="1" applyAlignment="1">
      <alignment horizontal="center" vertical="center" wrapText="1"/>
    </xf>
    <xf numFmtId="0" fontId="3" fillId="20" borderId="22" xfId="0" applyFont="1" applyFill="1" applyBorder="1" applyAlignment="1">
      <alignment horizontal="center" vertical="center" wrapText="1"/>
    </xf>
    <xf numFmtId="0" fontId="20" fillId="5" borderId="2" xfId="0" applyFont="1" applyFill="1" applyBorder="1" applyAlignment="1">
      <alignment horizontal="center" vertical="center" wrapText="1"/>
    </xf>
    <xf numFmtId="0" fontId="0" fillId="0" borderId="22" xfId="0" applyBorder="1"/>
    <xf numFmtId="0" fontId="19" fillId="0" borderId="2" xfId="0" applyFont="1" applyBorder="1" applyAlignment="1">
      <alignment horizontal="center" vertical="center" wrapText="1"/>
    </xf>
    <xf numFmtId="0" fontId="0" fillId="0" borderId="13" xfId="0" applyBorder="1"/>
    <xf numFmtId="0" fontId="19" fillId="20" borderId="2" xfId="0" applyFont="1" applyFill="1" applyBorder="1" applyAlignment="1">
      <alignment horizontal="center" vertical="center" wrapText="1"/>
    </xf>
    <xf numFmtId="0" fontId="0" fillId="14" borderId="13" xfId="0" applyFill="1" applyBorder="1"/>
    <xf numFmtId="0" fontId="4" fillId="20" borderId="2" xfId="0" applyFont="1" applyFill="1" applyBorder="1" applyAlignment="1">
      <alignment horizontal="center" vertical="center" wrapText="1"/>
    </xf>
    <xf numFmtId="0" fontId="4" fillId="19" borderId="2" xfId="0" applyFont="1" applyFill="1" applyBorder="1" applyAlignment="1" applyProtection="1">
      <alignment horizontal="center" vertical="center" wrapText="1"/>
      <protection locked="0"/>
    </xf>
    <xf numFmtId="0" fontId="0" fillId="15" borderId="13" xfId="0" applyFill="1" applyBorder="1" applyProtection="1">
      <protection locked="0"/>
    </xf>
    <xf numFmtId="0" fontId="4" fillId="14" borderId="2" xfId="0" applyFont="1" applyFill="1" applyBorder="1" applyAlignment="1">
      <alignment horizontal="center" vertical="center" wrapText="1"/>
    </xf>
    <xf numFmtId="0" fontId="3" fillId="20" borderId="2" xfId="0" applyFont="1" applyFill="1" applyBorder="1" applyAlignment="1">
      <alignment horizontal="left" vertical="center" wrapText="1"/>
    </xf>
    <xf numFmtId="0" fontId="33" fillId="20" borderId="2" xfId="0" applyFont="1" applyFill="1" applyBorder="1" applyAlignment="1">
      <alignment horizontal="center" vertical="center" wrapText="1"/>
    </xf>
    <xf numFmtId="0" fontId="25" fillId="14" borderId="13" xfId="0" applyFont="1" applyFill="1" applyBorder="1"/>
    <xf numFmtId="165" fontId="4" fillId="20" borderId="2" xfId="0" applyNumberFormat="1" applyFont="1" applyFill="1" applyBorder="1" applyAlignment="1">
      <alignment horizontal="center" vertical="center" wrapText="1"/>
    </xf>
    <xf numFmtId="0" fontId="39" fillId="20" borderId="9" xfId="0" applyFont="1" applyFill="1" applyBorder="1" applyAlignment="1">
      <alignment horizontal="center" vertical="center" wrapText="1"/>
    </xf>
    <xf numFmtId="0" fontId="39" fillId="20" borderId="13" xfId="0" applyFont="1" applyFill="1" applyBorder="1" applyAlignment="1">
      <alignment horizontal="center" vertical="center" wrapText="1"/>
    </xf>
    <xf numFmtId="0" fontId="39" fillId="20" borderId="22" xfId="0" applyFont="1" applyFill="1" applyBorder="1" applyAlignment="1">
      <alignment horizontal="center" vertical="center" wrapText="1"/>
    </xf>
    <xf numFmtId="0" fontId="19" fillId="14" borderId="2" xfId="0" applyFont="1" applyFill="1" applyBorder="1" applyAlignment="1">
      <alignment horizontal="center" vertical="center" wrapText="1"/>
    </xf>
    <xf numFmtId="0" fontId="4" fillId="0" borderId="2" xfId="0" applyFont="1" applyBorder="1" applyAlignment="1" applyProtection="1">
      <alignment horizontal="center" vertical="center" wrapText="1"/>
      <protection locked="0"/>
    </xf>
    <xf numFmtId="0" fontId="0" fillId="0" borderId="13" xfId="0" applyBorder="1" applyProtection="1">
      <protection locked="0"/>
    </xf>
    <xf numFmtId="165" fontId="4" fillId="0" borderId="2" xfId="0" applyNumberFormat="1" applyFont="1" applyBorder="1" applyAlignment="1" applyProtection="1">
      <alignment horizontal="center" vertical="center" wrapText="1"/>
      <protection locked="0"/>
    </xf>
    <xf numFmtId="0" fontId="18" fillId="20" borderId="2" xfId="0" applyFont="1" applyFill="1" applyBorder="1" applyAlignment="1">
      <alignment horizontal="center" vertical="center" wrapText="1"/>
    </xf>
    <xf numFmtId="0" fontId="3" fillId="2" borderId="2" xfId="0" applyFont="1" applyFill="1" applyBorder="1" applyAlignment="1">
      <alignment horizontal="left" vertical="center" wrapText="1"/>
    </xf>
    <xf numFmtId="0" fontId="20" fillId="3" borderId="10" xfId="0" applyFont="1" applyFill="1" applyBorder="1" applyAlignment="1">
      <alignment horizontal="center" vertical="center" wrapText="1"/>
    </xf>
    <xf numFmtId="0" fontId="20" fillId="3" borderId="11" xfId="0" applyFont="1" applyFill="1" applyBorder="1" applyAlignment="1">
      <alignment horizontal="center" vertical="center" wrapText="1"/>
    </xf>
    <xf numFmtId="0" fontId="20" fillId="3" borderId="12" xfId="0" applyFont="1" applyFill="1" applyBorder="1" applyAlignment="1">
      <alignment horizontal="center" vertical="center" wrapText="1"/>
    </xf>
    <xf numFmtId="0" fontId="4" fillId="0" borderId="2" xfId="0" applyFont="1" applyBorder="1" applyAlignment="1" applyProtection="1">
      <alignment horizontal="left" vertical="center" wrapText="1"/>
      <protection locked="0"/>
    </xf>
    <xf numFmtId="0" fontId="4" fillId="20" borderId="2" xfId="0" applyFont="1" applyFill="1" applyBorder="1" applyAlignment="1">
      <alignment horizontal="left" vertical="center" wrapText="1"/>
    </xf>
    <xf numFmtId="0" fontId="0" fillId="0" borderId="12" xfId="0" applyBorder="1"/>
    <xf numFmtId="0" fontId="0" fillId="0" borderId="11" xfId="0" applyBorder="1"/>
    <xf numFmtId="0" fontId="20" fillId="12" borderId="2" xfId="0" applyFont="1" applyFill="1" applyBorder="1" applyAlignment="1">
      <alignment horizontal="center" vertical="center" wrapText="1"/>
    </xf>
    <xf numFmtId="0" fontId="10" fillId="3" borderId="0" xfId="0" applyFont="1" applyFill="1" applyAlignment="1" applyProtection="1">
      <alignment horizontal="left" vertical="center" wrapText="1"/>
      <protection locked="0"/>
    </xf>
    <xf numFmtId="0" fontId="9" fillId="5" borderId="0" xfId="0" applyFont="1" applyFill="1" applyAlignment="1" applyProtection="1">
      <alignment horizontal="left" vertical="center" wrapText="1"/>
      <protection locked="0"/>
    </xf>
    <xf numFmtId="0" fontId="0" fillId="0" borderId="0" xfId="0" applyAlignment="1">
      <alignment horizontal="left"/>
    </xf>
    <xf numFmtId="0" fontId="42" fillId="23" borderId="0" xfId="0" applyFont="1" applyFill="1"/>
    <xf numFmtId="0" fontId="43" fillId="25" borderId="0" xfId="0" applyFont="1" applyFill="1" applyAlignment="1">
      <alignment wrapText="1"/>
    </xf>
    <xf numFmtId="0" fontId="26" fillId="31" borderId="0" xfId="0" applyFont="1" applyFill="1"/>
    <xf numFmtId="0" fontId="0" fillId="32" borderId="0" xfId="0" applyFill="1"/>
    <xf numFmtId="0" fontId="26" fillId="31" borderId="38" xfId="0" applyFont="1" applyFill="1" applyBorder="1" applyAlignment="1">
      <alignment wrapText="1"/>
    </xf>
    <xf numFmtId="0" fontId="0" fillId="33" borderId="0" xfId="0" applyFill="1"/>
    <xf numFmtId="167" fontId="0" fillId="33" borderId="0" xfId="0" applyNumberFormat="1" applyFill="1"/>
    <xf numFmtId="0" fontId="13" fillId="5" borderId="22" xfId="0" applyFont="1" applyFill="1" applyBorder="1" applyAlignment="1" applyProtection="1">
      <alignment horizontal="center" vertical="center" wrapText="1"/>
      <protection locked="0"/>
    </xf>
    <xf numFmtId="1" fontId="0" fillId="0" borderId="0" xfId="0" applyNumberFormat="1" applyProtection="1">
      <protection locked="0"/>
    </xf>
    <xf numFmtId="168" fontId="0" fillId="0" borderId="0" xfId="0" applyNumberFormat="1"/>
    <xf numFmtId="168" fontId="4" fillId="24" borderId="2" xfId="0" applyNumberFormat="1" applyFont="1" applyFill="1" applyBorder="1" applyAlignment="1">
      <alignment horizontal="center" vertical="center" wrapText="1"/>
    </xf>
    <xf numFmtId="168" fontId="4" fillId="24" borderId="9" xfId="0" applyNumberFormat="1" applyFont="1" applyFill="1" applyBorder="1" applyAlignment="1">
      <alignment horizontal="center" vertical="center" wrapText="1"/>
    </xf>
    <xf numFmtId="168" fontId="19" fillId="2" borderId="10" xfId="0" applyNumberFormat="1" applyFont="1" applyFill="1" applyBorder="1" applyAlignment="1">
      <alignment horizontal="center" vertical="center" wrapText="1"/>
    </xf>
    <xf numFmtId="168" fontId="19" fillId="2" borderId="26" xfId="0" applyNumberFormat="1" applyFont="1" applyFill="1" applyBorder="1" applyAlignment="1">
      <alignment horizontal="center" vertical="center" wrapText="1"/>
    </xf>
    <xf numFmtId="168" fontId="0" fillId="14" borderId="1" xfId="0" applyNumberFormat="1" applyFill="1" applyBorder="1" applyAlignment="1">
      <alignment vertical="top"/>
    </xf>
    <xf numFmtId="168" fontId="0" fillId="14" borderId="14" xfId="0" applyNumberFormat="1" applyFill="1" applyBorder="1" applyAlignment="1">
      <alignment vertical="top"/>
    </xf>
    <xf numFmtId="0" fontId="4" fillId="34" borderId="2" xfId="0" applyFont="1" applyFill="1" applyBorder="1" applyAlignment="1" applyProtection="1">
      <alignment horizontal="center" vertical="center" wrapText="1"/>
      <protection locked="0"/>
    </xf>
    <xf numFmtId="0" fontId="4" fillId="34" borderId="9" xfId="0" applyFont="1" applyFill="1" applyBorder="1" applyAlignment="1" applyProtection="1">
      <alignment horizontal="center" vertical="center" wrapText="1"/>
      <protection locked="0"/>
    </xf>
    <xf numFmtId="0" fontId="0" fillId="34" borderId="1" xfId="0" applyFill="1" applyBorder="1" applyAlignment="1" applyProtection="1">
      <alignment vertical="top"/>
      <protection locked="0"/>
    </xf>
    <xf numFmtId="0" fontId="0" fillId="34" borderId="1" xfId="0" applyFill="1" applyBorder="1" applyProtection="1">
      <protection locked="0"/>
    </xf>
    <xf numFmtId="0" fontId="0" fillId="34" borderId="14" xfId="0" applyFill="1" applyBorder="1" applyProtection="1">
      <protection locked="0"/>
    </xf>
    <xf numFmtId="0" fontId="24" fillId="34" borderId="29" xfId="0" applyFont="1" applyFill="1" applyBorder="1"/>
    <xf numFmtId="0" fontId="4" fillId="34" borderId="2" xfId="0" applyFont="1" applyFill="1" applyBorder="1" applyAlignment="1" applyProtection="1">
      <alignment horizontal="center" vertical="center" wrapText="1"/>
      <protection locked="0"/>
    </xf>
    <xf numFmtId="0" fontId="40" fillId="34" borderId="2" xfId="0" applyFont="1" applyFill="1" applyBorder="1" applyAlignment="1" applyProtection="1">
      <alignment horizontal="center" vertical="center" wrapText="1"/>
      <protection locked="0"/>
    </xf>
    <xf numFmtId="0" fontId="4" fillId="34" borderId="2" xfId="0" applyFont="1" applyFill="1" applyBorder="1" applyAlignment="1" applyProtection="1">
      <alignment horizontal="center" vertical="center" wrapText="1"/>
      <protection locked="0"/>
    </xf>
    <xf numFmtId="0" fontId="4" fillId="34" borderId="9" xfId="0" applyFont="1" applyFill="1" applyBorder="1" applyAlignment="1" applyProtection="1">
      <alignment horizontal="center" vertical="center" wrapText="1"/>
      <protection locked="0"/>
    </xf>
    <xf numFmtId="0" fontId="4" fillId="34" borderId="2" xfId="0" applyFont="1" applyFill="1" applyBorder="1" applyAlignment="1" applyProtection="1">
      <alignment horizontal="center" vertical="center" wrapText="1"/>
      <protection locked="0"/>
    </xf>
    <xf numFmtId="0" fontId="4" fillId="34" borderId="2" xfId="0" applyFont="1" applyFill="1" applyBorder="1" applyAlignment="1" applyProtection="1">
      <alignment horizontal="center" vertical="center" wrapText="1"/>
      <protection locked="0"/>
    </xf>
    <xf numFmtId="0" fontId="4" fillId="34" borderId="9" xfId="0" applyFont="1" applyFill="1" applyBorder="1" applyAlignment="1" applyProtection="1">
      <alignment horizontal="center" vertical="center" wrapText="1"/>
      <protection locked="0"/>
    </xf>
    <xf numFmtId="0" fontId="0" fillId="34" borderId="10" xfId="0" applyFill="1" applyBorder="1" applyProtection="1">
      <protection locked="0"/>
    </xf>
    <xf numFmtId="0" fontId="3" fillId="34" borderId="1" xfId="0" applyFont="1" applyFill="1" applyBorder="1" applyAlignment="1" applyProtection="1">
      <alignment horizontal="center" vertical="center" wrapText="1"/>
      <protection locked="0"/>
    </xf>
    <xf numFmtId="0" fontId="34" fillId="34" borderId="1" xfId="0" applyFont="1" applyFill="1" applyBorder="1" applyAlignment="1" applyProtection="1">
      <alignment vertical="center" wrapText="1"/>
      <protection locked="0"/>
    </xf>
    <xf numFmtId="0" fontId="3" fillId="34" borderId="1" xfId="0" applyFont="1" applyFill="1" applyBorder="1" applyAlignment="1">
      <alignment horizontal="center" vertical="center" wrapText="1"/>
    </xf>
    <xf numFmtId="0" fontId="3" fillId="34" borderId="1" xfId="0" applyFont="1" applyFill="1" applyBorder="1" applyAlignment="1">
      <alignment horizontal="center" vertical="center"/>
    </xf>
    <xf numFmtId="0" fontId="3" fillId="34" borderId="1" xfId="0" applyFont="1" applyFill="1" applyBorder="1" applyAlignment="1" applyProtection="1">
      <alignment horizontal="left" vertical="center" wrapText="1"/>
      <protection locked="0"/>
    </xf>
    <xf numFmtId="0" fontId="4" fillId="34" borderId="26" xfId="0" applyFont="1" applyFill="1" applyBorder="1" applyAlignment="1">
      <alignment horizontal="center" vertical="center" wrapText="1"/>
    </xf>
    <xf numFmtId="0" fontId="4" fillId="34" borderId="26" xfId="0" applyFont="1" applyFill="1" applyBorder="1" applyAlignment="1">
      <alignment horizontal="center" vertical="center" wrapText="1"/>
    </xf>
    <xf numFmtId="0" fontId="4" fillId="34" borderId="26" xfId="0" applyFont="1" applyFill="1" applyBorder="1" applyAlignment="1">
      <alignment horizontal="left" vertical="center" wrapText="1"/>
    </xf>
    <xf numFmtId="0" fontId="4" fillId="34" borderId="26" xfId="0" applyFont="1" applyFill="1" applyBorder="1" applyAlignment="1">
      <alignment horizontal="left" vertical="center" wrapText="1"/>
    </xf>
    <xf numFmtId="0" fontId="5" fillId="34" borderId="2" xfId="0" applyFont="1" applyFill="1" applyBorder="1" applyAlignment="1" applyProtection="1">
      <alignment horizontal="center" vertical="center" wrapText="1"/>
      <protection locked="0"/>
    </xf>
    <xf numFmtId="0" fontId="5" fillId="34" borderId="2" xfId="0" applyFont="1" applyFill="1" applyBorder="1" applyAlignment="1" applyProtection="1">
      <alignment horizontal="center" vertical="center" wrapText="1"/>
      <protection locked="0"/>
    </xf>
    <xf numFmtId="0" fontId="5" fillId="34" borderId="9" xfId="0" applyFont="1" applyFill="1" applyBorder="1" applyAlignment="1" applyProtection="1">
      <alignment horizontal="center" vertical="center" wrapText="1"/>
      <protection locked="0"/>
    </xf>
    <xf numFmtId="0" fontId="5" fillId="34" borderId="10" xfId="0" applyFont="1" applyFill="1" applyBorder="1" applyAlignment="1" applyProtection="1">
      <alignment horizontal="left" vertical="center" wrapText="1"/>
      <protection locked="0"/>
    </xf>
    <xf numFmtId="0" fontId="5" fillId="34" borderId="26" xfId="0" applyFont="1" applyFill="1" applyBorder="1" applyAlignment="1" applyProtection="1">
      <alignment horizontal="left" vertical="center" wrapText="1"/>
      <protection locked="0"/>
    </xf>
    <xf numFmtId="0" fontId="5" fillId="34" borderId="1" xfId="0" applyFont="1" applyFill="1" applyBorder="1" applyAlignment="1">
      <alignment horizontal="left" vertical="center" wrapText="1"/>
    </xf>
    <xf numFmtId="0" fontId="5" fillId="34" borderId="14" xfId="0" applyFont="1" applyFill="1" applyBorder="1" applyAlignment="1">
      <alignment horizontal="left" vertical="center" wrapText="1"/>
    </xf>
    <xf numFmtId="0" fontId="41" fillId="34" borderId="1" xfId="0" applyFont="1" applyFill="1" applyBorder="1" applyAlignment="1">
      <alignment horizontal="left" vertical="center" wrapText="1"/>
    </xf>
    <xf numFmtId="0" fontId="41" fillId="34" borderId="14" xfId="0" applyFont="1" applyFill="1" applyBorder="1" applyAlignment="1">
      <alignment horizontal="left" vertical="center" wrapText="1"/>
    </xf>
    <xf numFmtId="0" fontId="7" fillId="34" borderId="1" xfId="0" quotePrefix="1" applyFont="1" applyFill="1" applyBorder="1" applyAlignment="1">
      <alignment horizontal="center" vertical="center" wrapText="1"/>
    </xf>
    <xf numFmtId="0" fontId="7" fillId="34" borderId="14" xfId="0" quotePrefix="1" applyFont="1" applyFill="1" applyBorder="1" applyAlignment="1">
      <alignment horizontal="center" vertical="center" wrapText="1"/>
    </xf>
    <xf numFmtId="0" fontId="0" fillId="34" borderId="1" xfId="0" applyFill="1" applyBorder="1"/>
    <xf numFmtId="0" fontId="7" fillId="34" borderId="1" xfId="0" applyFont="1" applyFill="1" applyBorder="1" applyAlignment="1">
      <alignment horizontal="center" vertical="center" wrapText="1"/>
    </xf>
    <xf numFmtId="0" fontId="7" fillId="34" borderId="14" xfId="0" applyFont="1" applyFill="1" applyBorder="1" applyAlignment="1">
      <alignment horizontal="center" vertical="center" wrapText="1"/>
    </xf>
    <xf numFmtId="0" fontId="5" fillId="34" borderId="2" xfId="0" applyFont="1" applyFill="1" applyBorder="1" applyAlignment="1">
      <alignment horizontal="center" vertical="center" wrapText="1"/>
    </xf>
    <xf numFmtId="0" fontId="0" fillId="34" borderId="0" xfId="0" applyFill="1"/>
  </cellXfs>
  <cellStyles count="7">
    <cellStyle name="Hyperlink" xfId="1" builtinId="8"/>
    <cellStyle name="Normal" xfId="0" builtinId="0"/>
    <cellStyle name="Normal 2" xfId="2" xr:uid="{00000000-0005-0000-0000-000002000000}"/>
    <cellStyle name="Normal 3" xfId="3" xr:uid="{00000000-0005-0000-0000-000003000000}"/>
    <cellStyle name="Normal 3 2" xfId="4" xr:uid="{00000000-0005-0000-0000-000004000000}"/>
    <cellStyle name="Normal 3 3" xfId="5" xr:uid="{00000000-0005-0000-0000-000005000000}"/>
    <cellStyle name="Normal 9" xfId="6" xr:uid="{00000000-0005-0000-0000-000006000000}"/>
  </cellStyles>
  <dxfs count="252">
    <dxf>
      <font>
        <b/>
        <i val="0"/>
        <strike val="0"/>
        <condense val="0"/>
        <extend val="0"/>
        <outline val="0"/>
        <shadow val="0"/>
        <u val="none"/>
        <vertAlign val="baseline"/>
        <sz val="8"/>
        <color rgb="FF004687"/>
        <name val="Calibri"/>
        <charset val="1"/>
        <scheme val="none"/>
      </font>
      <numFmt numFmtId="0" formatCode="General"/>
      <fill>
        <patternFill patternType="solid">
          <fgColor indexed="64"/>
          <bgColor rgb="FFE7EEF7"/>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border>
    </dxf>
    <dxf>
      <font>
        <b val="0"/>
        <i val="0"/>
        <strike val="0"/>
        <condense val="0"/>
        <extend val="0"/>
        <outline val="0"/>
        <shadow val="0"/>
        <u val="none"/>
        <vertAlign val="baseline"/>
        <sz val="8"/>
        <color rgb="FF000000"/>
        <name val="Calibri"/>
        <charset val="1"/>
        <scheme val="none"/>
      </font>
      <numFmt numFmtId="0" formatCode="General"/>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9"/>
        <color rgb="FF000000"/>
        <name val="Calibri"/>
        <charset val="1"/>
        <scheme val="none"/>
      </font>
      <numFmt numFmtId="0" formatCode="General"/>
      <fill>
        <patternFill patternType="solid">
          <fgColor rgb="FFE3ECF8"/>
          <bgColor theme="4" tint="0.79998168889431442"/>
        </patternFill>
      </fill>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9"/>
        <color rgb="FF000000"/>
        <name val="Calibri"/>
        <charset val="1"/>
        <scheme val="none"/>
      </font>
      <numFmt numFmtId="0" formatCode="General"/>
      <fill>
        <patternFill patternType="solid">
          <fgColor rgb="FFE3ECF8"/>
          <bgColor theme="4" tint="0.79998168889431442"/>
        </patternFill>
      </fill>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dxf>
    <dxf>
      <numFmt numFmtId="168" formatCode="0.##"/>
      <fill>
        <patternFill patternType="solid">
          <fgColor indexed="64"/>
          <bgColor theme="4" tint="0.79998168889431442"/>
        </patternFill>
      </fill>
      <alignment horizontal="general"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8" formatCode="0.##"/>
      <fill>
        <patternFill patternType="solid">
          <fgColor indexed="64"/>
          <bgColor theme="4" tint="0.79998168889431442"/>
        </patternFill>
      </fill>
      <alignment horizontal="general"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9"/>
        <color rgb="FF192882"/>
        <name val="Calibri"/>
        <charset val="1"/>
        <scheme val="none"/>
      </font>
      <numFmt numFmtId="168" formatCode="0.##"/>
      <fill>
        <patternFill patternType="solid">
          <fgColor rgb="FFE3ECF8"/>
          <bgColor rgb="FFE7EEF7"/>
        </patternFill>
      </fill>
      <alignment horizontal="center" vertical="center" textRotation="0" wrapText="1" indent="0" justifyLastLine="0" shrinkToFit="0" readingOrder="0"/>
      <border diagonalUp="0" diagonalDown="0">
        <left style="thin">
          <color rgb="FFB0B0B0"/>
        </left>
        <right/>
        <top style="thin">
          <color rgb="FFB0B0B0"/>
        </top>
        <bottom style="thin">
          <color rgb="FFB0B0B0"/>
        </bottom>
      </border>
    </dxf>
    <dxf>
      <font>
        <b val="0"/>
        <i val="0"/>
        <strike val="0"/>
        <condense val="0"/>
        <extend val="0"/>
        <outline val="0"/>
        <shadow val="0"/>
        <u val="none"/>
        <vertAlign val="baseline"/>
        <sz val="9"/>
        <color rgb="FF000000"/>
        <name val="Calibri"/>
        <charset val="1"/>
        <scheme val="none"/>
      </font>
      <numFmt numFmtId="168" formatCode="0.##"/>
      <fill>
        <patternFill patternType="solid">
          <fgColor indexed="64"/>
          <bgColor rgb="FFE7EEF7"/>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border>
    </dxf>
    <dxf>
      <numFmt numFmtId="1" formatCode="0"/>
      <protection locked="0" hidden="0"/>
    </dxf>
    <dxf>
      <numFmt numFmtId="1" formatCode="0"/>
      <protection locked="0" hidden="0"/>
    </dxf>
    <dxf>
      <numFmt numFmtId="167" formatCode="dd\ mmm\ yyyy"/>
      <fill>
        <patternFill patternType="solid">
          <fgColor indexed="64"/>
          <bgColor rgb="FFFFF2CC"/>
        </patternFill>
      </fill>
    </dxf>
    <dxf>
      <numFmt numFmtId="167" formatCode="dd\ mmm\ yyyy"/>
      <fill>
        <patternFill patternType="solid">
          <fgColor indexed="64"/>
          <bgColor rgb="FFFFF2CC"/>
        </patternFill>
      </fill>
    </dxf>
    <dxf>
      <fill>
        <patternFill patternType="solid">
          <fgColor indexed="64"/>
          <bgColor rgb="FFFFF2CC"/>
        </patternFill>
      </fill>
    </dxf>
    <dxf>
      <fill>
        <patternFill patternType="solid">
          <fgColor indexed="64"/>
          <bgColor rgb="FFFFF2CC"/>
        </patternFill>
      </fill>
    </dxf>
    <dxf>
      <fill>
        <patternFill patternType="solid">
          <fgColor indexed="64"/>
          <bgColor rgb="FFFFF2CC"/>
        </patternFill>
      </fill>
    </dxf>
    <dxf>
      <font>
        <b/>
        <i val="0"/>
        <color rgb="FF9C0006"/>
      </font>
      <fill>
        <patternFill patternType="solid">
          <fgColor indexed="64"/>
          <bgColor rgb="FFF4CCCC"/>
        </patternFill>
      </fill>
    </dxf>
    <dxf>
      <font>
        <color rgb="FFB91C1C"/>
      </font>
      <fill>
        <patternFill patternType="solid">
          <fgColor indexed="64"/>
          <bgColor rgb="FFFCE8E6"/>
        </patternFill>
      </fill>
    </dxf>
    <dxf>
      <font>
        <b/>
        <i val="0"/>
        <color rgb="FF274E13"/>
      </font>
      <fill>
        <patternFill patternType="solid">
          <fgColor indexed="64"/>
          <bgColor rgb="FFD9EAD3"/>
        </patternFill>
      </fill>
    </dxf>
    <dxf>
      <font>
        <color rgb="FF9C5700"/>
      </font>
      <fill>
        <patternFill patternType="solid">
          <fgColor indexed="64"/>
          <bgColor rgb="FFFCE5CD"/>
        </patternFill>
      </fill>
    </dxf>
    <dxf>
      <font>
        <b/>
        <i val="0"/>
        <color rgb="FF9C0006"/>
      </font>
      <fill>
        <patternFill patternType="solid">
          <fgColor indexed="64"/>
          <bgColor rgb="FFF4CCCC"/>
        </patternFill>
      </fill>
    </dxf>
    <dxf>
      <font>
        <color rgb="FF274E13"/>
      </font>
      <fill>
        <patternFill patternType="solid">
          <fgColor indexed="64"/>
          <bgColor rgb="FFD9EAD3"/>
        </patternFill>
      </fill>
    </dxf>
    <dxf>
      <font>
        <color rgb="FF7F6000"/>
      </font>
      <fill>
        <patternFill patternType="solid">
          <fgColor indexed="64"/>
          <bgColor rgb="FFFFF2CC"/>
        </patternFill>
      </fill>
    </dxf>
    <dxf>
      <font>
        <b/>
        <i val="0"/>
        <color rgb="FF9C0006"/>
      </font>
      <fill>
        <patternFill patternType="solid">
          <fgColor indexed="64"/>
          <bgColor rgb="FFF4CCCC"/>
        </patternFill>
      </fill>
    </dxf>
    <dxf>
      <font>
        <color rgb="FF7F6000"/>
      </font>
      <fill>
        <patternFill patternType="solid">
          <fgColor indexed="64"/>
          <bgColor rgb="FFFFF2CC"/>
        </patternFill>
      </fill>
    </dxf>
    <dxf>
      <font>
        <b/>
        <i val="0"/>
        <color rgb="FF9C0006"/>
      </font>
      <fill>
        <patternFill patternType="solid">
          <fgColor indexed="64"/>
          <bgColor rgb="FFF4CCCC"/>
        </patternFill>
      </fill>
    </dxf>
    <dxf>
      <font>
        <color rgb="FF274E13"/>
      </font>
      <fill>
        <patternFill patternType="solid">
          <fgColor indexed="64"/>
          <bgColor rgb="FFD9EAD3"/>
        </patternFill>
      </fill>
    </dxf>
    <dxf>
      <font>
        <color rgb="FF7F6000"/>
      </font>
      <fill>
        <patternFill patternType="solid">
          <fgColor indexed="64"/>
          <bgColor rgb="FFFFF2CC"/>
        </patternFill>
      </fill>
    </dxf>
    <dxf>
      <font>
        <b/>
        <i val="0"/>
        <color rgb="FF9C0006"/>
      </font>
      <fill>
        <patternFill patternType="solid">
          <fgColor indexed="64"/>
          <bgColor rgb="FFF4CCCC"/>
        </patternFill>
      </fill>
    </dxf>
    <dxf>
      <font>
        <b/>
        <color rgb="FFFFFFFF"/>
        <name val="Calibri"/>
        <charset val="1"/>
      </font>
      <fill>
        <patternFill>
          <bgColor rgb="FF009137"/>
        </patternFill>
      </fill>
    </dxf>
    <dxf>
      <fill>
        <patternFill>
          <bgColor rgb="FFFFD966"/>
        </patternFill>
      </fill>
    </dxf>
    <dxf>
      <fill>
        <patternFill>
          <bgColor rgb="FFF2A900"/>
        </patternFill>
      </fill>
    </dxf>
    <dxf>
      <font>
        <b/>
        <color rgb="FFFFFFFF"/>
        <name val="Calibri"/>
        <charset val="1"/>
      </font>
      <fill>
        <patternFill>
          <bgColor rgb="FFC00000"/>
        </patternFill>
      </fill>
    </dxf>
    <dxf>
      <font>
        <b/>
        <i val="0"/>
        <color rgb="FFB91C1C"/>
      </font>
      <fill>
        <patternFill patternType="solid">
          <fgColor indexed="64"/>
          <bgColor rgb="FFFCE8E6"/>
        </patternFill>
      </fill>
    </dxf>
    <dxf>
      <font>
        <color rgb="FF595959"/>
      </font>
      <fill>
        <patternFill patternType="solid">
          <fgColor indexed="64"/>
          <bgColor rgb="FFE7E6E6"/>
        </patternFill>
      </fill>
    </dxf>
    <dxf>
      <font>
        <color rgb="FF0B5394"/>
      </font>
      <fill>
        <patternFill patternType="solid">
          <fgColor indexed="64"/>
          <bgColor rgb="FFD9EAF7"/>
        </patternFill>
      </fill>
    </dxf>
    <dxf>
      <font>
        <color rgb="FF783F04"/>
      </font>
      <fill>
        <patternFill patternType="solid">
          <fgColor indexed="64"/>
          <bgColor rgb="FFFCE5CD"/>
        </patternFill>
      </fill>
    </dxf>
    <dxf>
      <font>
        <color rgb="FF9C0006"/>
      </font>
      <fill>
        <patternFill patternType="solid">
          <fgColor indexed="64"/>
          <bgColor rgb="FFF4CCCC"/>
        </patternFill>
      </fill>
    </dxf>
    <dxf>
      <font>
        <color rgb="FF9C0006"/>
      </font>
      <fill>
        <patternFill patternType="solid">
          <fgColor indexed="64"/>
          <bgColor rgb="FFF4CCCC"/>
        </patternFill>
      </fill>
    </dxf>
    <dxf>
      <font>
        <color rgb="FF7F6000"/>
      </font>
      <fill>
        <patternFill patternType="solid">
          <fgColor indexed="64"/>
          <bgColor rgb="FFFFF2CC"/>
        </patternFill>
      </fill>
    </dxf>
    <dxf>
      <font>
        <color rgb="FF274E13"/>
      </font>
      <fill>
        <patternFill patternType="solid">
          <fgColor indexed="64"/>
          <bgColor rgb="FFD9EAD3"/>
        </patternFill>
      </fill>
    </dxf>
    <dxf>
      <fill>
        <patternFill>
          <bgColor rgb="FFE7EEF7"/>
        </patternFill>
      </fill>
    </dxf>
    <dxf>
      <fill>
        <patternFill>
          <bgColor rgb="FFFFD966"/>
        </patternFill>
      </fill>
    </dxf>
    <dxf>
      <font>
        <b/>
        <color rgb="FFFFFFFF"/>
        <name val="Calibri"/>
        <charset val="1"/>
      </font>
      <fill>
        <patternFill>
          <bgColor rgb="FFC00000"/>
        </patternFill>
      </fill>
    </dxf>
    <dxf>
      <font>
        <b/>
        <color rgb="FFFFFFFF"/>
        <name val="Calibri"/>
        <charset val="1"/>
      </font>
      <fill>
        <patternFill>
          <bgColor rgb="FF009137"/>
        </patternFill>
      </fill>
    </dxf>
    <dxf>
      <font>
        <b/>
        <color rgb="FFFFFFFF"/>
        <name val="Calibri"/>
        <charset val="1"/>
      </font>
      <fill>
        <patternFill>
          <bgColor rgb="FFC00000"/>
        </patternFill>
      </fill>
    </dxf>
    <dxf>
      <font>
        <b/>
        <color rgb="FFFFFFFF"/>
        <name val="Calibri"/>
        <charset val="1"/>
      </font>
      <fill>
        <patternFill>
          <bgColor rgb="FFC00000"/>
        </patternFill>
      </fill>
    </dxf>
    <dxf>
      <fill>
        <patternFill>
          <bgColor rgb="FFF2A900"/>
        </patternFill>
      </fill>
    </dxf>
    <dxf>
      <font>
        <b/>
        <color rgb="FFFFFFFF"/>
        <name val="Calibri"/>
        <charset val="1"/>
      </font>
      <fill>
        <patternFill>
          <bgColor rgb="FF009137"/>
        </patternFill>
      </fill>
    </dxf>
    <dxf>
      <font>
        <b/>
        <color rgb="FFFFFFFF"/>
        <name val="Calibri"/>
        <charset val="1"/>
      </font>
      <fill>
        <patternFill>
          <bgColor rgb="FFC00000"/>
        </patternFill>
      </fill>
    </dxf>
    <dxf>
      <font>
        <b/>
        <color rgb="FFFFFFFF"/>
        <name val="Calibri"/>
        <charset val="1"/>
      </font>
      <fill>
        <patternFill>
          <bgColor rgb="FFC00000"/>
        </patternFill>
      </fill>
    </dxf>
    <dxf>
      <fill>
        <patternFill>
          <bgColor rgb="FFF2A900"/>
        </patternFill>
      </fill>
    </dxf>
    <dxf>
      <font>
        <b/>
        <color rgb="FFFFFFFF"/>
        <name val="Calibri"/>
        <charset val="1"/>
      </font>
      <fill>
        <patternFill>
          <bgColor rgb="FF009137"/>
        </patternFill>
      </fill>
    </dxf>
    <dxf>
      <font>
        <b/>
        <i val="0"/>
        <color theme="5" tint="-0.24994659260841701"/>
        <name val="Calibri"/>
        <charset val="1"/>
      </font>
      <fill>
        <patternFill>
          <bgColor rgb="FFFFFFCC"/>
        </patternFill>
      </fill>
    </dxf>
    <dxf>
      <font>
        <b/>
        <color rgb="FFFFFFFF"/>
        <name val="Calibri"/>
        <charset val="1"/>
      </font>
      <fill>
        <patternFill>
          <bgColor rgb="FFC00000"/>
        </patternFill>
      </fill>
    </dxf>
    <dxf>
      <font>
        <b/>
        <i val="0"/>
        <color rgb="FF8A4B08"/>
      </font>
      <fill>
        <patternFill patternType="solid">
          <fgColor indexed="64"/>
          <bgColor rgb="FFFFF4CE"/>
        </patternFill>
      </fill>
    </dxf>
    <dxf>
      <font>
        <b/>
        <color rgb="FFFFFFFF"/>
        <name val="Calibri"/>
        <charset val="1"/>
      </font>
      <fill>
        <patternFill>
          <bgColor rgb="FFC00000"/>
        </patternFill>
      </fill>
    </dxf>
    <dxf>
      <fill>
        <patternFill>
          <bgColor rgb="FFE7EEF7"/>
        </patternFill>
      </fill>
    </dxf>
    <dxf>
      <fill>
        <patternFill>
          <bgColor rgb="FFFFD966"/>
        </patternFill>
      </fill>
    </dxf>
    <dxf>
      <font>
        <b/>
        <color rgb="FFFFFFFF"/>
        <name val="Calibri"/>
        <charset val="1"/>
      </font>
      <fill>
        <patternFill>
          <bgColor rgb="FFC00000"/>
        </patternFill>
      </fill>
    </dxf>
    <dxf>
      <font>
        <b/>
        <color rgb="FFFFFFFF"/>
        <name val="Calibri"/>
        <charset val="1"/>
      </font>
      <fill>
        <patternFill>
          <bgColor rgb="FF009137"/>
        </patternFill>
      </fill>
    </dxf>
    <dxf>
      <font>
        <b/>
        <i val="0"/>
        <color rgb="FFB91C1C"/>
      </font>
      <fill>
        <patternFill patternType="solid">
          <fgColor indexed="64"/>
          <bgColor rgb="FFFCE8E6"/>
        </patternFill>
      </fill>
    </dxf>
    <dxf>
      <font>
        <b/>
        <i val="0"/>
        <color rgb="FFB91C1C"/>
      </font>
      <fill>
        <patternFill patternType="solid">
          <fgColor indexed="64"/>
          <bgColor rgb="FFFCE8E6"/>
        </patternFill>
      </fill>
    </dxf>
    <dxf>
      <font>
        <color rgb="FF274E13"/>
      </font>
      <fill>
        <patternFill patternType="solid">
          <fgColor indexed="64"/>
          <bgColor rgb="FFD9EAD3"/>
        </patternFill>
      </fill>
    </dxf>
    <dxf>
      <font>
        <color rgb="FF783F04"/>
      </font>
      <fill>
        <patternFill patternType="solid">
          <fgColor indexed="64"/>
          <bgColor rgb="FFFCE5CD"/>
        </patternFill>
      </fill>
    </dxf>
    <dxf>
      <font>
        <color rgb="FF9C0006"/>
      </font>
      <fill>
        <patternFill patternType="solid">
          <fgColor indexed="64"/>
          <bgColor rgb="FFF4CCCC"/>
        </patternFill>
      </fill>
    </dxf>
    <dxf>
      <font>
        <b/>
        <color rgb="FFFFFFFF"/>
        <name val="Calibri"/>
        <charset val="1"/>
      </font>
      <fill>
        <patternFill>
          <bgColor rgb="FFC00000"/>
        </patternFill>
      </fill>
    </dxf>
    <dxf>
      <fill>
        <patternFill>
          <bgColor rgb="FFF2A900"/>
        </patternFill>
      </fill>
    </dxf>
    <dxf>
      <fill>
        <patternFill>
          <bgColor rgb="FFFFD966"/>
        </patternFill>
      </fill>
    </dxf>
    <dxf>
      <font>
        <b/>
        <color rgb="FFFFFFFF"/>
        <name val="Calibri"/>
        <charset val="1"/>
      </font>
      <fill>
        <patternFill>
          <bgColor rgb="FF009137"/>
        </patternFill>
      </fill>
    </dxf>
    <dxf>
      <font>
        <b/>
        <i val="0"/>
        <color rgb="FF8A4B08"/>
      </font>
      <fill>
        <patternFill patternType="solid">
          <fgColor indexed="64"/>
          <bgColor rgb="FFFFF4CE"/>
        </patternFill>
      </fill>
    </dxf>
    <dxf>
      <font>
        <b/>
        <i val="0"/>
        <color rgb="FFB91C1C"/>
      </font>
      <fill>
        <patternFill patternType="solid">
          <fgColor indexed="64"/>
          <bgColor rgb="FFFCE8E6"/>
        </patternFill>
      </fill>
    </dxf>
    <dxf>
      <font>
        <b/>
        <i val="0"/>
        <color theme="6" tint="-0.499984740745262"/>
      </font>
      <fill>
        <patternFill>
          <bgColor theme="6" tint="0.79998168889431442"/>
        </patternFill>
      </fill>
    </dxf>
    <dxf>
      <font>
        <b/>
        <i val="0"/>
        <color theme="5" tint="-0.499984740745262"/>
      </font>
      <fill>
        <patternFill>
          <bgColor rgb="FFFFB7B7"/>
        </patternFill>
      </fill>
    </dxf>
    <dxf>
      <font>
        <b/>
        <i val="0"/>
        <color rgb="FF8A4B08"/>
      </font>
      <fill>
        <patternFill patternType="solid">
          <fgColor indexed="64"/>
          <bgColor rgb="FFFFF4CE"/>
        </patternFill>
      </fill>
    </dxf>
    <dxf>
      <font>
        <b/>
        <i val="0"/>
        <color rgb="FFB91C1C"/>
      </font>
      <fill>
        <patternFill patternType="solid">
          <fgColor indexed="64"/>
          <bgColor rgb="FFFCE8E6"/>
        </patternFill>
      </fill>
    </dxf>
    <dxf>
      <alignment wrapText="1"/>
    </dxf>
    <dxf>
      <numFmt numFmtId="0" formatCode="General"/>
    </dxf>
    <dxf>
      <numFmt numFmtId="1" formatCode="0"/>
    </dxf>
    <dxf>
      <numFmt numFmtId="164" formatCode="yyyy\-mm\-dd"/>
    </dxf>
    <dxf>
      <fill>
        <patternFill patternType="solid">
          <fgColor indexed="64"/>
          <bgColor rgb="FFFDE9D9"/>
        </patternFill>
      </fill>
    </dxf>
    <dxf>
      <numFmt numFmtId="164" formatCode="yyyy\-mm\-dd"/>
    </dxf>
    <dxf>
      <alignment wrapText="1"/>
    </dxf>
    <dxf>
      <alignment wrapText="1"/>
    </dxf>
    <dxf>
      <fill>
        <patternFill patternType="solid">
          <fgColor indexed="64"/>
          <bgColor rgb="FFFDE9D9"/>
        </patternFill>
      </fill>
    </dxf>
    <dxf>
      <numFmt numFmtId="164" formatCode="yyyy\-mm\-dd"/>
    </dxf>
    <dxf>
      <alignment wrapText="1"/>
    </dxf>
    <dxf>
      <alignment wrapText="1"/>
    </dxf>
    <dxf>
      <alignment wrapText="1"/>
    </dxf>
    <dxf>
      <fill>
        <patternFill patternType="solid">
          <fgColor indexed="64"/>
          <bgColor rgb="FFFDE9D9"/>
        </patternFill>
      </fill>
    </dxf>
    <dxf>
      <alignment wrapText="1"/>
    </dxf>
    <dxf>
      <numFmt numFmtId="164" formatCode="yyyy\-mm\-dd"/>
    </dxf>
    <dxf>
      <fill>
        <patternFill patternType="solid">
          <fgColor indexed="64"/>
          <bgColor rgb="FFFDE9D9"/>
        </patternFill>
      </fill>
    </dxf>
    <dxf>
      <numFmt numFmtId="0" formatCode="General"/>
      <fill>
        <patternFill patternType="solid">
          <fgColor rgb="FFE3ECF8"/>
          <bgColor rgb="FFE7EEF7"/>
        </patternFill>
      </fill>
    </dxf>
    <dxf>
      <numFmt numFmtId="1" formatCode="0"/>
      <fill>
        <patternFill patternType="solid">
          <fgColor rgb="FFE3ECF8"/>
          <bgColor rgb="FFE7EEF7"/>
        </patternFill>
      </fill>
    </dxf>
    <dxf>
      <font>
        <b/>
        <color rgb="FFFFFFFF"/>
      </font>
      <fill>
        <patternFill patternType="solid">
          <fgColor indexed="64"/>
          <bgColor rgb="FF4472C4"/>
        </patternFill>
      </fill>
      <alignment wrapText="1"/>
    </dxf>
    <dxf>
      <border outline="0">
        <left style="thin">
          <color rgb="FFB0B0B0"/>
        </left>
      </border>
    </dxf>
    <dxf>
      <font>
        <b val="0"/>
        <i val="0"/>
        <strike val="0"/>
        <condense val="0"/>
        <extend val="0"/>
        <outline val="0"/>
        <shadow val="0"/>
        <u val="none"/>
        <vertAlign val="baseline"/>
        <sz val="8"/>
        <color rgb="FF000000"/>
        <name val="Calibri"/>
        <charset val="1"/>
        <scheme val="none"/>
      </font>
      <fill>
        <patternFill patternType="solid">
          <fgColor indexed="64"/>
          <bgColor rgb="FFE7EEF7"/>
        </patternFill>
      </fill>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protection locked="0" hidden="0"/>
    </dxf>
    <dxf>
      <font>
        <b val="0"/>
        <i val="0"/>
        <strike val="0"/>
        <condense val="0"/>
        <extend val="0"/>
        <outline val="0"/>
        <shadow val="0"/>
        <u val="none"/>
        <vertAlign val="baseline"/>
        <sz val="8"/>
        <color rgb="FF000000"/>
        <name val="Calibri"/>
        <charset val="1"/>
        <scheme val="none"/>
      </font>
      <numFmt numFmtId="165" formatCode="dd\-mmm\-yy"/>
      <fill>
        <patternFill patternType="solid">
          <fgColor indexed="64"/>
          <bgColor rgb="FFE7EEF7"/>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Calibri"/>
        <charset val="1"/>
        <scheme val="none"/>
      </font>
      <fill>
        <patternFill patternType="solid">
          <fgColor rgb="FFE3ECF8"/>
          <bgColor rgb="FFFDE9D9"/>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Calibri"/>
        <charset val="1"/>
        <scheme val="none"/>
      </font>
      <numFmt numFmtId="165" formatCode="dd\-mmm\-yy"/>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protection locked="0" hidden="0"/>
    </dxf>
    <dxf>
      <font>
        <b val="0"/>
        <i val="0"/>
        <strike val="0"/>
        <condense val="0"/>
        <extend val="0"/>
        <outline val="0"/>
        <shadow val="0"/>
        <u val="none"/>
        <vertAlign val="baseline"/>
        <sz val="8"/>
        <color rgb="FF000000"/>
        <name val="Calibri"/>
        <charset val="1"/>
        <scheme val="none"/>
      </font>
      <numFmt numFmtId="165" formatCode="dd\-mmm\-yy"/>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protection locked="0" hidden="0"/>
    </dxf>
    <dxf>
      <font>
        <b val="0"/>
        <i val="0"/>
        <strike val="0"/>
        <condense val="0"/>
        <extend val="0"/>
        <outline val="0"/>
        <shadow val="0"/>
        <u val="none"/>
        <vertAlign val="baseline"/>
        <sz val="8"/>
        <color rgb="FF000000"/>
        <name val="Calibri"/>
        <charset val="1"/>
        <scheme val="none"/>
      </font>
      <fill>
        <patternFill patternType="solid">
          <fgColor indexed="64"/>
          <bgColor rgb="FFE7EEF7"/>
        </patternFill>
      </fill>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Calibri"/>
        <charset val="1"/>
        <scheme val="none"/>
      </font>
      <fill>
        <patternFill patternType="solid">
          <fgColor indexed="64"/>
          <bgColor rgb="FFE7EEF7"/>
        </patternFill>
      </fill>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Calibri"/>
        <charset val="1"/>
        <scheme val="none"/>
      </font>
      <fill>
        <patternFill patternType="solid">
          <fgColor indexed="64"/>
          <bgColor rgb="FFE7EEF7"/>
        </patternFill>
      </fill>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Calibri"/>
        <charset val="1"/>
        <scheme val="none"/>
      </font>
      <fill>
        <patternFill patternType="solid">
          <fgColor indexed="64"/>
          <bgColor rgb="FFE7EEF7"/>
        </patternFill>
      </fill>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Calibri"/>
        <charset val="1"/>
        <scheme val="none"/>
      </font>
      <fill>
        <patternFill patternType="solid">
          <fgColor indexed="64"/>
          <bgColor rgb="FFE7EEF7"/>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Calibri"/>
        <charset val="1"/>
        <scheme val="none"/>
      </font>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protection locked="0" hidden="0"/>
    </dxf>
    <dxf>
      <font>
        <b val="0"/>
        <i val="0"/>
        <strike val="0"/>
        <condense val="0"/>
        <extend val="0"/>
        <outline val="0"/>
        <shadow val="0"/>
        <u val="none"/>
        <vertAlign val="baseline"/>
        <sz val="8"/>
        <color rgb="FF000000"/>
        <name val="Calibri"/>
        <charset val="1"/>
        <scheme val="none"/>
      </font>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protection locked="0" hidden="0"/>
    </dxf>
    <dxf>
      <font>
        <b val="0"/>
        <i val="0"/>
        <strike val="0"/>
        <condense val="0"/>
        <extend val="0"/>
        <outline val="0"/>
        <shadow val="0"/>
        <u val="none"/>
        <vertAlign val="baseline"/>
        <sz val="8"/>
        <color rgb="FF000000"/>
        <name val="Calibri"/>
        <charset val="1"/>
        <scheme val="none"/>
      </font>
      <fill>
        <patternFill patternType="solid">
          <fgColor indexed="64"/>
          <bgColor rgb="FFE7EEF7"/>
        </patternFill>
      </fill>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Calibr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protection locked="0" hidden="0"/>
    </dxf>
    <dxf>
      <font>
        <b/>
        <i val="0"/>
        <strike val="0"/>
        <condense val="0"/>
        <extend val="0"/>
        <outline val="0"/>
        <shadow val="0"/>
        <u val="none"/>
        <vertAlign val="baseline"/>
        <sz val="8"/>
        <color rgb="FF009137"/>
        <name val="Calibri"/>
        <charset val="1"/>
        <scheme val="none"/>
      </font>
      <fill>
        <patternFill patternType="solid">
          <fgColor indexed="64"/>
          <bgColor rgb="FFE7EEF7"/>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Calibri"/>
        <charset val="1"/>
        <scheme val="none"/>
      </font>
      <fill>
        <patternFill patternType="solid">
          <fgColor indexed="64"/>
          <bgColor rgb="FFE7EEF7"/>
        </patternFill>
      </fill>
      <alignment horizontal="center" vertical="center" textRotation="0" wrapText="1" indent="0" justifyLastLine="0" shrinkToFit="0" readingOrder="0"/>
      <border diagonalUp="0" diagonalDown="0" outline="0">
        <left/>
        <right style="thin">
          <color rgb="FFB0B0B0"/>
        </right>
        <top style="thin">
          <color rgb="FFB0B0B0"/>
        </top>
        <bottom style="thin">
          <color rgb="FFB0B0B0"/>
        </bottom>
      </border>
    </dxf>
    <dxf>
      <border outline="0">
        <left style="thin">
          <color rgb="FFB0B0B0"/>
        </left>
      </border>
    </dxf>
    <dxf>
      <font>
        <b val="0"/>
        <i val="0"/>
        <strike val="0"/>
        <condense val="0"/>
        <extend val="0"/>
        <outline val="0"/>
        <shadow val="0"/>
        <u val="none"/>
        <vertAlign val="baseline"/>
        <sz val="8"/>
        <color rgb="FF000000"/>
        <name val="Calibri"/>
        <charset val="1"/>
        <scheme val="none"/>
      </font>
      <fill>
        <patternFill patternType="solid">
          <fgColor indexed="64"/>
          <bgColor rgb="FFE7EEF7"/>
        </patternFill>
      </fill>
      <alignment horizontal="center" vertical="center" textRotation="0" wrapText="1" indent="0" justifyLastLine="0" shrinkToFit="0" readingOrder="0"/>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8"/>
        <color rgb="FF000000"/>
        <name val="Calibri"/>
        <charset val="1"/>
        <scheme val="none"/>
      </font>
      <fill>
        <patternFill patternType="solid">
          <fgColor indexed="64"/>
          <bgColor rgb="FFE7EEF7"/>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rgb="FF000000"/>
        <name val="Calibri"/>
        <charset val="1"/>
        <scheme val="none"/>
      </font>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rgb="FF000000"/>
        <name val="Calibri"/>
        <charset val="1"/>
        <scheme val="none"/>
      </font>
      <fill>
        <patternFill patternType="solid">
          <fgColor indexed="64"/>
          <bgColor rgb="FFE7EEF7"/>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rgb="FF000000"/>
        <name val="Calibri"/>
        <charset val="1"/>
        <scheme val="none"/>
      </font>
      <numFmt numFmtId="165" formatCode="dd\-mmm\-yy"/>
      <fill>
        <patternFill patternType="solid">
          <fgColor indexed="64"/>
          <bgColor rgb="FFE7EEF7"/>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rgb="FF000000"/>
        <name val="Calibri"/>
        <scheme val="none"/>
      </font>
      <fill>
        <patternFill patternType="solid">
          <fgColor indexed="64"/>
          <bgColor theme="9" tint="0.79998168889431442"/>
        </patternFill>
      </fill>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rgb="FF000000"/>
        <name val="Calibri"/>
        <charset val="1"/>
        <scheme val="none"/>
      </font>
      <numFmt numFmtId="165" formatCode="dd\-mmm\-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000000"/>
        <name val="Calibri"/>
        <charset val="1"/>
        <scheme val="none"/>
      </font>
      <numFmt numFmtId="165" formatCode="dd\-mmm\-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000000"/>
        <name val="Calibri"/>
        <charset val="1"/>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000000"/>
        <name val="Calibri"/>
        <charset val="1"/>
        <scheme val="none"/>
      </font>
      <fill>
        <patternFill patternType="solid">
          <fgColor indexed="64"/>
          <bgColor theme="9" tint="0.79998168889431442"/>
        </patternFill>
      </fill>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000000"/>
        <name val="Calibri"/>
        <charset val="1"/>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000000"/>
        <name val="Calibri"/>
        <charset val="1"/>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000000"/>
        <name val="Calibri"/>
        <charset val="1"/>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000000"/>
        <name val="Calibri"/>
        <charset val="1"/>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000000"/>
        <name val="Calibri"/>
        <charset val="1"/>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8"/>
        <color rgb="FF004687"/>
        <name val="Calibri"/>
        <charset val="1"/>
        <scheme val="none"/>
      </font>
      <fill>
        <patternFill patternType="solid">
          <fgColor rgb="FFE3ECF8"/>
          <bgColor theme="9"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9" tint="0.79998168889431442"/>
        </patternFill>
      </fill>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8"/>
        <color rgb="FF004687"/>
        <name val="Calibri"/>
        <charset val="1"/>
        <scheme val="none"/>
      </font>
      <fill>
        <patternFill patternType="solid">
          <fgColor rgb="FFE3ECF8"/>
          <bgColor theme="9"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rgb="FF000000"/>
        <name val="Calibri"/>
        <charset val="1"/>
        <scheme val="none"/>
      </font>
      <fill>
        <patternFill patternType="solid">
          <fgColor indexed="64"/>
          <bgColor rgb="FFE7EEF7"/>
        </patternFill>
      </fill>
      <alignment horizontal="center" vertical="center" textRotation="0" wrapText="1" indent="0" justifyLastLine="0" shrinkToFit="0" readingOrder="0"/>
      <border diagonalUp="0" diagonalDown="0"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8"/>
        <color rgb="FFFFFFFF"/>
        <name val="Calibri"/>
        <charset val="1"/>
        <scheme val="none"/>
      </font>
      <fill>
        <patternFill patternType="solid">
          <fgColor rgb="FF1F4E79"/>
          <bgColor rgb="FF004687"/>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8"/>
        <color rgb="FF000000"/>
        <name val="Calibri"/>
        <charset val="1"/>
        <scheme val="none"/>
      </font>
      <numFmt numFmtId="0" formatCode="General"/>
      <fill>
        <patternFill patternType="solid">
          <fgColor indexed="64"/>
          <bgColor theme="9" tint="0.79998168889431442"/>
        </patternFill>
      </fill>
      <alignment horizontal="left" vertical="center" textRotation="0" wrapText="1" indent="0" justifyLastLine="0" shrinkToFit="0" readingOrder="0"/>
      <border diagonalUp="0" diagonalDown="0">
        <left style="thin">
          <color rgb="FFB0B0B0"/>
        </left>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Calibr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Calibr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Calibr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Calibr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Calibr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Calibr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Calibr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Calibr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i val="0"/>
        <strike val="0"/>
        <condense val="0"/>
        <extend val="0"/>
        <outline val="0"/>
        <shadow val="0"/>
        <u val="none"/>
        <vertAlign val="baseline"/>
        <sz val="8"/>
        <color rgb="FF004687"/>
        <name val="Calibr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8"/>
        <color rgb="FF000000"/>
        <name val="Calibri"/>
        <charset val="1"/>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right style="thin">
          <color rgb="FFB0B0B0"/>
        </right>
        <top style="thin">
          <color rgb="FFB0B0B0"/>
        </top>
        <bottom style="thin">
          <color rgb="FFB0B0B0"/>
        </bottom>
        <vertical/>
        <horizontal/>
      </border>
    </dxf>
    <dxf>
      <border outline="0">
        <top style="thin">
          <color rgb="FFB0B0B0"/>
        </top>
      </border>
    </dxf>
    <dxf>
      <border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Calibri"/>
        <charset val="1"/>
        <scheme val="none"/>
      </font>
      <alignment horizontal="left" vertical="center" textRotation="0" wrapText="1" indent="0" justifyLastLine="0" shrinkToFit="0" readingOrder="0"/>
      <protection locked="0" hidden="0"/>
    </dxf>
    <dxf>
      <border outline="0">
        <bottom style="thin">
          <color rgb="FFB0B0B0"/>
        </bottom>
      </border>
    </dxf>
    <dxf>
      <font>
        <b/>
        <i val="0"/>
        <strike val="0"/>
        <condense val="0"/>
        <extend val="0"/>
        <outline val="0"/>
        <shadow val="0"/>
        <u val="none"/>
        <vertAlign val="baseline"/>
        <sz val="8"/>
        <color rgb="FFFFFFFF"/>
        <name val="Calibri"/>
        <charset val="1"/>
        <scheme val="none"/>
      </font>
      <fill>
        <patternFill patternType="solid">
          <fgColor rgb="FF1F4E79"/>
          <bgColor rgb="FF004687"/>
        </patternFill>
      </fill>
      <alignment horizontal="center" vertical="center" textRotation="0" wrapText="1" indent="0" justifyLastLine="0" shrinkToFit="0" readingOrder="0"/>
      <border diagonalUp="0" diagonalDown="0" outline="0">
        <left style="thin">
          <color rgb="FFB0B0B0"/>
        </left>
        <right style="thin">
          <color rgb="FFB0B0B0"/>
        </right>
        <top/>
        <bottom/>
      </border>
    </dxf>
    <dxf>
      <font>
        <b val="0"/>
        <i val="0"/>
        <strike val="0"/>
        <condense val="0"/>
        <extend val="0"/>
        <outline val="0"/>
        <shadow val="0"/>
        <u val="none"/>
        <vertAlign val="baseline"/>
        <sz val="9"/>
        <color rgb="FF000000"/>
        <name val="Calibri"/>
        <charset val="1"/>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rgb="FFB0B0B0"/>
        </left>
        <right/>
        <top style="thin">
          <color rgb="FFB0B0B0"/>
        </top>
        <bottom/>
      </border>
    </dxf>
    <dxf>
      <font>
        <b/>
        <i val="0"/>
        <strike val="0"/>
        <condense val="0"/>
        <extend val="0"/>
        <outline val="0"/>
        <shadow val="0"/>
        <u val="none"/>
        <vertAlign val="baseline"/>
        <sz val="8"/>
        <color rgb="FFFFFFFF"/>
        <name val="Calibr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border>
    </dxf>
    <dxf>
      <font>
        <b val="0"/>
        <i val="0"/>
        <strike val="0"/>
        <condense val="0"/>
        <extend val="0"/>
        <outline val="0"/>
        <shadow val="0"/>
        <u val="none"/>
        <vertAlign val="baseline"/>
        <sz val="9"/>
        <color rgb="FF000000"/>
        <name val="Calibr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Calibri"/>
        <charset val="1"/>
        <scheme val="none"/>
      </font>
      <numFmt numFmtId="0" formatCode="General"/>
      <fill>
        <patternFill patternType="solid">
          <fgColor rgb="FFE3ECF8"/>
          <bgColor theme="4" tint="0.79998168889431442"/>
        </patternFill>
      </fill>
      <alignment horizontal="center" vertical="center" textRotation="0" wrapText="1" indent="0" justifyLastLine="0" shrinkToFit="0" readingOrder="0"/>
      <border diagonalUp="0" diagonalDown="0" outline="0">
        <left/>
        <right/>
        <top style="thin">
          <color rgb="FFB0B0B0"/>
        </top>
        <bottom/>
      </border>
    </dxf>
    <dxf>
      <font>
        <b val="0"/>
        <i val="0"/>
        <strike val="0"/>
        <condense val="0"/>
        <extend val="0"/>
        <outline val="0"/>
        <shadow val="0"/>
        <u val="none"/>
        <vertAlign val="baseline"/>
        <sz val="9"/>
        <color rgb="FF000000"/>
        <name val="Calibri"/>
        <charset val="1"/>
        <scheme val="none"/>
      </font>
      <numFmt numFmtId="165" formatCode="dd\-mmm\-yy"/>
      <fill>
        <patternFill patternType="none">
          <fgColor indexed="64"/>
          <bgColor auto="1"/>
        </patternFill>
      </fill>
      <alignment horizontal="center" vertical="center" textRotation="0" wrapText="1" indent="0" justifyLastLine="0" shrinkToFit="0" readingOrder="0"/>
      <border diagonalUp="0" diagonalDown="0" outline="0">
        <left/>
        <right/>
        <top style="thin">
          <color rgb="FFB0B0B0"/>
        </top>
        <bottom/>
      </border>
    </dxf>
    <dxf>
      <font>
        <b val="0"/>
        <i val="0"/>
        <strike val="0"/>
        <condense val="0"/>
        <extend val="0"/>
        <outline val="0"/>
        <shadow val="0"/>
        <u val="none"/>
        <vertAlign val="baseline"/>
        <sz val="9"/>
        <color rgb="FF000000"/>
        <name val="Calibri"/>
        <charset val="1"/>
        <scheme val="none"/>
      </font>
      <numFmt numFmtId="165" formatCode="dd\-mmm\-yy"/>
      <fill>
        <patternFill patternType="none">
          <fgColor indexed="64"/>
          <bgColor auto="1"/>
        </patternFill>
      </fill>
      <alignment horizontal="center" vertical="center" textRotation="0" wrapText="1" indent="0" justifyLastLine="0" shrinkToFit="0" readingOrder="0"/>
      <border diagonalUp="0" diagonalDown="0" outline="0">
        <left/>
        <right style="thin">
          <color rgb="FFB0B0B0"/>
        </right>
        <top style="thin">
          <color rgb="FFB0B0B0"/>
        </top>
        <bottom/>
      </border>
    </dxf>
    <dxf>
      <font>
        <b val="0"/>
        <i val="0"/>
        <strike val="0"/>
        <condense val="0"/>
        <extend val="0"/>
        <outline val="0"/>
        <shadow val="0"/>
        <u val="none"/>
        <vertAlign val="baseline"/>
        <sz val="9"/>
        <color rgb="FF000000"/>
        <name val="Calibri"/>
        <charset val="1"/>
        <scheme val="none"/>
      </font>
      <numFmt numFmtId="165" formatCode="dd\-mmm\-yy"/>
      <fill>
        <patternFill patternType="none">
          <fgColor indexed="64"/>
          <bgColor auto="1"/>
        </patternFill>
      </fill>
      <alignment horizontal="center" vertical="center" textRotation="0" wrapText="1" indent="0" justifyLastLine="0" shrinkToFit="0" readingOrder="0"/>
      <border diagonalUp="0" diagonalDown="0" outline="0">
        <left/>
        <right style="thin">
          <color rgb="FFB0B0B0"/>
        </right>
        <top style="thin">
          <color rgb="FFB0B0B0"/>
        </top>
        <bottom/>
      </border>
    </dxf>
    <dxf>
      <font>
        <b val="0"/>
        <i val="0"/>
        <strike val="0"/>
        <condense val="0"/>
        <extend val="0"/>
        <outline val="0"/>
        <shadow val="0"/>
        <u val="none"/>
        <vertAlign val="baseline"/>
        <sz val="9"/>
        <color rgb="FF000000"/>
        <name val="Calibri"/>
        <charset val="1"/>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border>
    </dxf>
    <dxf>
      <font>
        <b val="0"/>
        <i val="0"/>
        <strike val="0"/>
        <condense val="0"/>
        <extend val="0"/>
        <outline val="0"/>
        <shadow val="0"/>
        <u val="none"/>
        <vertAlign val="baseline"/>
        <sz val="9"/>
        <color rgb="FF000000"/>
        <name val="Calibr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border>
    </dxf>
    <dxf>
      <font>
        <b val="0"/>
        <i val="0"/>
        <strike val="0"/>
        <condense val="0"/>
        <extend val="0"/>
        <outline val="0"/>
        <shadow val="0"/>
        <u val="none"/>
        <vertAlign val="baseline"/>
        <sz val="9"/>
        <color rgb="FF000000"/>
        <name val="Calibr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Calibr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Calibr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Calibr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Calibr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outline="0">
        <left/>
        <right/>
        <top style="thin">
          <color rgb="FFB0B0B0"/>
        </top>
        <bottom/>
      </border>
    </dxf>
    <dxf>
      <font>
        <b val="0"/>
        <i val="0"/>
        <strike val="0"/>
        <condense val="0"/>
        <extend val="0"/>
        <outline val="0"/>
        <shadow val="0"/>
        <u val="none"/>
        <vertAlign val="baseline"/>
        <sz val="9"/>
        <color rgb="FF000000"/>
        <name val="Calibri"/>
        <charset val="1"/>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rgb="FFB0B0B0"/>
        </left>
        <right/>
        <top style="thin">
          <color rgb="FFB0B0B0"/>
        </top>
        <bottom/>
      </border>
    </dxf>
    <dxf>
      <font>
        <b val="0"/>
        <i val="0"/>
        <strike val="0"/>
        <condense val="0"/>
        <extend val="0"/>
        <outline val="0"/>
        <shadow val="0"/>
        <u val="none"/>
        <vertAlign val="baseline"/>
        <sz val="9"/>
        <color rgb="FF000000"/>
        <name val="Calibri"/>
        <charset val="1"/>
        <scheme val="none"/>
      </font>
      <fill>
        <patternFill patternType="solid">
          <fgColor indexed="64"/>
          <bgColor theme="9" tint="0.79998168889431442"/>
        </patternFill>
      </fill>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border>
    </dxf>
    <dxf>
      <font>
        <b val="0"/>
        <i val="0"/>
        <strike val="0"/>
        <condense val="0"/>
        <extend val="0"/>
        <outline val="0"/>
        <shadow val="0"/>
        <u val="none"/>
        <vertAlign val="baseline"/>
        <sz val="9"/>
        <color rgb="FF000000"/>
        <name val="Calibr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Calibri"/>
        <charset val="1"/>
        <scheme val="none"/>
      </font>
      <numFmt numFmtId="0" formatCode="General"/>
      <fill>
        <patternFill patternType="solid">
          <fgColor rgb="FFE3ECF8"/>
          <bgColor theme="4" tint="0.79998168889431442"/>
        </patternFill>
      </fill>
      <alignment horizontal="left"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Calibri"/>
        <charset val="1"/>
        <scheme val="none"/>
      </font>
      <numFmt numFmtId="0" formatCode="General"/>
      <fill>
        <patternFill patternType="solid">
          <fgColor rgb="FFE3ECF8"/>
          <bgColor theme="4" tint="0.79998168889431442"/>
        </patternFill>
      </fill>
      <alignment horizontal="left"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Calibri"/>
        <charset val="1"/>
        <scheme val="none"/>
      </font>
      <numFmt numFmtId="0" formatCode="General"/>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i val="0"/>
        <strike val="0"/>
        <condense val="0"/>
        <extend val="0"/>
        <outline val="0"/>
        <shadow val="0"/>
        <u val="none"/>
        <vertAlign val="baseline"/>
        <sz val="9"/>
        <color rgb="FF004687"/>
        <name val="Calibr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Calibr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Calibri"/>
        <charset val="1"/>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right/>
        <top style="thin">
          <color rgb="FFB0B0B0"/>
        </top>
        <bottom/>
        <vertical/>
        <horizontal/>
      </border>
    </dxf>
    <dxf>
      <border outline="0">
        <left style="thin">
          <color rgb="FFB0B0B0"/>
        </left>
        <right style="thin">
          <color rgb="FFB0B0B0"/>
        </right>
        <top style="thin">
          <color rgb="FFB0B0B0"/>
        </top>
        <bottom style="thin">
          <color rgb="FFB0B0B0"/>
        </bottom>
      </border>
    </dxf>
    <dxf>
      <font>
        <b/>
        <i val="0"/>
        <strike val="0"/>
        <condense val="0"/>
        <extend val="0"/>
        <outline val="0"/>
        <shadow val="0"/>
        <u val="none"/>
        <vertAlign val="baseline"/>
        <sz val="8"/>
        <color auto="1"/>
        <name val="Calibr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auto="1"/>
        </left>
        <right/>
        <top style="thin">
          <color auto="1"/>
        </top>
        <bottom style="thin">
          <color auto="1"/>
        </bottom>
        <vertical/>
        <horizontal/>
      </border>
    </dxf>
    <dxf>
      <font>
        <b/>
        <i val="0"/>
        <strike val="0"/>
        <condense val="0"/>
        <extend val="0"/>
        <outline val="0"/>
        <shadow val="0"/>
        <u val="none"/>
        <vertAlign val="baseline"/>
        <sz val="8"/>
        <color auto="1"/>
        <name val="Calibr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9"/>
        <color rgb="FF000000"/>
        <name val="Calibri"/>
        <charset val="1"/>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ont>
        <b/>
        <i val="0"/>
        <strike val="0"/>
        <condense val="0"/>
        <extend val="0"/>
        <outline val="0"/>
        <shadow val="0"/>
        <u val="none"/>
        <vertAlign val="baseline"/>
        <sz val="9"/>
        <color rgb="FF000000"/>
        <name val="Calibr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9"/>
        <color rgb="FF000000"/>
        <name val="Calibr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9"/>
        <color rgb="FF000000"/>
        <name val="Calibr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9"/>
        <color rgb="FF000000"/>
        <name val="Calibr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9"/>
        <color rgb="FF000000"/>
        <name val="Calibri"/>
        <charset val="1"/>
        <scheme val="none"/>
      </font>
      <fill>
        <patternFill patternType="solid">
          <fgColor indexed="64"/>
          <bgColor rgb="FFFDE9D9"/>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0" hidden="0"/>
    </dxf>
    <dxf>
      <font>
        <b/>
        <i val="0"/>
        <strike val="0"/>
        <condense val="0"/>
        <extend val="0"/>
        <outline val="0"/>
        <shadow val="0"/>
        <u val="none"/>
        <vertAlign val="baseline"/>
        <sz val="9"/>
        <color rgb="FF000000"/>
        <name val="Calibr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9"/>
        <color rgb="FF000000"/>
        <name val="Calibri"/>
        <charset val="1"/>
        <scheme val="none"/>
      </font>
      <fill>
        <patternFill patternType="solid">
          <fgColor indexed="64"/>
          <bgColor rgb="FFFDE9D9"/>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0" hidden="0"/>
    </dxf>
    <dxf>
      <font>
        <b/>
        <i val="0"/>
        <strike val="0"/>
        <condense val="0"/>
        <extend val="0"/>
        <outline val="0"/>
        <shadow val="0"/>
        <u val="none"/>
        <vertAlign val="baseline"/>
        <sz val="9"/>
        <color rgb="FF000000"/>
        <name val="Calibri"/>
        <charset val="1"/>
        <scheme val="none"/>
      </font>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0" hidden="0"/>
    </dxf>
    <dxf>
      <font>
        <b/>
        <i val="0"/>
        <strike val="0"/>
        <condense val="0"/>
        <extend val="0"/>
        <outline val="0"/>
        <shadow val="0"/>
        <u val="none"/>
        <vertAlign val="baseline"/>
        <sz val="9"/>
        <color rgb="FF000000"/>
        <name val="Calibri"/>
        <charset val="1"/>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ont>
        <b/>
        <i val="0"/>
        <strike val="0"/>
        <condense val="0"/>
        <extend val="0"/>
        <outline val="0"/>
        <shadow val="0"/>
        <u val="none"/>
        <vertAlign val="baseline"/>
        <sz val="9"/>
        <color rgb="FF000000"/>
        <name val="Calibri"/>
        <charset val="1"/>
        <scheme val="none"/>
      </font>
      <fill>
        <patternFill patternType="solid">
          <fgColor rgb="FFE3ECF8"/>
          <bgColor theme="4" tint="0.79998168889431442"/>
        </patternFill>
      </fill>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9"/>
        <color rgb="FF000000"/>
        <name val="Calibri"/>
        <charset val="1"/>
        <scheme val="none"/>
      </font>
      <fill>
        <patternFill patternType="solid">
          <fgColor indexed="64"/>
          <bgColor rgb="FFFDE9D9"/>
        </patternFill>
      </fill>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0" hidden="0"/>
    </dxf>
    <dxf>
      <font>
        <b val="0"/>
        <i val="0"/>
        <strike val="0"/>
        <condense val="0"/>
        <extend val="0"/>
        <outline val="0"/>
        <shadow val="0"/>
        <u val="none"/>
        <vertAlign val="baseline"/>
        <sz val="8"/>
        <color rgb="FF000000"/>
        <name val="Calibri"/>
        <scheme val="none"/>
      </font>
      <fill>
        <patternFill patternType="solid">
          <fgColor rgb="FFE3ECF8"/>
          <bgColor rgb="FFE7EEF7"/>
        </patternFill>
      </fill>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scheme val="none"/>
      </font>
      <fill>
        <patternFill patternType="solid">
          <fgColor rgb="FF191E8C"/>
          <bgColor rgb="FFFDE9D9"/>
        </patternFill>
      </fill>
      <alignment horizontal="general"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0" hidden="0"/>
    </dxf>
    <dxf>
      <font>
        <b/>
        <i val="0"/>
        <strike val="0"/>
        <condense val="0"/>
        <extend val="0"/>
        <outline val="0"/>
        <shadow val="0"/>
        <u val="none"/>
        <vertAlign val="baseline"/>
        <sz val="9"/>
        <color rgb="FF000000"/>
        <name val="Calibri"/>
        <charset val="1"/>
        <scheme val="none"/>
      </font>
      <fill>
        <patternFill patternType="solid">
          <fgColor indexed="64"/>
          <bgColor rgb="FFFDE9D9"/>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9"/>
        <color rgb="FF000000"/>
        <name val="Calibri"/>
        <charset val="1"/>
        <scheme val="none"/>
      </font>
      <fill>
        <patternFill patternType="solid">
          <fgColor indexed="64"/>
          <bgColor rgb="FFFDE9D9"/>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9"/>
        <color rgb="FF004687"/>
        <name val="Calibr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9"/>
        <color rgb="FF000000"/>
        <name val="Calibri"/>
        <charset val="1"/>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val="0"/>
        <i val="0"/>
        <strike val="0"/>
        <condense val="0"/>
        <extend val="0"/>
        <outline val="0"/>
        <shadow val="0"/>
        <u val="none"/>
        <vertAlign val="baseline"/>
        <sz val="9"/>
        <color rgb="FF000000"/>
        <name val="Calibri"/>
        <charset val="1"/>
        <scheme val="none"/>
      </font>
      <alignment horizontal="left" vertical="center" textRotation="0" wrapText="1" indent="0" justifyLastLine="0" shrinkToFit="0" readingOrder="0"/>
      <border diagonalUp="0" diagonalDown="0">
        <left style="thin">
          <color rgb="FFB0B0B0"/>
        </left>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Calibr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Calibr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Calibr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Calibri"/>
        <charset val="1"/>
        <scheme val="none"/>
      </font>
      <alignment horizontal="left" vertical="center" textRotation="0" wrapText="0"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Calibri"/>
        <charset val="1"/>
        <scheme val="none"/>
      </font>
      <fill>
        <patternFill patternType="solid">
          <fgColor indexed="64"/>
          <bgColor rgb="FFFEEFE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Calibri"/>
        <charset val="1"/>
        <scheme val="none"/>
      </font>
      <fill>
        <patternFill patternType="solid">
          <fgColor rgb="FFFDEADA"/>
          <bgColor rgb="FFFEEFE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Calibri"/>
        <charset val="1"/>
        <scheme val="none"/>
      </font>
      <fill>
        <patternFill patternType="solid">
          <fgColor indexed="64"/>
          <bgColor rgb="FFFEEFE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Calibr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i val="0"/>
        <strike val="0"/>
        <condense val="0"/>
        <extend val="0"/>
        <outline val="0"/>
        <shadow val="0"/>
        <u val="none"/>
        <vertAlign val="baseline"/>
        <sz val="9"/>
        <color rgb="FF004687"/>
        <name val="Calibr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9"/>
        <color rgb="FF000000"/>
        <name val="Calibri"/>
        <charset val="1"/>
        <scheme val="none"/>
      </font>
      <fill>
        <patternFill patternType="solid">
          <fgColor rgb="FFF2F2F2"/>
          <bgColor theme="4" tint="0.79998168889431442"/>
        </patternFill>
      </fill>
      <alignment horizontal="center" vertical="center" textRotation="0" wrapText="1" indent="0" justifyLastLine="0" shrinkToFit="0" readingOrder="0"/>
      <border diagonalUp="0" diagonalDown="0">
        <left/>
        <right style="thin">
          <color rgb="FFB0B0B0"/>
        </right>
        <top style="thin">
          <color rgb="FFB0B0B0"/>
        </top>
        <bottom style="thin">
          <color rgb="FFB0B0B0"/>
        </bottom>
        <vertical/>
        <horizontal/>
      </border>
    </dxf>
    <dxf>
      <border outline="0">
        <top style="thin">
          <color rgb="FFB0B0B0"/>
        </top>
      </border>
    </dxf>
    <dxf>
      <border outline="0">
        <left style="thin">
          <color rgb="FFB0B0B0"/>
        </left>
        <right style="thin">
          <color rgb="FFB0B0B0"/>
        </right>
        <top style="thin">
          <color rgb="FFB0B0B0"/>
        </top>
        <bottom style="thin">
          <color rgb="FFB0B0B0"/>
        </bottom>
      </border>
    </dxf>
    <dxf>
      <border outline="0">
        <bottom style="thin">
          <color rgb="FFB0B0B0"/>
        </bottom>
      </border>
    </dxf>
    <dxf>
      <font>
        <b/>
        <i val="0"/>
        <strike val="0"/>
        <condense val="0"/>
        <extend val="0"/>
        <outline val="0"/>
        <shadow val="0"/>
        <u val="none"/>
        <vertAlign val="baseline"/>
        <sz val="9"/>
        <color rgb="FFFFFFFF"/>
        <name val="Calibri"/>
        <charset val="1"/>
        <scheme val="none"/>
      </font>
      <fill>
        <patternFill patternType="solid">
          <fgColor rgb="FF1F4E79"/>
          <bgColor rgb="FF004687"/>
        </patternFill>
      </fill>
      <alignment horizontal="center" vertical="center" textRotation="0" wrapText="1" indent="0" justifyLastLine="0" shrinkToFit="0" readingOrder="0"/>
      <border diagonalUp="0" diagonalDown="0" outline="0">
        <left style="thin">
          <color rgb="FFB0B0B0"/>
        </left>
        <right style="thin">
          <color rgb="FFB0B0B0"/>
        </right>
        <top/>
        <bottom/>
      </border>
    </dxf>
    <dxf>
      <border diagonalUp="0" diagonalDown="0">
        <left style="thin">
          <color auto="1"/>
        </left>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fill>
        <patternFill patternType="solid">
          <fgColor indexed="64"/>
          <bgColor theme="4" tint="0.79998168889431442"/>
        </patternFill>
      </fill>
      <border diagonalUp="0" diagonalDown="0">
        <left style="thin">
          <color auto="1"/>
        </left>
        <right style="thin">
          <color auto="1"/>
        </right>
        <top style="thin">
          <color auto="1"/>
        </top>
        <bottom style="thin">
          <color auto="1"/>
        </bottom>
        <vertical/>
        <horizontal/>
      </border>
    </dxf>
    <dxf>
      <border outline="0">
        <right style="thin">
          <color auto="1"/>
        </right>
        <bottom style="thin">
          <color auto="1"/>
        </bottom>
      </border>
    </dxf>
    <dxf>
      <border diagonalUp="0" diagonalDown="0">
        <left style="thin">
          <color auto="1"/>
        </left>
        <right/>
        <top style="thin">
          <color auto="1"/>
        </top>
        <bottom style="thin">
          <color auto="1"/>
        </bottom>
        <vertical/>
        <horizontal/>
      </border>
      <protection locked="0" hidden="0"/>
    </dxf>
    <dxf>
      <fill>
        <patternFill patternType="solid">
          <fgColor indexed="64"/>
          <bgColor theme="9" tint="0.79998168889431442"/>
        </patternFill>
      </fill>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fill>
        <patternFill patternType="solid">
          <fgColor indexed="64"/>
          <bgColor theme="9" tint="0.79998168889431442"/>
        </patternFill>
      </fill>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fill>
        <patternFill patternType="solid">
          <fgColor indexed="64"/>
          <bgColor theme="4" tint="0.79998168889431442"/>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9" tint="0.79998168889431442"/>
        </patternFill>
      </fill>
      <border diagonalUp="0" diagonalDown="0">
        <left style="thin">
          <color auto="1"/>
        </left>
        <right style="thin">
          <color auto="1"/>
        </right>
        <top style="thin">
          <color auto="1"/>
        </top>
        <bottom style="thin">
          <color auto="1"/>
        </bottom>
        <vertical/>
        <horizontal/>
      </border>
      <protection locked="0" hidden="0"/>
    </dxf>
    <dxf>
      <alignment horizontal="general" vertical="top"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9"/>
        <color theme="0"/>
        <name val="Calibri"/>
        <scheme val="none"/>
      </font>
      <fill>
        <patternFill patternType="solid">
          <fgColor indexed="64"/>
          <bgColor rgb="FF004687"/>
        </patternFill>
      </fill>
      <alignment horizontal="general" vertical="bottom" textRotation="0" wrapText="1" indent="0" justifyLastLine="0" shrinkToFit="0" readingOrder="0"/>
      <border diagonalUp="0" diagonalDown="0" outline="0">
        <left style="thin">
          <color auto="1"/>
        </left>
        <right style="thin">
          <color auto="1"/>
        </right>
        <top/>
        <bottom/>
      </border>
    </dxf>
    <dxf>
      <font>
        <b/>
        <i val="0"/>
        <strike val="0"/>
        <condense val="0"/>
        <extend val="0"/>
        <outline val="0"/>
        <shadow val="0"/>
        <u val="none"/>
        <vertAlign val="baseline"/>
        <sz val="9"/>
        <color rgb="FF192882"/>
        <name val="Calibri"/>
        <charset val="1"/>
        <scheme val="none"/>
      </font>
      <fill>
        <patternFill patternType="solid">
          <fgColor rgb="FFE3ECF8"/>
          <bgColor rgb="FFE7EEF7"/>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9"/>
        <color rgb="FF000000"/>
        <name val="Calibri"/>
        <charset val="1"/>
        <scheme val="none"/>
      </font>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protection locked="0" hidden="0"/>
    </dxf>
    <dxf>
      <font>
        <b val="0"/>
        <i val="0"/>
        <strike val="0"/>
        <condense val="0"/>
        <extend val="0"/>
        <outline val="0"/>
        <shadow val="0"/>
        <u val="none"/>
        <vertAlign val="baseline"/>
        <sz val="9"/>
        <color rgb="FF000000"/>
        <name val="Calibr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Calibri"/>
        <charset val="1"/>
        <scheme val="none"/>
      </font>
      <fill>
        <patternFill patternType="solid">
          <fgColor rgb="FFFDEADA"/>
          <bgColor theme="9"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Calibri"/>
        <charset val="1"/>
        <scheme val="none"/>
      </font>
      <fill>
        <patternFill patternType="solid">
          <fgColor rgb="FFFDEADA"/>
          <bgColor theme="9"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Calibr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Calibr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Calibr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Calibr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Calibr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Calibr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i val="0"/>
        <strike val="0"/>
        <condense val="0"/>
        <extend val="0"/>
        <outline val="0"/>
        <shadow val="0"/>
        <u val="none"/>
        <vertAlign val="baseline"/>
        <sz val="9"/>
        <color rgb="FF004687"/>
        <name val="Calibri"/>
        <charset val="1"/>
        <scheme val="none"/>
      </font>
      <fill>
        <patternFill patternType="solid">
          <fgColor rgb="FFE3ECF8"/>
          <bgColor rgb="FFE7EEF7"/>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9"/>
        <color rgb="FF000000"/>
        <name val="Calibri"/>
        <charset val="1"/>
        <scheme val="none"/>
      </font>
      <alignment horizontal="center" vertical="center" textRotation="0" wrapText="1" indent="0" justifyLastLine="0" shrinkToFit="0" readingOrder="0"/>
      <border diagonalUp="0" diagonalDown="0">
        <left/>
        <right style="thin">
          <color rgb="FFB0B0B0"/>
        </right>
        <top style="thin">
          <color rgb="FFB0B0B0"/>
        </top>
        <bottom style="thin">
          <color rgb="FFB0B0B0"/>
        </bottom>
        <vertical/>
        <horizontal/>
      </border>
    </dxf>
    <dxf>
      <border outline="0">
        <top style="thin">
          <color rgb="FFB0B0B0"/>
        </top>
      </border>
    </dxf>
    <dxf>
      <border outline="0">
        <left style="thin">
          <color rgb="FFB0B0B0"/>
        </left>
        <right style="thin">
          <color rgb="FFB0B0B0"/>
        </right>
        <top style="thin">
          <color rgb="FFB0B0B0"/>
        </top>
        <bottom style="thin">
          <color rgb="FFB0B0B0"/>
        </bottom>
      </border>
    </dxf>
    <dxf>
      <border outline="0">
        <bottom style="thin">
          <color rgb="FFB0B0B0"/>
        </bottom>
      </border>
    </dxf>
    <dxf>
      <font>
        <b/>
        <i val="0"/>
        <strike val="0"/>
        <condense val="0"/>
        <extend val="0"/>
        <outline val="0"/>
        <shadow val="0"/>
        <u val="none"/>
        <vertAlign val="baseline"/>
        <sz val="10"/>
        <color rgb="FFFFFFFF"/>
        <name val="Calibri"/>
        <charset val="1"/>
        <scheme val="none"/>
      </font>
      <fill>
        <patternFill patternType="solid">
          <fgColor rgb="FF1F4E79"/>
          <bgColor rgb="FF004687"/>
        </patternFill>
      </fill>
      <alignment horizontal="center" vertical="center" textRotation="0" wrapText="1" indent="0" justifyLastLine="0" shrinkToFit="0" readingOrder="0"/>
      <border diagonalUp="0" diagonalDown="0" outline="0">
        <left style="thin">
          <color rgb="FFB0B0B0"/>
        </left>
        <right style="thin">
          <color rgb="FFB0B0B0"/>
        </right>
        <top/>
        <bottom/>
      </border>
    </dxf>
    <dxf>
      <font>
        <color rgb="FF9C0006"/>
      </font>
      <fill>
        <patternFill>
          <bgColor rgb="FFFFC7CE"/>
        </patternFill>
      </fill>
    </dxf>
    <dxf>
      <font>
        <color rgb="FF9C5700"/>
      </font>
      <fill>
        <patternFill>
          <bgColor rgb="FFFFEB9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9137"/>
      <rgbColor rgb="FF191E8C"/>
      <rgbColor rgb="FF9BBB59"/>
      <rgbColor rgb="FF800080"/>
      <rgbColor rgb="FF1F7A6B"/>
      <rgbColor rgb="FFBFBFBF"/>
      <rgbColor rgb="FF808080"/>
      <rgbColor rgb="FFE7EEF7"/>
      <rgbColor rgb="FF7030A0"/>
      <rgbColor rgb="FFFFF6DC"/>
      <rgbColor rgb="FFDEEBF7"/>
      <rgbColor rgb="FF660066"/>
      <rgbColor rgb="FFF2F2F2"/>
      <rgbColor rgb="FF3072C2"/>
      <rgbColor rgb="FFBDD7EE"/>
      <rgbColor rgb="FF000080"/>
      <rgbColor rgb="FFFF00FF"/>
      <rgbColor rgb="FFFFD966"/>
      <rgbColor rgb="FF00FFFF"/>
      <rgbColor rgb="FF800080"/>
      <rgbColor rgb="FF800000"/>
      <rgbColor rgb="FF2E75B6"/>
      <rgbColor rgb="FF0000FF"/>
      <rgbColor rgb="FF00A0E1"/>
      <rgbColor rgb="FFE3ECF8"/>
      <rgbColor rgb="FFD9E6F2"/>
      <rgbColor rgb="FFFDEADA"/>
      <rgbColor rgb="FFD6DCE5"/>
      <rgbColor rgb="FFF2DCDB"/>
      <rgbColor rgb="FFD9D9D9"/>
      <rgbColor rgb="FFFFCCCC"/>
      <rgbColor rgb="FF3172C4"/>
      <rgbColor rgb="FF4BACC6"/>
      <rgbColor rgb="FF92D050"/>
      <rgbColor rgb="FFFFC000"/>
      <rgbColor rgb="FFFF9900"/>
      <rgbColor rgb="FFF2A900"/>
      <rgbColor rgb="FF1F4E79"/>
      <rgbColor rgb="FFB0B0B0"/>
      <rgbColor rgb="FF004687"/>
      <rgbColor rgb="FF00B050"/>
      <rgbColor rgb="FF0D0D0D"/>
      <rgbColor rgb="FF333300"/>
      <rgbColor rgb="FF993300"/>
      <rgbColor rgb="FF993366"/>
      <rgbColor rgb="FF192882"/>
      <rgbColor rgb="FF3C3D3E"/>
      <rgbColor rgb="00003366"/>
      <rgbColor rgb="00339966"/>
      <rgbColor rgb="00003300"/>
      <rgbColor rgb="00333300"/>
      <rgbColor rgb="00993300"/>
      <rgbColor rgb="00993366"/>
      <rgbColor rgb="00333399"/>
      <rgbColor rgb="00333333"/>
    </indexedColors>
    <mruColors>
      <color rgb="FFE7EEF7"/>
      <color rgb="FFFDE9D9"/>
      <color rgb="FFFFFFCC"/>
      <color rgb="FFFEF1E6"/>
      <color rgb="FFFFB7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FB0A54-9E29-4B5B-AF83-DD3EE3710F98}" name="ScopeProductsServices" displayName="ScopeProductsServices" ref="A4:Q49" totalsRowShown="0" headerRowDxfId="249" headerRowBorderDxfId="248" tableBorderDxfId="247" totalsRowBorderDxfId="246">
  <autoFilter ref="A4:Q49" xr:uid="{CAFB0A54-9E29-4B5B-AF83-DD3EE3710F98}"/>
  <tableColumns count="17">
    <tableColumn id="1" xr3:uid="{D451F39A-BA8D-4273-AE2B-D5672E0383E8}" name="No." dataDxfId="245"/>
    <tableColumn id="2" xr3:uid="{201500B4-BA19-4AB0-9BD3-47A7F8A025C9}" name="P&amp;S ID" dataDxfId="244">
      <calculatedColumnFormula>IF($E5="","","PS-"&amp;TEXT($A5,"000"))</calculatedColumnFormula>
    </tableColumn>
    <tableColumn id="3" xr3:uid="{313A0B15-CEF2-4B6F-AC0D-61821079290A}" name="Business Unit" dataDxfId="243"/>
    <tableColumn id="4" xr3:uid="{EB328BB3-96AA-4446-9973-853893DD1D46}" name="Division / Site" dataDxfId="242"/>
    <tableColumn id="5" xr3:uid="{A46F5B42-B2FA-4A14-84A9-07A3929B5CB3}" name="Product / Service" dataDxfId="241"/>
    <tableColumn id="6" xr3:uid="{17346AFF-4805-4EDD-ADD0-423A1E6AE4B8}" name="Sub-Category" dataDxfId="240"/>
    <tableColumn id="7" xr3:uid="{ADFE0062-4A6F-4CFB-83BB-638D9EDDB958}" name="Owner" dataDxfId="239"/>
    <tableColumn id="8" xr3:uid="{E8A38197-A61A-400A-B65F-215A56156C9A}" name="EVP" dataDxfId="238"/>
    <tableColumn id="9" xr3:uid="{1E9A9A0D-C734-41A0-A89B-688C5F0D743D}" name="In Scope (Y/N)" dataDxfId="237"/>
    <tableColumn id="10" xr3:uid="{1109F7BF-788C-47A6-BDD1-6F92C961253C}" name="Corporate BIA Critical" dataDxfId="236"/>
    <tableColumn id="11" xr3:uid="{BE826F51-7F9C-4270-83A0-7FA85C35A30C}" name="Corporate MBCO (if provided)" dataDxfId="235"/>
    <tableColumn id="12" xr3:uid="{2345125C-36BE-4DE2-B0B9-0C110C45DD24}" name="Corporate MTPD (if provided)" dataDxfId="234"/>
    <tableColumn id="13" xr3:uid="{E5C88378-9B0B-4941-A789-A13A681E5729}" name="Corporate MTPD (hours)" dataDxfId="7">
      <calculatedColumnFormula>IF(L5="","",IF(ISNUMBER(L5),L5,IFERROR(VALUE(LEFT(TRIM(L5),FIND(" ",TRIM(L5))-1))*VLOOKUP(LEFT(LOWER(TRIM(MID(TRIM(L5),FIND(" ",TRIM(L5))+1,99))),3),DurationUnits,2,FALSE),"")))</calculatedColumnFormula>
    </tableColumn>
    <tableColumn id="14" xr3:uid="{13AFA807-6F4E-4001-A207-EFE1A82EF510}" name="BIA Order" dataDxfId="233">
      <calculatedColumnFormula>IF($I5&lt;&gt;"Yes","",IF($A5="","",COUNTIFS($A$5:$A$49,"&lt;"&amp;$A5,$I$5:$I$49,"Yes")+1))</calculatedColumnFormula>
    </tableColumn>
    <tableColumn id="15" xr3:uid="{71BFFEAF-FA40-4593-8FA8-43DCC1F86A20}" name="BU BIA MTPD" dataDxfId="6">
      <calculatedColumnFormula>IF($E5="","",IFERROR(IF(INDEX('07. BIA'!$AA$6:$AA$285,MATCH($E5,'07. BIA'!$E$6:$E$285,0))="","",INDEX('07. BIA'!$AA$6:$AA$285,MATCH($E5,'07. BIA'!$E$6:$E$285,0))),""))</calculatedColumnFormula>
    </tableColumn>
    <tableColumn id="16" xr3:uid="{6C4B1C66-9479-4A0F-B985-42A12B25A35F}" name="Business unit list order" dataDxfId="9">
      <calculatedColumnFormula>IF(C5="","",IF(COUNTIF($C$5:C5,C5)=1,MAX($P$4:P4)+1,""))</calculatedColumnFormula>
    </tableColumn>
    <tableColumn id="17" xr3:uid="{47A83905-6799-40CF-B223-0B0AD5411BA8}" name="Division list order" dataDxfId="8">
      <calculatedColumnFormula>IF(D5="","",IF(COUNTIF($D$5:D5,D5)=1,MAX($Q$4:Q4)+1,""))</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EE5E08B-F06B-492C-89B9-61B7B29FAF85}" name="ProcessesActivities" displayName="ProcessesActivities" ref="A4:L211" totalsRowShown="0" headerRowDxfId="232" headerRowBorderDxfId="231" tableBorderDxfId="230" totalsRowBorderDxfId="229">
  <autoFilter ref="A4:L211" xr:uid="{9EE5E08B-F06B-492C-89B9-61B7B29FAF85}"/>
  <tableColumns count="12">
    <tableColumn id="1" xr3:uid="{692B08B2-7C37-4AE0-88A2-D771DC693CBC}" name="Sl #" dataDxfId="228"/>
    <tableColumn id="2" xr3:uid="{A77B521E-F1E1-46FF-8012-61C7847A41AD}" name="Product Code" dataDxfId="227"/>
    <tableColumn id="3" xr3:uid="{6E1623A8-1C26-4ABA-AECF-C7E72491F9DD}" name="Product &amp; Services" dataDxfId="226">
      <calculatedColumnFormula>IF(B5="","",IFERROR(VLOOKUP(B5,'04. Products &amp; Services'!$B$5:$E$49,4,FALSE),""))</calculatedColumnFormula>
    </tableColumn>
    <tableColumn id="4" xr3:uid="{14B44C4A-238A-4D49-B5D8-33DC587EE399}" name="Activities performed within the process" dataDxfId="225"/>
    <tableColumn id="5" xr3:uid="{633BF83B-0BD4-4BBB-8C77-F82C7FB52A76}" name="Frequency of Activity" dataDxfId="224"/>
    <tableColumn id="6" xr3:uid="{9433E856-C4ED-4880-B6D6-2DF51BCD135C}" name="Peak Period" dataDxfId="223"/>
    <tableColumn id="7" xr3:uid="{1234478D-CCDE-42C8-9BF2-9641699DD1DC}" name="Rationale for Peak Period" dataDxfId="222"/>
    <tableColumn id="8" xr3:uid="{9C3B24AB-3B1F-4FDC-8702-48F2A8563C89}" name="Current Staff to Perform Activity" dataDxfId="221"/>
    <tableColumn id="9" xr3:uid="{8A110990-7843-43C7-8601-633D3D55E8BE}" name="Activity Can be Performed Remotely?" dataDxfId="220"/>
    <tableColumn id="10" xr3:uid="{A5BA9481-80E9-4403-9016-A61103554F5C}" name="BlA level MTPD in hours" dataDxfId="5">
      <calculatedColumnFormula>IF($B5="","",IFERROR(IF(INDEX('07. BIA'!$AA$6:$AA$285,MATCH($B5,'07. BIA'!$F$6:$F$285,0))="","",INDEX('07. BIA'!$AA$6:$AA$285,MATCH($B5,'07. BIA'!$F$6:$F$285,0))),""))</calculatedColumnFormula>
    </tableColumn>
    <tableColumn id="11" xr3:uid="{8ABBE6E0-D77A-4D3E-B644-ED042ECECA6B}" name="BIA Level RTO in hours" dataDxfId="4">
      <calculatedColumnFormula>IF($B5="","",IFERROR(IF(INDEX('07. BIA'!$AD$6:$AD$285,MATCH($B5,'07. BIA'!$F$6:$F$285,0))="","",INDEX('07. BIA'!$AD$6:$AD$285,MATCH($B5,'07. BIA'!$F$6:$F$285,0))),""))</calculatedColumnFormula>
    </tableColumn>
    <tableColumn id="12" xr3:uid="{42EEEC54-0706-454B-98E0-897CF2A903E1}" name="Remark" dataDxfId="219"/>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0531A58-7689-4E95-8E2B-EAE5B181C086}" name="ApplicationEquipmentMaster" displayName="ApplicationEquipmentMaster" ref="F9:I34" totalsRowShown="0" tableBorderDxfId="218">
  <autoFilter ref="F9:I34" xr:uid="{E0531A58-7689-4E95-8E2B-EAE5B181C086}"/>
  <tableColumns count="4">
    <tableColumn id="1" xr3:uid="{BADE615B-52FF-41C4-B258-CF43EE101B0A}" name="Sl #" dataDxfId="217"/>
    <tableColumn id="2" xr3:uid="{2B61F734-4E39-4A87-A353-4469C47A3E56}" name="Application" dataDxfId="216"/>
    <tableColumn id="3" xr3:uid="{B9D96D6E-1FBB-41C6-8624-DB5FA785ECAC}" name="Service" dataDxfId="215"/>
    <tableColumn id="4" xr3:uid="{A957C01A-20F5-4101-898B-CB644F608BA7}" name="Equipment / Building / Utilities" dataDxfId="214"/>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06B1A32-E767-4EEA-A3E7-09E650F930A9}" name="DependencyRegister" displayName="DependencyRegister" ref="A4:M204" totalsRowShown="0" headerRowDxfId="213" headerRowBorderDxfId="212" tableBorderDxfId="211" totalsRowBorderDxfId="210">
  <autoFilter ref="A4:M204" xr:uid="{D06B1A32-E767-4EEA-A3E7-09E650F930A9}"/>
  <tableColumns count="13">
    <tableColumn id="1" xr3:uid="{E619528F-D31C-4078-882C-412F36E1A637}" name="No." dataDxfId="209"/>
    <tableColumn id="2" xr3:uid="{3DAC4676-64EA-4217-B4D2-022E80D39FB6}" name="Dep ID" dataDxfId="208">
      <calculatedColumnFormula>IF($I5="","","DEP-"&amp;TEXT($A5,"000"))</calculatedColumnFormula>
    </tableColumn>
    <tableColumn id="3" xr3:uid="{0E284F40-C48D-4DE5-90C5-4FBEE17D318E}" name="BIA #_x000a_(select)" dataDxfId="207"/>
    <tableColumn id="4" xr3:uid="{D5AE6CF9-F5B6-42D6-8214-E04970FD24D8}" name="Product / Service (auto)" dataDxfId="3">
      <calculatedColumnFormula>IF($C5="","",IFERROR(IF(INDEX('07. BIA'!$E$6:$E$285,MATCH($C5,'07. BIA'!$B$6:$B$285,0))="","",INDEX('07. BIA'!$E$6:$E$285,MATCH($C5,'07. BIA'!$B$6:$B$285,0))),""))</calculatedColumnFormula>
    </tableColumn>
    <tableColumn id="5" xr3:uid="{48037523-5B88-4207-8FA2-61BB04E8A754}" name="Product / Service ID" dataDxfId="2">
      <calculatedColumnFormula>IF($C5="","",IFERROR(IF(INDEX('07. BIA'!$F$6:$F$285,MATCH($C5,'07. BIA'!$B$6:$B$285,0))="","",INDEX('07. BIA'!$F$6:$F$285,MATCH($C5,'07. BIA'!$B$6:$B$285,0))),""))</calculatedColumnFormula>
    </tableColumn>
    <tableColumn id="6" xr3:uid="{EC657003-9867-42DF-ACE3-4437D18EDEB2}" name="Category (select)" dataDxfId="206"/>
    <tableColumn id="7" xr3:uid="{1C273D3C-029D-420D-8129-9B422653330B}" name="Sub category (For ICT and Equipment)" dataDxfId="205"/>
    <tableColumn id="8" xr3:uid="{93F48CB9-456D-4664-A2AA-9D938899BE6D}" name="ICT/ Equipment details" dataDxfId="204"/>
    <tableColumn id="9" xr3:uid="{C59B474B-E850-40B8-AE94-65FC87654E79}" name="Dependency Name" dataDxfId="203"/>
    <tableColumn id="10" xr3:uid="{CB56ED85-57ED-44C3-9395-C0417FF39B1A}" name="Description / Detail" dataDxfId="202"/>
    <tableColumn id="11" xr3:uid="{E656835A-1C9E-41E5-9831-AF7A2974027B}" name="SPOF? (Y/N)" dataDxfId="201"/>
    <tableColumn id="12" xr3:uid="{5F4E76C5-995F-4EFA-91A8-4242E208F9EC}" name="Owner" dataDxfId="200"/>
    <tableColumn id="13" xr3:uid="{D131C6EB-7500-459A-BE16-4BF8C15D29E7}" name="Remarks" dataDxfId="199"/>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FDD857-4DD5-4CA8-867A-A670A3428A7C}" name="RiskAssessment" displayName="RiskAssessment" ref="A4:Z34" totalsRowShown="0" headerRowBorderDxfId="198" tableBorderDxfId="197" totalsRowBorderDxfId="196">
  <autoFilter ref="A4:Z34" xr:uid="{37FDD857-4DD5-4CA8-867A-A670A3428A7C}"/>
  <tableColumns count="26">
    <tableColumn id="1" xr3:uid="{0E02ED98-A162-478D-AE26-A7823F89B647}" name="Slot" dataDxfId="195"/>
    <tableColumn id="2" xr3:uid="{2446A95F-2162-4214-A746-F2875B4F8756}" name="Risk ID # /_x000a_BIA # (assoc.)" dataDxfId="194">
      <calculatedColumnFormula>IF($G5="","","RA-"&amp;TEXT($A5,"000"))</calculatedColumnFormula>
    </tableColumn>
    <tableColumn id="3" xr3:uid="{DF9295E3-74AC-4C24-8FB5-EF4F1FEED360}" name="BU" dataDxfId="193"/>
    <tableColumn id="4" xr3:uid="{619230B8-71CE-4535-A714-AA569D913235}" name="Division" dataDxfId="192"/>
    <tableColumn id="5" xr3:uid="{DE8E38FC-F992-46E6-BD55-7C4F7022F21D}" name="Dependency categories" dataDxfId="191"/>
    <tableColumn id="6" xr3:uid="{E3C8F529-1EB6-4FFD-A93D-47AB8502D782}" name="Applicable BIA #s" dataDxfId="190">
      <calculatedColumnFormula array="1">IF(C5="","",_xlfn.LET(_xlpm.bu,_xlfn.SCAN("",'07.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",""),"-",""),"/","")),_xlpm.rawKey,LOWER(SUBSTITUTE(SUBSTITUTE(SUBSTITUTE(E5," ",""),"-",""),"/","")),_xlpm.key,IF(_xlpm.rawKey="data","datainfo",_xlpm.rawKey),IF(D5="",IFERROR(_xlfn.TEXTJOIN(",",TRUE,_xlfn.UNIQUE(_xlfn._xlws.FILTER(_xlpm.item,(_xlpm.bu=C5)*(_xlpm.item&lt;&gt;"")))),""),IF(E5="","",IFERROR(_xlfn.TEXTJOIN(",",TRUE,_xlfn.UNIQUE(_xlfn._xlws.FILTER(_xlpm.item,(_xlpm.bu=C5)*(_xlpm.div=D5)*(_xlpm.srcDep=_xlpm.key)*('07. BIA'!$H$6:$H$285="Yes")))),"")))))</calculatedColumnFormula>
    </tableColumn>
    <tableColumn id="7" xr3:uid="{AD5397B3-EC04-41F8-898A-84650AFDAE69}" name="Risk Assumption (select or type) /_x000a_Associated Product / Service (auto)" dataDxfId="189"/>
    <tableColumn id="8" xr3:uid="{B56ECEEA-07C1-41BF-9490-5999264D9DFC}" name="Business Disruption Scenario (auto)" dataDxfId="188">
      <calculatedColumnFormula>IF($G5="","","Inability to deliver the associated products/services due to ["&amp;$G5&amp;"]")</calculatedColumnFormula>
    </tableColumn>
    <tableColumn id="9" xr3:uid="{0AA39CF6-36C0-409F-A2C4-D028B0A541D0}" name="ERM / Site Risk Register Ref#" dataDxfId="187"/>
    <tableColumn id="10" xr3:uid="{DC34522B-1C38-4F7D-8AF7-B040511FB0D9}" name="Implemented Controls" dataDxfId="186"/>
    <tableColumn id="11" xr3:uid="{369A6E7F-3D77-46B9-8673-22C1098E8B11}" name="Residual Likelihood (1-5)" dataDxfId="185"/>
    <tableColumn id="12" xr3:uid="{B7F10440-F76B-49DA-B25C-F4349E203F46}" name="Likelihood Rating (auto)" dataDxfId="184">
      <calculatedColumnFormula>IF($K5="","",CHOOSE($K5,"Rare","Infrequent","Occasional","Frequent","Almost Certain"))</calculatedColumnFormula>
    </tableColumn>
    <tableColumn id="13" xr3:uid="{CAD7CD0D-F347-4213-9843-FA6BD81DEB41}" name="Residual Impact (1-5)" dataDxfId="183"/>
    <tableColumn id="14" xr3:uid="{439F4D97-26A8-448D-B17A-9510646DD23C}" name="Impact Rating (auto)" dataDxfId="182">
      <calculatedColumnFormula>IF($M5="","",CHOOSE($M5,"Negligible","Minor","Medium","Critical","Catastrophic"))</calculatedColumnFormula>
    </tableColumn>
    <tableColumn id="15" xr3:uid="{3EC8A14A-AB24-4354-BE02-F71CDA5F03D9}" name="Risk Score (Likelihood × Impact)" dataDxfId="181">
      <calculatedColumnFormula>IF(OR($K5="",$M5=""),"",$K5*$M5)</calculatedColumnFormula>
    </tableColumn>
    <tableColumn id="16" xr3:uid="{9D2A25A8-E818-4FC2-AF4E-66E85707D297}" name="Risk Rating (auto)" dataDxfId="180">
      <calculatedColumnFormula>IF($O5="","",IF($O5&gt;=20,"Critical",IF($O5&gt;=12,"Significant",IF($O5&gt;=7,"Moderate","Low"))))</calculatedColumnFormula>
    </tableColumn>
    <tableColumn id="17" xr3:uid="{58ECBF2B-ACBD-455B-B31D-E0D61AE7642E}" name="BCP Priority (auto)_x000a_1=Critical...4=Low" dataDxfId="179">
      <calculatedColumnFormula>IF($P5="","",IF($P5="Critical",1,IF($P5="Significant",2,IF($P5="Moderate",3,4))))</calculatedColumnFormula>
    </tableColumn>
    <tableColumn id="18" xr3:uid="{BD36C321-C5A8-4B66-A7C2-C6085FF047A1}" name="Remarks" dataDxfId="178"/>
    <tableColumn id="19" xr3:uid="{991FE650-97AE-47CF-AB4A-F62FA256D454}" name="S&amp;S # (auto)" dataDxfId="177">
      <calculatedColumnFormula array="1">IF($B5="","",IFERROR(_xlfn.TEXTJOIN(",",TRUE,_xlfn.UNIQUE(_xlfn._xlws.FILTER('11. Strategies &amp; Solutions'!$C$5:$C$64,('11. Strategies &amp; Solutions'!$B$5:$B$64=$B5)*('11. Strategies &amp; Solutions'!$C$5:$C$64&lt;&gt;"")))),"Not Created"))</calculatedColumnFormula>
    </tableColumn>
    <tableColumn id="20" xr3:uid="{FDFFEF69-5F2E-4E2D-8810-522B14504B6A}" name="R&amp;R IDs (auto)" dataDxfId="176">
      <calculatedColumnFormula array="1">IF($B5="","",_xlfn.LET(_xlpm.ss,_xlfn._xlws.FILTER('11. Strategies &amp; Solutions'!$C$5:$C$64,('11. Strategies &amp; Solutions'!$B$5:$B$64=$B5)*('11. Strategies &amp; Solutions'!$C$5:$C$64&lt;&gt;""),""),IFERROR(_xlfn.TEXTJOIN(",",TRUE,_xlfn.UNIQUE(_xlfn._xlws.FILTER('14. Recovery &amp; Response'!$B$5:$B$104,ISNUMBER(_xlfn.XMATCH('14. Recovery &amp; Response'!$C$5:$C$104,_xlpm.ss))*('14. Recovery &amp; Response'!$B$5:$B$104&lt;&gt;"")))),"Not Created")))</calculatedColumnFormula>
    </tableColumn>
    <tableColumn id="21" xr3:uid="{3E70D8FD-5630-4547-B9E5-FE6DDF44A5A0}" name="Risk Owner" dataDxfId="14"/>
    <tableColumn id="22" xr3:uid="{1BBA4D13-F295-4360-B692-1E5C1833A7AA}" name="Assessment Date" dataDxfId="11"/>
    <tableColumn id="23" xr3:uid="{ED320469-D49D-43E1-9D55-9E6925D63EDA}" name="Review Date" dataDxfId="10"/>
    <tableColumn id="24" xr3:uid="{31510897-1B51-4F9A-B05B-83FEBE73F6A6}" name="Approver" dataDxfId="13"/>
    <tableColumn id="25" xr3:uid="{81E43684-920E-48B3-BF44-AECE5A1896CB}" name="Evidence Reference" dataDxfId="12"/>
    <tableColumn id="26" xr3:uid="{EEEAA6EF-7311-4930-B6DF-274A1024F248}" name="Source Completion">
      <calculatedColumnFormula>IF($B5="","",IF(AND($C5&lt;&gt;"",$D5&lt;&gt;"",$E5&lt;&gt;"",$F5&lt;&gt;"",$G5&lt;&gt;"",$H5&lt;&gt;"",$J5&lt;&gt;"",$K5&lt;&gt;"",$M5&lt;&gt;"",$U5&lt;&gt;"",ISNUMBER($V5),ISNUMBER($W5),$X5&lt;&gt;"",$Y5&lt;&gt;""),"Complete","Incomplete"))</calculatedColumnFormula>
    </tableColumn>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4D6FE89-B698-4016-95BB-C8E30351EC81}" name="StrategiesSolutions" displayName="StrategiesSolutions" ref="A4:W64" totalsRowShown="0" tableBorderDxfId="175">
  <tableColumns count="23">
    <tableColumn id="1" xr3:uid="{1352DC62-B1B9-4057-990C-D1E1AD27F8B6}" name="No." dataDxfId="174"/>
    <tableColumn id="2" xr3:uid="{878B183A-FA41-48C9-B65A-E5014D26B62B}" name="Risk ID" dataDxfId="173"/>
    <tableColumn id="3" xr3:uid="{AE25C37D-C9BD-4C93-82FC-C083136F31F0}" name="S&amp;S ID" dataDxfId="172">
      <calculatedColumnFormula>IF($B5="","","SS-"&amp;TEXT($A5,"000"))</calculatedColumnFormula>
    </tableColumn>
    <tableColumn id="4" xr3:uid="{26D6EB7D-653C-4423-A05C-5224B01C9F43}" name="Dependency" dataDxfId="171">
      <calculatedColumnFormula array="1">IF($B5="","",IFERROR(_xlfn.XLOOKUP($B5,INDEX(RiskAssessment[],0,2),INDEX(RiskAssessment[],0,5),""),""))</calculatedColumnFormula>
    </tableColumn>
    <tableColumn id="5" xr3:uid="{A4B1C19D-6459-42A5-85E0-1DCA806623E5}" name="Risk Assumption" dataDxfId="170">
      <calculatedColumnFormula array="1">IF($B5="","",IFERROR(_xlfn.XLOOKUP($B5,INDEX(RiskAssessment[],0,2),INDEX(RiskAssessment[],0,7),""),""))</calculatedColumnFormula>
    </tableColumn>
    <tableColumn id="6" xr3:uid="{A7B5100F-6245-41EC-8FA3-5695D5B19357}" name="Disruption Scenario" dataDxfId="169">
      <calculatedColumnFormula array="1">IF($B5="","",IFERROR(_xlfn.XLOOKUP($B5,INDEX(RiskAssessment[],0,2),INDEX(RiskAssessment[],0,8),""),""))</calculatedColumnFormula>
    </tableColumn>
    <tableColumn id="7" xr3:uid="{6023D80F-D1F3-4E80-A8A4-3EF1E3866CB7}" name="Products / Services" dataDxfId="168">
      <calculatedColumnFormula>IF($B5="","",_xlfn.XLOOKUP($B5,'10. Risk Assessment'!$B$5:$B$34,'10. Risk Assessment'!$F$5:$F$34,""))</calculatedColumnFormula>
    </tableColumn>
    <tableColumn id="8" xr3:uid="{CD18FCD5-7E22-426C-9CA9-137764B0DD11}" name="Strategy" dataDxfId="167"/>
    <tableColumn id="9" xr3:uid="{6ECE55E8-161D-4A7A-8BE3-1DE32ACCF6B5}" name="Strategy Details / Do nothing Justification" dataDxfId="166"/>
    <tableColumn id="10" xr3:uid="{77B74756-A37A-4620-A1BB-1160A0B3887E}" name="People" dataDxfId="165"/>
    <tableColumn id="11" xr3:uid="{AF1DCA8A-F786-4E6E-9669-541125B063D1}" name="ICT" dataDxfId="164"/>
    <tableColumn id="12" xr3:uid="{A25F7EE2-169E-4A12-A33E-E3409819BED2}" name="3rd Party" dataDxfId="163"/>
    <tableColumn id="13" xr3:uid="{9B062415-75BB-4E89-BD3D-34B631B93CD3}" name="Data Backup" dataDxfId="162"/>
    <tableColumn id="14" xr3:uid="{E354CAAF-E131-4365-860A-C1540A8F1F6A}" name="Equipment / Building / Utilities" dataDxfId="161"/>
    <tableColumn id="15" xr3:uid="{10C83A02-5B46-4F18-937C-4873BFB141FA}" name="Fund" dataDxfId="160"/>
    <tableColumn id="16" xr3:uid="{36AE74B1-8F0C-4A17-8D34-43DFF85E45C8}" name="Action Owner" dataDxfId="159"/>
    <tableColumn id="17" xr3:uid="{B68EA938-46CF-46CF-ABBA-BC345CE30488}" name="Start Date" dataDxfId="158"/>
    <tableColumn id="18" xr3:uid="{D545A17F-F91D-4025-A143-F373A0BE5047}" name="Due Date" dataDxfId="157"/>
    <tableColumn id="19" xr3:uid="{DC89CF17-1918-412D-8C68-03A8422510B1}" name="Completion Date" dataDxfId="156"/>
    <tableColumn id="20" xr3:uid="{9D9F800F-76A7-4167-8897-51D5166F7FE3}" name="Status" dataDxfId="155">
      <calculatedColumnFormula array="1">IF($B5="","",_xlfn.LET(_xlpm.flag,$J5:$O5,_xlpm.total,COUNTIFS('12. Requirements Register'!$C$5:$C$304,$C5,'12. Requirements Register'!$E$5:$E$304,$J$4:$O$4),_xlpm.readyCount,COUNTIFS('12. Requirements Register'!$C$5:$C$304,$C5,'12. Requirements Register'!$E$5:$E$304,$J$4:$O$4,'12. Requirements Register'!$L$5:$L$304,"Ready"),_xlpm.reqOK,SUM(--(_xlpm.flag="Yes")*--(_xlpm.total&gt;0)*--(_xlpm.readyCount=_xlpm.total))=COUNTIF(_xlpm.flag,"Yes"),_xlpm.core,AND($H5&lt;&gt;"",$I5&lt;&gt;"",$P5&lt;&gt;"",$Q5&lt;&gt;"",$R5&lt;&gt;"",$V5&lt;&gt;"",$V5&lt;&gt;"Not Created"),IF($S5&lt;&gt;"",IF(AND($S5&lt;=TODAY(),_xlpm.core,_xlpm.reqOK),"Completed","Incomplete"),IF($Q5="","Planned",IF(TODAY()&lt;$Q5,"Planned",IF($R5="","In Progress",IF(TODAY()&lt;=$R5,"In Progress","Overdue")))))))</calculatedColumnFormula>
    </tableColumn>
    <tableColumn id="21" xr3:uid="{72F65AFC-AE3C-4B0B-98B3-17C1E19DB7DB}" name="1:1 Check" dataDxfId="154">
      <calculatedColumnFormula>IF($B5="","",IF(SUMPRODUCT(--($B$5:$B$64=$B5),--($G$5:$G$64=$G5),--($H$5:$H$64=$H5))&gt;1,"DUPLICATE","OK"))</calculatedColumnFormula>
    </tableColumn>
    <tableColumn id="22" xr3:uid="{7EF1AF28-63FE-47AF-873F-D934B8A912F7}" name="R&amp;R IDs (auto)" dataDxfId="153">
      <calculatedColumnFormula array="1">IF($C5="","",IFERROR(_xlfn.LET(_xlpm.x,_xlfn.UNIQUE(_xlfn._xlws.FILTER('14. Recovery &amp; Response'!$B$5:$B$104,('14. Recovery &amp; Response'!$C$5:$C$104=$C5)*('14. Recovery &amp; Response'!$B$5:$B$104&lt;&gt;""))),_xlfn.TEXTJOIN(",",TRUE,_xlpm.x)),"Not Created"))</calculatedColumnFormula>
    </tableColumn>
    <tableColumn id="23" xr3:uid="{BBD67CD5-5DCE-4D44-B376-1CCFC0430743}" name="Remarks" dataDxfId="152"/>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A455AF2-D279-40F6-8A5B-07044394CAED}" name="RequirementsRegister" displayName="RequirementsRegister" ref="A4:L304" totalsRowShown="0" headerRowDxfId="151" dataDxfId="149" headerRowBorderDxfId="150" tableBorderDxfId="148" totalsRowBorderDxfId="147">
  <autoFilter ref="A4:L304" xr:uid="{7A455AF2-D279-40F6-8A5B-07044394CAED}"/>
  <tableColumns count="12">
    <tableColumn id="1" xr3:uid="{5DB43A41-B820-4510-A5D7-FFA37F6F7AE3}" name="No." dataDxfId="146"/>
    <tableColumn id="2" xr3:uid="{913B74CF-6081-48F4-804F-1089E56382B6}" name="Req ID" dataDxfId="145">
      <calculatedColumnFormula>IF($F5="","","REQ-"&amp;TEXT($A5,"000"))</calculatedColumnFormula>
    </tableColumn>
    <tableColumn id="3" xr3:uid="{B6FCF077-0357-44D9-A022-CBF9DDD63FA9}" name="S&amp;S ID" dataDxfId="144"/>
    <tableColumn id="4" xr3:uid="{A5855D7C-A4CD-49FB-8704-7DBFB563ECA7}" name="Risk ID (auto)" dataDxfId="1">
      <calculatedColumnFormula>IF($C5="","",IFERROR(IF(INDEX(SS_Risk,MATCH($C5,SS_ID,0))="","",INDEX(SS_Risk,MATCH($C5,SS_ID,0))),""))</calculatedColumnFormula>
    </tableColumn>
    <tableColumn id="5" xr3:uid="{1F2819DA-0079-42B5-9B24-6670CEB1E1F5}" name="Category" dataDxfId="143"/>
    <tableColumn id="6" xr3:uid="{EB9603EC-7806-426F-BCA0-A158DD225D56}" name="Item / Resource / Role" dataDxfId="142"/>
    <tableColumn id="7" xr3:uid="{8CC436FC-4087-486D-B6D4-9BD050194ACB}" name="Detail / Specification" dataDxfId="141"/>
    <tableColumn id="9" xr3:uid="{DF6120CE-121E-4839-91BA-F33FF939A0D6}" name="Primary Location" dataDxfId="140"/>
    <tableColumn id="10" xr3:uid="{64DBE7F0-96D3-45AE-9FB9-71E27BDCA811}" name="Alternate Location(s)" dataDxfId="139"/>
    <tableColumn id="11" xr3:uid="{730FFFE8-2EF9-4E8D-BB25-3F1D6A0318F4}" name="Supporting Documents" dataDxfId="138"/>
    <tableColumn id="12" xr3:uid="{23B8E818-0DA8-4F03-AC19-509211C1328D}" name="Owner" dataDxfId="137"/>
    <tableColumn id="13" xr3:uid="{731180BF-E07B-45AD-9122-1D1A13ADF234}" name="Readiness" dataDxfId="136"/>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68832F1-1C0F-4DE0-BE26-478AF3C9B354}" name="ITDRRegister" displayName="ITDRRegister" ref="A4:T204" totalsRowShown="0" headerRowDxfId="135" headerRowBorderDxfId="134" tableBorderDxfId="133" totalsRowBorderDxfId="132">
  <autoFilter ref="A4:T204" xr:uid="{268832F1-1C0F-4DE0-BE26-478AF3C9B354}"/>
  <tableColumns count="20">
    <tableColumn id="1" xr3:uid="{DBEA5BD0-7039-4482-9079-9E6AA0CF42AA}" name="No." dataDxfId="131">
      <calculatedColumnFormula>ROW()-4</calculatedColumnFormula>
    </tableColumn>
    <tableColumn id="2" xr3:uid="{280DA513-A82F-4D32-8099-A829FA26EA8A}" name="DR ID" dataDxfId="0">
      <calculatedColumnFormula>IF(AND($C5="",$D5="",$E5=""),"","DR-"&amp;TEXT($A5,"000"))</calculatedColumnFormula>
    </tableColumn>
    <tableColumn id="3" xr3:uid="{A18F4E89-671A-46B6-B7F1-00DC2AB7FB8A}" name="Dependency category" dataDxfId="130"/>
    <tableColumn id="4" xr3:uid="{BAA7C00E-EB85-433E-A218-804B93F413DF}" name="Dependency area" dataDxfId="129"/>
    <tableColumn id="5" xr3:uid="{7DB24F0F-10E5-4079-A316-EF4EE4840FD6}" name="Dependent System / Application" dataDxfId="128"/>
    <tableColumn id="6" xr3:uid="{4756F808-6144-4A14-B0AC-3A740B37B5E3}" name="Business P&amp;S supported" dataDxfId="127"/>
    <tableColumn id="7" xr3:uid="{005FCD4B-792C-490C-9771-3BE8B7C00A99}" name="Required RTO in hours" dataDxfId="126"/>
    <tableColumn id="8" xr3:uid="{079D6B47-DC23-478D-BC8E-C1F1C8F66C1E}" name="Required RPO in hours" dataDxfId="125"/>
    <tableColumn id="9" xr3:uid="{9E78ECB2-332B-4102-8D0B-A54CB48A6828}" name="DR RTO (capable)" dataDxfId="124"/>
    <tableColumn id="10" xr3:uid="{FD9BCAC2-3A85-4393-A1C6-3C321CADFEB8}" name="DR RPO (capable)" dataDxfId="123"/>
    <tableColumn id="11" xr3:uid="{35CF3293-2ABB-4A90-B19B-067A83C6AC13}" name="DR Strategy" dataDxfId="122"/>
    <tableColumn id="12" xr3:uid="{60EF6D9E-53A4-477F-8872-4AEAA4F46C2F}" name="DR Site / Location" dataDxfId="121"/>
    <tableColumn id="13" xr3:uid="{61585D24-AD89-4522-93A8-5A723D5C392D}" name="Last DR Test" dataDxfId="120"/>
    <tableColumn id="20" xr3:uid="{A2EE6180-7F4A-4D1D-B02F-ADB7DA6DB299}" name="Test Scenario" dataDxfId="119"/>
    <tableColumn id="14" xr3:uid="{9F7799D1-BB34-4C97-98A0-10E4D4D0AF9E}" name="Result" dataDxfId="118"/>
    <tableColumn id="15" xr3:uid="{7897F76C-2015-4362-A61D-EED2FECA031C}" name="Next Test Due" dataDxfId="117">
      <calculatedColumnFormula>IF($M5="","",EDATE($M5,12))</calculatedColumnFormula>
    </tableColumn>
    <tableColumn id="16" xr3:uid="{5E9ECDD8-C4BA-4D67-97C9-F6C225183E98}" name="Status (auto)" dataDxfId="116">
      <calculatedColumnFormula>IF($E5="","",IF($K5="None (gap)","GAP - no DR",IF(OR($S5="Not Assessed",$T5="Not Assessed"),"Recovery Targets Incomplete",IF($M5="","Not Tested",IF(AND($P5&lt;&gt;"",$P5&lt;TODAY()),"Test Overdue",IF($O5="","Not Tested",IF($O5&lt;&gt;"Pass","Retest Required",IF(OR($S5&lt;&gt;"RTO Complied",$T5&lt;&gt;"RPO Complied"),"Recovery Not Compliant","Tested &amp; Current"))))))))</calculatedColumnFormula>
    </tableColumn>
    <tableColumn id="17" xr3:uid="{C06055F7-9922-42BE-8E0D-E6FF18333FDA}" name="Gaps / Remarks" dataDxfId="115"/>
    <tableColumn id="18" xr3:uid="{716B372D-BDA3-4F8C-B7B5-E9B64843A74A}" name="RTO Compliance" dataDxfId="114">
      <calculatedColumnFormula>IF($E5="","",IF(OR(NOT(ISNUMBER($G5)),NOT(ISNUMBER($I5))),"Not Assessed",IF($I5&lt;=$G5,"RTO Complied","RTO Not Complied")))</calculatedColumnFormula>
    </tableColumn>
    <tableColumn id="19" xr3:uid="{0756C2A5-7166-4174-BC9D-33B336B7D064}" name="RPO Compliance" dataDxfId="113">
      <calculatedColumnFormula>IF($E5="","",IF(OR(NOT(ISNUMBER($H5)),NOT(ISNUMBER($J5))),"Not Assessed",IF($J5&lt;=$H5,"RPO Complied","RPO Not Complied")))</calculatedColumnFormula>
    </tableColumn>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9C4BDA4-EB40-4766-8B06-E2605F7164D9}" name="RecoveryResponsePlans" displayName="RecoveryResponsePlans" ref="A4:R104" totalsRowShown="0" tableBorderDxfId="112">
  <autoFilter ref="A4:R104" xr:uid="{79C4BDA4-EB40-4766-8B06-E2605F7164D9}"/>
  <tableColumns count="18">
    <tableColumn id="1" xr3:uid="{BF131B29-2429-4610-BCDC-0CAED4C45FA3}" name="No." dataDxfId="111"/>
    <tableColumn id="2" xr3:uid="{D6C0914A-FB9B-41F2-B061-FAB56D71D5C3}" name="R&amp;R ID" dataDxfId="110">
      <calculatedColumnFormula>IF($C5="","","RR-"&amp;TEXT($A5,"000"))</calculatedColumnFormula>
    </tableColumn>
    <tableColumn id="3" xr3:uid="{943C1D81-547B-4AAF-B409-2032F9346952}" name="S&amp;S ID" dataDxfId="109"/>
    <tableColumn id="4" xr3:uid="{56609447-641A-4FAB-AD9E-788CC58ED23B}" name="Product / Service" dataDxfId="108">
      <calculatedColumnFormula>IF($C5="","",_xlfn.XLOOKUP($C5,StrategiesSolutions[S&amp;S ID],StrategiesSolutions[Products / Services],""))</calculatedColumnFormula>
    </tableColumn>
    <tableColumn id="5" xr3:uid="{5CF235CF-D7B2-479E-B60B-207BD0B514E5}" name="Response &amp; Recovery Actions" dataDxfId="107"/>
    <tableColumn id="6" xr3:uid="{38841439-FD37-4925-8F25-73224AD2902A}" name="Supporting Plans / Procedures" dataDxfId="106"/>
    <tableColumn id="7" xr3:uid="{CA490D0C-9AF1-4F62-9BDE-6F14C02B7C42}" name="Dependency" dataDxfId="105">
      <calculatedColumnFormula>IF($C5="","",_xlfn.XLOOKUP($C5,StrategiesSolutions[S&amp;S ID],StrategiesSolutions[Dependency],""))</calculatedColumnFormula>
    </tableColumn>
    <tableColumn id="8" xr3:uid="{0809062F-5B53-468C-8DCE-D8FB2C956DD9}" name="Risk Assumption" dataDxfId="104">
      <calculatedColumnFormula>IF($C5="","",_xlfn.XLOOKUP($C5,StrategiesSolutions[S&amp;S ID],StrategiesSolutions[Risk Assumption],""))</calculatedColumnFormula>
    </tableColumn>
    <tableColumn id="9" xr3:uid="{F2BD6B2E-1892-43E1-991F-C7487AC7DEFD}" name="Disruption Scenario" dataDxfId="103">
      <calculatedColumnFormula>IF($C5="","",_xlfn.XLOOKUP($C5,StrategiesSolutions[S&amp;S ID],StrategiesSolutions[Disruption Scenario],""))</calculatedColumnFormula>
    </tableColumn>
    <tableColumn id="10" xr3:uid="{E2A13359-6F5A-41ED-8C25-6C9867F890E8}" name="Strategy" dataDxfId="102">
      <calculatedColumnFormula>IF($C5="","",_xlfn.XLOOKUP($C5,StrategiesSolutions[S&amp;S ID],StrategiesSolutions[Strategy],""))</calculatedColumnFormula>
    </tableColumn>
    <tableColumn id="11" xr3:uid="{6B5A2BF3-DD19-4A77-BEBF-EB12A415480E}" name="Solution Details" dataDxfId="101">
      <calculatedColumnFormula>IF($C5="","",_xlfn.LET(_xlpm.x,_xlfn.XLOOKUP($C5,StrategiesSolutions[S&amp;S ID],StrategiesSolutions[Strategy Details / Do nothing Justification],""),IF(_xlpm.x=0,"",_xlpm.x)))</calculatedColumnFormula>
    </tableColumn>
    <tableColumn id="12" xr3:uid="{8CD78B31-2490-44C4-BB76-AF5532D44F22}" name="Planned Exercise Date" dataDxfId="100"/>
    <tableColumn id="13" xr3:uid="{359D3443-306E-4567-A03B-ECF4F7D15792}" name="Actual Exercise Date" dataDxfId="99"/>
    <tableColumn id="14" xr3:uid="{2595AAF9-14D5-49CE-B956-6D847D694950}" name="Exercise Result" dataDxfId="98"/>
    <tableColumn id="15" xr3:uid="{C1C2393E-91F1-46C0-9C7E-A393CC1883C7}" name="Next Exercise Due" dataDxfId="97">
      <calculatedColumnFormula>IF($M5="","",EDATE($M5,12))</calculatedColumnFormula>
    </tableColumn>
    <tableColumn id="16" xr3:uid="{10DA5129-7101-43C4-B24E-74FAEB4B0FA2}" name="Exercise Status" dataDxfId="96">
      <calculatedColumnFormula>IF($C5="","",_xlfn.LET(_xlpm.ssStatus,_xlfn.XLOOKUP($C5,StrategiesSolutions[S&amp;S ID],StrategiesSolutions[Status],""),IF($L5="","Not Scheduled",IF($M5="",IF($L5&lt;TODAY(),"Overdue","Scheduled"),IF($N5="","Result Required",IF(OR($E5="",$F5="",$Q5=""),"Incomplete Exercise",IF($N5="Fail","Failed",IF(OR($N5="Pass with Findings",_xlpm.ssStatus&lt;&gt;"Completed"),"Pass with Findings","Passed"))))))))</calculatedColumnFormula>
    </tableColumn>
    <tableColumn id="18" xr3:uid="{447AE24F-A06A-47E6-85F9-035E6510EFA0}" name="Duplicate Check" dataDxfId="95">
      <calculatedColumnFormula>IF($C5="","",IF(SUMPRODUCT(--($C$5:$C$104=$C5),--($D$5:$D$104=$D5),--($E$5:$E$104=$E5))&gt;1,"DUPLICATE","OK"))</calculatedColumnFormula>
    </tableColumn>
    <tableColumn id="19" xr3:uid="{AC2B17BC-8495-42B8-AC28-028A0B5CFAF6}" name="Remarks"/>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31BE6BA-6AFC-4185-99D5-F1AC2767242A}" name="CAPARegister" displayName="CAPARegister" ref="A5:X105" totalsRowShown="0" headerRowDxfId="94">
  <autoFilter ref="A5:X105" xr:uid="{231BE6BA-6AFC-4185-99D5-F1AC2767242A}"/>
  <tableColumns count="24">
    <tableColumn id="1" xr3:uid="{2F30DC1C-1D26-4F13-A7CA-89513FE34422}" name="No." dataDxfId="93"/>
    <tableColumn id="2" xr3:uid="{97D47339-BA3D-4090-8E85-F96A541D6A6F}" name="CAPA ID" dataDxfId="92">
      <calculatedColumnFormula>IF(F6="","","CAPA-"&amp;TEXT(A6,"000"))</calculatedColumnFormula>
    </tableColumn>
    <tableColumn id="3" xr3:uid="{237245A0-B0EB-4442-AC7F-309077D87C36}" name="Source Type" dataDxfId="91"/>
    <tableColumn id="4" xr3:uid="{50DEC947-124B-41D3-B8D7-7203BC5E3541}" name="Source Ref"/>
    <tableColumn id="5" xr3:uid="{53F62562-F001-446A-A19E-64D52811469B}" name="Finding Date" dataDxfId="90"/>
    <tableColumn id="6" xr3:uid="{F2C376C2-3BF0-498D-8B8D-74E99FC771E2}" name="Finding" dataDxfId="89"/>
    <tableColumn id="7" xr3:uid="{FD65C8B2-6904-46E3-8FB4-B63822911F31}" name="Severity" dataDxfId="88"/>
    <tableColumn id="8" xr3:uid="{3D6127B3-5EBE-4247-879C-18C4C656BC1E}" name="Immediate Correction" dataDxfId="87"/>
    <tableColumn id="10" xr3:uid="{A9F0D50F-3914-4571-BDFD-BC86BB4329AF}" name="Root Cause" dataDxfId="86"/>
    <tableColumn id="11" xr3:uid="{DDE22EDE-4DCB-4494-8126-2211D7930E5B}" name="Corrective Action" dataDxfId="85"/>
    <tableColumn id="12" xr3:uid="{90E28DE2-FF6E-46C2-8E8E-BBF315372AE4}" name="Owner"/>
    <tableColumn id="13" xr3:uid="{56A93DDC-5B97-45AC-AF08-D68905CC0C14}" name="Target Date" dataDxfId="84"/>
    <tableColumn id="14" xr3:uid="{631B28CF-D094-4A46-9959-AC6F1E896A03}" name="Status" dataDxfId="83"/>
    <tableColumn id="15" xr3:uid="{525CBCE3-D12A-4A92-B2EF-2D325F5453FF}" name="Evidence Ref" dataDxfId="82"/>
    <tableColumn id="16" xr3:uid="{48D8026A-DBF4-4A54-A234-4ED396D4CD82}" name="Verification Owner" dataDxfId="81"/>
    <tableColumn id="17" xr3:uid="{6ACFF5D9-36F5-4C14-BB65-9466B675B2E0}" name="Verification Date" dataDxfId="80"/>
    <tableColumn id="18" xr3:uid="{CC58EC79-F70D-40FC-9B8D-42DB8750F7EE}" name="Effectiveness" dataDxfId="79"/>
    <tableColumn id="19" xr3:uid="{F05933A2-CE6C-4A50-A0EB-452B817637B6}" name="Closure Date" dataDxfId="78"/>
    <tableColumn id="20" xr3:uid="{554E13E8-EE14-4645-B160-D9123FA56F38}" name="Days Open" dataDxfId="77">
      <calculatedColumnFormula>IF(E6="","",IF(R6&lt;&gt;"",R6-E6,TODAY()-E6))</calculatedColumnFormula>
    </tableColumn>
    <tableColumn id="21" xr3:uid="{FE8FC7E0-7473-4F13-BF54-838259BB953D}" name="Overdue" dataDxfId="76">
      <calculatedColumnFormula>IF(OR(M6="Closed",M6="Cancelled",L6=""),"",IF(L6&lt;TODAY(),"Overdue","On Track"))</calculatedColumnFormula>
    </tableColumn>
    <tableColumn id="23" xr3:uid="{21C340DC-0C56-43A5-A8E6-54EA14C61CEA}" name="Risk ID"/>
    <tableColumn id="26" xr3:uid="{F4839680-35F8-48AB-8A9C-7A48D1B5F16F}" name="S&amp;S ID"/>
    <tableColumn id="24" xr3:uid="{ED18114D-1998-49E4-B920-9192A033CD08}" name="R&amp;R ID"/>
    <tableColumn id="25" xr3:uid="{BA36028E-DD7A-4DDF-944A-75CFA451934B}" name="Remarks" dataDxfId="75"/>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4.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5.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table" Target="../tables/table6.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table" Target="../tables/table7.xml"/><Relationship Id="rId1"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table" Target="../tables/table8.xml"/><Relationship Id="rId1" Type="http://schemas.openxmlformats.org/officeDocument/2006/relationships/vmlDrawing" Target="../drawings/vmlDrawing9.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table" Target="../tables/table9.xml"/><Relationship Id="rId1" Type="http://schemas.openxmlformats.org/officeDocument/2006/relationships/vmlDrawing" Target="../drawings/vmlDrawing10.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table" Target="../tables/table10.xml"/><Relationship Id="rId1"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2A900"/>
  </sheetPr>
  <dimension ref="A1:H15"/>
  <sheetViews>
    <sheetView showGridLines="0" zoomScaleNormal="100" workbookViewId="0">
      <selection activeCell="G9" sqref="G9:H10"/>
    </sheetView>
  </sheetViews>
  <sheetFormatPr defaultColWidth="8.54296875" defaultRowHeight="14.5" x14ac:dyDescent="0.35"/>
  <cols>
    <col min="1" max="1" width="23.26953125" bestFit="1" customWidth="1"/>
    <col min="2" max="2" width="2.453125" bestFit="1" customWidth="1"/>
    <col min="3" max="3" width="4" customWidth="1"/>
    <col min="4" max="4" width="25.7265625" bestFit="1" customWidth="1"/>
    <col min="5" max="5" width="5.7265625" bestFit="1" customWidth="1"/>
    <col min="6" max="6" width="4" customWidth="1"/>
    <col min="7" max="7" width="30.36328125" bestFit="1" customWidth="1"/>
    <col min="8" max="8" width="7.90625" bestFit="1" customWidth="1"/>
  </cols>
  <sheetData>
    <row r="1" spans="1:8" ht="27.75" customHeight="1" x14ac:dyDescent="0.35">
      <c r="A1" s="215" t="s">
        <v>435</v>
      </c>
      <c r="B1" s="213"/>
      <c r="C1" s="213"/>
      <c r="D1" s="213"/>
      <c r="E1" s="213"/>
      <c r="F1" s="213"/>
      <c r="G1" s="213"/>
      <c r="H1" s="213"/>
    </row>
    <row r="2" spans="1:8" ht="18" customHeight="1" x14ac:dyDescent="0.35">
      <c r="A2" s="216"/>
      <c r="B2" s="213"/>
      <c r="C2" s="213"/>
      <c r="D2" s="213"/>
      <c r="E2" s="213"/>
      <c r="F2" s="213"/>
      <c r="G2" s="213"/>
      <c r="H2" s="213"/>
    </row>
    <row r="4" spans="1:8" ht="15" customHeight="1" x14ac:dyDescent="0.65">
      <c r="A4" s="9" t="s">
        <v>6</v>
      </c>
      <c r="D4" s="9" t="s">
        <v>7</v>
      </c>
      <c r="G4" s="9" t="s">
        <v>8</v>
      </c>
    </row>
    <row r="5" spans="1:8" ht="15" customHeight="1" x14ac:dyDescent="0.35">
      <c r="A5" s="10" t="s">
        <v>9</v>
      </c>
      <c r="B5" s="11">
        <f>COUNTIF('04. Products &amp; Services'!$I$5:$I$49,"Yes")</f>
      </c>
      <c r="D5" s="10" t="s">
        <v>10</v>
      </c>
      <c r="E5" s="11">
        <f>COUNTIF(INDEX(RiskAssessment[],0,2),"RA-*")</f>
      </c>
      <c r="G5" s="10" t="s">
        <v>11</v>
      </c>
      <c r="H5" s="11">
        <f>COUNTIF('14. Recovery &amp; Response'!$C$5:$C$104,"SS-*")</f>
      </c>
    </row>
    <row r="6" spans="1:8" ht="15" customHeight="1" x14ac:dyDescent="0.35">
      <c r="A6" s="10" t="s">
        <v>12</v>
      </c>
      <c r="B6" s="11" cm="1">
        <f t="array" ref="B6">SUMPRODUCT(--('07. BIA'!$B$6:$B$285&lt;&gt;""),--ISNUMBER('07. BIA'!$AF$6:$AF$285))</f>
      </c>
      <c r="D6" s="10" t="s">
        <v>13</v>
      </c>
      <c r="E6" s="175">
        <f>COUNTIF('10. Risk Assessment'!$P$5:$P$34,"Critical")+COUNTIF('10. Risk Assessment'!$P$5:$P$34,"Significant")</f>
      </c>
      <c r="G6" s="10" t="s">
        <v>14</v>
      </c>
      <c r="H6" s="11">
        <f ca="1">COUNT('14. Recovery &amp; Response'!$M$5:$M$104)&amp;" / "&amp;COUNTIF('14. Recovery &amp; Response'!$P$5:$P$104,"Overdue")</f>
      </c>
    </row>
    <row r="7" spans="1:8" ht="15" customHeight="1" x14ac:dyDescent="0.35">
      <c r="A7" s="10" t="s">
        <v>15</v>
      </c>
      <c r="B7" s="11">
        <f>COUNTIF('07. BIA'!$W$6:$W$285,"Yes")</f>
      </c>
      <c r="D7" s="10" t="s">
        <v>16</v>
      </c>
      <c r="E7" s="175">
        <f>COUNTIF('10. Risk Assessment'!$Q$5:$Q$34,1)+COUNTIF('10. Risk Assessment'!$Q$5:$Q$34,2)</f>
      </c>
      <c r="G7" s="10" t="s">
        <v>17</v>
      </c>
      <c r="H7" s="11">
        <f ca="1">COUNTIF('13. IT DR Register'!$B$5:$B$204,"DR-*")&amp;" / "&amp;COUNTIF('13. IT DR Register'!$Q$5:$Q$204,"Tested &amp; Current")</f>
      </c>
    </row>
    <row r="8" spans="1:8" ht="15" customHeight="1" x14ac:dyDescent="0.35">
      <c r="A8" s="10" t="s">
        <v>18</v>
      </c>
      <c r="B8" s="11" cm="1">
        <f t="array" ref="B8">_xlfn.LET(_xlpm.x,INDEX(RiskAssessment[],0,6),SUMPRODUCT(--(_xlpm.x&lt;&gt;""),LEN(_xlpm.x)-LEN(SUBSTITUTE(_xlpm.x,",",""))+1))</f>
      </c>
      <c r="D8" s="10" t="s">
        <v>19</v>
      </c>
      <c r="E8" s="11">
        <f ca="1">COUNTIF('11. Strategies &amp; Solutions'!$C$5:$C$64,"SS-*")&amp;" / "&amp;COUNTIF('11. Strategies &amp; Solutions'!$T$5:$T$64,"Overdue")</f>
      </c>
      <c r="G8" s="10" t="s">
        <v>23</v>
      </c>
      <c r="H8" s="11">
        <f>COUNTIF('11. Strategies &amp; Solutions'!$U$5:$U$64,"DUPLICATE")</f>
      </c>
    </row>
    <row r="9" spans="1:8" ht="15" customHeight="1" x14ac:dyDescent="0.35">
      <c r="A9" s="10" t="s">
        <v>20</v>
      </c>
      <c r="B9" s="11">
        <f>COUNTIF('08. Dependency Register'!$B$5:$B$204,"DEP-*")</f>
      </c>
      <c r="D9" s="10" t="s">
        <v>21</v>
      </c>
      <c r="E9" s="11">
        <f>COUNTIF('12. Requirements Register'!$B$5:$B$304,"REQ-*")</f>
      </c>
    </row>
    <row r="10" spans="1:8" ht="15" customHeight="1" x14ac:dyDescent="0.35">
      <c r="A10" s="10" t="s">
        <v>22</v>
      </c>
      <c r="B10" s="11">
        <f ca="1">SUMPRODUCT(--('07. BIA'!$AG$6:$AG$285&lt;&gt;"")*('07. BIA'!$AG$6:$AG$285&lt;TODAY()))</f>
      </c>
    </row>
    <row r="13" spans="1:8" x14ac:dyDescent="0.35">
      <c r="A13" s="217" t="s">
        <v>24</v>
      </c>
      <c r="B13" s="217"/>
      <c r="C13" s="217"/>
      <c r="D13" s="217"/>
      <c r="E13" s="217"/>
      <c r="F13" s="217"/>
      <c r="G13" s="217"/>
      <c r="H13" s="217"/>
    </row>
    <row r="14" spans="1:8" x14ac:dyDescent="0.35">
      <c r="A14" t="s">
        <v>25</v>
      </c>
      <c r="B14">
        <f>COUNTIFS('16. CAPA Register'!$B$6:$B$105,"CAPA-*",'16. CAPA Register'!$M$6:$M$105,"&lt;&gt;Closed",'16. CAPA Register'!$M$6:$M$105,"&lt;&gt;Cancelled")</f>
      </c>
      <c r="D14" t="s">
        <v>26</v>
      </c>
      <c r="E14">
        <f ca="1">COUNTIF('16. CAPA Register'!$T$6:$T$105,"Overdue")</f>
      </c>
      <c r="G14" t="s">
        <v>27</v>
      </c>
      <c r="H14">
        <f>COUNTIFS('16. CAPA Register'!$M$6:$M$105,"Pending Verification")+COUNTIFS('16. CAPA Register'!$M$6:$M$105,"Closed",'16. CAPA Register'!$Q$6:$Q$105,"Pending")</f>
      </c>
    </row>
    <row r="15" spans="1:8" x14ac:dyDescent="0.35">
      <c r="A15" t="s">
        <v>28</v>
      </c>
      <c r="B15">
        <f>COUNTIFS('16. CAPA Register'!$M$6:$M$105,"&lt;&gt;Closed",'16. CAPA Register'!$M$6:$M$105,"&lt;&gt;Cancelled",'16. CAPA Register'!$G$6:$G$105,"Critical")+COUNTIFS('16. CAPA Register'!$M$6:$M$105,"&lt;&gt;Closed",'16. CAPA Register'!$M$6:$M$105,"&lt;&gt;Cancelled",'16. CAPA Register'!$G$6:$G$105,"High")</f>
      </c>
    </row>
  </sheetData>
  <mergeCells count="3">
    <mergeCell ref="A2:H2"/>
    <mergeCell ref="A1:H1"/>
    <mergeCell ref="A13:H13"/>
  </mergeCells>
  <pageMargins left="0.75" right="0.75" top="1" bottom="1" header="0.511811023622047" footer="0.51180555555555596"/>
  <pageSetup paperSize="9" orientation="portrait" horizontalDpi="300" verticalDpi="300"/>
  <headerFooter>
    <oddFooter>&amp;L&amp;A&amp;RPage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08080"/>
  </sheetPr>
  <dimension ref="A1:AB182"/>
  <sheetViews>
    <sheetView tabSelected="1" zoomScaleNormal="100" workbookViewId="0">
      <pane ySplit="2" topLeftCell="A3" activePane="bottomLeft" state="frozen"/>
      <selection pane="bottomLeft" activeCell="M8" sqref="M8"/>
    </sheetView>
  </sheetViews>
  <sheetFormatPr defaultColWidth="8.54296875" defaultRowHeight="14.5" x14ac:dyDescent="0.35"/>
  <cols>
    <col min="1" max="1" width="36.453125" customWidth="1"/>
    <col min="2" max="2" width="36.453125" style="3" customWidth="1"/>
    <col min="3" max="3" width="27.26953125" style="3" customWidth="1"/>
    <col min="4" max="4" width="18.1796875" style="3" customWidth="1"/>
  </cols>
  <sheetData>
    <row r="1" spans="1:4" ht="18.5" x14ac:dyDescent="0.45">
      <c r="A1" s="229" t="s">
        <v>29</v>
      </c>
      <c r="B1" s="222"/>
      <c r="C1" s="222"/>
      <c r="D1" s="222"/>
    </row>
    <row r="2" spans="1:4" x14ac:dyDescent="0.35">
      <c r="A2" s="221"/>
      <c r="B2" s="222"/>
      <c r="C2" s="222"/>
      <c r="D2" s="222"/>
    </row>
    <row r="4" spans="1:4" x14ac:dyDescent="0.35">
      <c r="A4" s="223" t="s">
        <v>30</v>
      </c>
      <c r="B4" s="224"/>
      <c r="C4" s="224"/>
      <c r="D4" s="225"/>
    </row>
    <row r="5" spans="1:4" x14ac:dyDescent="0.35">
      <c r="A5" s="24" t="s">
        <v>31</v>
      </c>
      <c r="B5" s="218"/>
      <c r="C5" s="219"/>
      <c r="D5" s="220"/>
    </row>
    <row r="6" spans="1:4" x14ac:dyDescent="0.35">
      <c r="A6" s="24" t="s">
        <v>32</v>
      </c>
      <c r="B6" s="218"/>
      <c r="C6" s="219"/>
      <c r="D6" s="220"/>
    </row>
    <row r="7" spans="1:4" x14ac:dyDescent="0.35">
      <c r="A7" s="24" t="s">
        <v>33</v>
      </c>
      <c r="B7" s="218"/>
      <c r="C7" s="219"/>
      <c r="D7" s="220"/>
    </row>
    <row r="8" spans="1:4" x14ac:dyDescent="0.35">
      <c r="A8" s="24" t="s">
        <v>34</v>
      </c>
      <c r="B8" s="218"/>
      <c r="C8" s="219"/>
      <c r="D8" s="220"/>
    </row>
    <row r="9" spans="1:4" x14ac:dyDescent="0.35">
      <c r="A9" s="24" t="s">
        <v>35</v>
      </c>
      <c r="B9" s="218"/>
      <c r="C9" s="219"/>
      <c r="D9" s="220"/>
    </row>
    <row r="10" spans="1:4" x14ac:dyDescent="0.35">
      <c r="A10" s="24" t="s">
        <v>36</v>
      </c>
      <c r="B10" s="218"/>
      <c r="C10" s="219"/>
      <c r="D10" s="220"/>
    </row>
    <row r="11" spans="1:4" x14ac:dyDescent="0.35">
      <c r="A11" s="24" t="s">
        <v>37</v>
      </c>
      <c r="B11" s="218"/>
      <c r="C11" s="219"/>
      <c r="D11" s="220"/>
    </row>
    <row r="12" spans="1:4" x14ac:dyDescent="0.35">
      <c r="A12" s="24" t="s">
        <v>38</v>
      </c>
      <c r="B12" s="218"/>
      <c r="C12" s="219"/>
      <c r="D12" s="220"/>
    </row>
    <row r="13" spans="1:4" x14ac:dyDescent="0.35">
      <c r="A13" s="24" t="s">
        <v>39</v>
      </c>
      <c r="B13" s="218"/>
      <c r="C13" s="219"/>
      <c r="D13" s="220"/>
    </row>
    <row r="14" spans="1:4" x14ac:dyDescent="0.35">
      <c r="A14" s="24" t="s">
        <v>40</v>
      </c>
      <c r="B14" s="218"/>
      <c r="C14" s="219"/>
      <c r="D14" s="220"/>
    </row>
    <row r="15" spans="1:4" x14ac:dyDescent="0.35">
      <c r="A15" s="25"/>
      <c r="B15" s="26"/>
      <c r="C15" s="26"/>
      <c r="D15" s="27"/>
    </row>
    <row r="16" spans="1:4" x14ac:dyDescent="0.35">
      <c r="A16" s="226" t="s">
        <v>41</v>
      </c>
      <c r="B16" s="227"/>
      <c r="C16" s="227"/>
      <c r="D16" s="228"/>
    </row>
    <row r="17" spans="1:4" x14ac:dyDescent="0.35">
      <c r="A17" s="28" t="s">
        <v>42</v>
      </c>
      <c r="B17" s="29" t="s">
        <v>3</v>
      </c>
      <c r="C17" s="29" t="s">
        <v>43</v>
      </c>
      <c r="D17" s="30" t="s">
        <v>44</v>
      </c>
    </row>
    <row r="18" spans="1:4" x14ac:dyDescent="0.35">
      <c r="A18" s="24"/>
      <c r="B18" s="22"/>
      <c r="C18" s="22"/>
      <c r="D18" s="205"/>
    </row>
    <row r="19" spans="1:4" x14ac:dyDescent="0.35">
      <c r="A19" s="24"/>
      <c r="B19" s="22"/>
      <c r="C19" s="22"/>
      <c r="D19" s="205"/>
    </row>
    <row r="20" spans="1:4" x14ac:dyDescent="0.35">
      <c r="A20" s="24"/>
      <c r="B20" s="22"/>
      <c r="C20" s="22"/>
      <c r="D20" s="205"/>
    </row>
    <row r="21" spans="1:4" x14ac:dyDescent="0.35">
      <c r="A21" s="24"/>
      <c r="B21" s="22"/>
      <c r="C21" s="22"/>
      <c r="D21" s="210"/>
    </row>
    <row r="22" spans="1:4" x14ac:dyDescent="0.35">
      <c r="A22" s="24"/>
      <c r="B22" s="22"/>
      <c r="C22" s="22"/>
      <c r="D22" s="210"/>
    </row>
    <row r="23" spans="1:4" x14ac:dyDescent="0.35">
      <c r="A23" s="24"/>
      <c r="B23" s="22"/>
      <c r="C23" s="22"/>
      <c r="D23" s="205"/>
    </row>
    <row r="24" spans="1:4" x14ac:dyDescent="0.35">
      <c r="A24" s="24"/>
      <c r="B24" s="22"/>
      <c r="C24" s="22"/>
      <c r="D24" s="205"/>
    </row>
    <row r="25" spans="1:4" x14ac:dyDescent="0.35">
      <c r="A25" s="24"/>
      <c r="B25" s="22"/>
      <c r="C25" s="22"/>
      <c r="D25" s="205"/>
    </row>
    <row r="26" spans="1:4" x14ac:dyDescent="0.35">
      <c r="A26" s="25"/>
      <c r="B26" s="26"/>
      <c r="C26" s="26"/>
      <c r="D26" s="27"/>
    </row>
    <row r="27" spans="1:4" x14ac:dyDescent="0.35">
      <c r="A27" s="226" t="s">
        <v>45</v>
      </c>
      <c r="B27" s="227"/>
      <c r="C27" s="227"/>
      <c r="D27" s="228"/>
    </row>
    <row r="28" spans="1:4" x14ac:dyDescent="0.35">
      <c r="A28" s="24" t="s">
        <v>46</v>
      </c>
      <c r="B28" s="218"/>
      <c r="C28" s="219"/>
      <c r="D28" s="220"/>
    </row>
    <row r="29" spans="1:4" x14ac:dyDescent="0.35">
      <c r="A29" s="24" t="s">
        <v>47</v>
      </c>
      <c r="B29" s="218"/>
      <c r="C29" s="219"/>
      <c r="D29" s="220"/>
    </row>
    <row r="30" spans="1:4" x14ac:dyDescent="0.35">
      <c r="A30" s="24" t="s">
        <v>48</v>
      </c>
      <c r="B30" s="218"/>
      <c r="C30" s="219"/>
      <c r="D30" s="220"/>
    </row>
    <row r="31" spans="1:4" x14ac:dyDescent="0.35">
      <c r="A31" s="24" t="s">
        <v>49</v>
      </c>
      <c r="B31" s="218"/>
      <c r="C31" s="219"/>
      <c r="D31" s="220"/>
    </row>
    <row r="32" spans="1:4" x14ac:dyDescent="0.35">
      <c r="A32" s="24" t="s">
        <v>50</v>
      </c>
      <c r="B32" s="218"/>
      <c r="C32" s="219"/>
      <c r="D32" s="220"/>
    </row>
    <row r="33" spans="1:4" x14ac:dyDescent="0.35">
      <c r="A33" s="24" t="s">
        <v>51</v>
      </c>
      <c r="B33" s="218"/>
      <c r="C33" s="219"/>
      <c r="D33" s="220"/>
    </row>
    <row r="34" spans="1:4" x14ac:dyDescent="0.35">
      <c r="A34" s="24" t="s">
        <v>52</v>
      </c>
      <c r="B34" s="218"/>
      <c r="C34" s="219"/>
      <c r="D34" s="220"/>
    </row>
    <row r="35" spans="1:4" x14ac:dyDescent="0.35">
      <c r="A35" s="24" t="s">
        <v>53</v>
      </c>
      <c r="B35" s="218"/>
      <c r="C35" s="219"/>
      <c r="D35" s="220"/>
    </row>
    <row r="36" spans="1:4" x14ac:dyDescent="0.35">
      <c r="A36" s="25"/>
      <c r="B36" s="26"/>
      <c r="C36" s="26"/>
      <c r="D36" s="27"/>
    </row>
    <row r="37" spans="1:4" x14ac:dyDescent="0.35">
      <c r="A37" s="226" t="s">
        <v>54</v>
      </c>
      <c r="B37" s="227"/>
      <c r="C37" s="227"/>
      <c r="D37" s="228"/>
    </row>
    <row r="38" spans="1:4" x14ac:dyDescent="0.35">
      <c r="A38" s="24" t="s">
        <v>55</v>
      </c>
      <c r="B38" s="218"/>
      <c r="C38" s="219"/>
      <c r="D38" s="220"/>
    </row>
    <row r="39" spans="1:4" x14ac:dyDescent="0.35">
      <c r="A39" s="24" t="s">
        <v>56</v>
      </c>
      <c r="B39" s="218"/>
      <c r="C39" s="219"/>
      <c r="D39" s="220"/>
    </row>
    <row r="40" spans="1:4" x14ac:dyDescent="0.35">
      <c r="A40" s="24" t="s">
        <v>57</v>
      </c>
      <c r="B40" s="218"/>
      <c r="C40" s="219"/>
      <c r="D40" s="220"/>
    </row>
    <row r="41" spans="1:4" x14ac:dyDescent="0.35">
      <c r="A41" s="24" t="s">
        <v>58</v>
      </c>
      <c r="B41" s="218"/>
      <c r="C41" s="219"/>
      <c r="D41" s="220"/>
    </row>
    <row r="42" spans="1:4" x14ac:dyDescent="0.35">
      <c r="A42" s="24" t="s">
        <v>59</v>
      </c>
      <c r="B42" s="218"/>
      <c r="C42" s="219"/>
      <c r="D42" s="220"/>
    </row>
    <row r="43" spans="1:4" x14ac:dyDescent="0.35">
      <c r="A43" s="24" t="s">
        <v>60</v>
      </c>
      <c r="B43" s="218"/>
      <c r="C43" s="219"/>
      <c r="D43" s="220"/>
    </row>
    <row r="44" spans="1:4" x14ac:dyDescent="0.35">
      <c r="A44" s="24" t="s">
        <v>61</v>
      </c>
      <c r="B44" s="218"/>
      <c r="C44" s="219"/>
      <c r="D44" s="220"/>
    </row>
    <row r="45" spans="1:4" x14ac:dyDescent="0.35">
      <c r="A45" s="24" t="s">
        <v>62</v>
      </c>
      <c r="B45" s="218"/>
      <c r="C45" s="219"/>
      <c r="D45" s="220"/>
    </row>
    <row r="46" spans="1:4" x14ac:dyDescent="0.35">
      <c r="A46" s="24" t="s">
        <v>63</v>
      </c>
      <c r="B46" s="218"/>
      <c r="C46" s="219"/>
      <c r="D46" s="220"/>
    </row>
    <row r="47" spans="1:4" x14ac:dyDescent="0.35">
      <c r="A47" s="25"/>
      <c r="B47" s="26"/>
      <c r="C47" s="26"/>
      <c r="D47" s="27"/>
    </row>
    <row r="48" spans="1:4" x14ac:dyDescent="0.35">
      <c r="A48" s="232" t="s">
        <v>64</v>
      </c>
      <c r="B48" s="233"/>
      <c r="C48" s="233"/>
      <c r="D48" s="228"/>
    </row>
    <row r="49" spans="1:4" x14ac:dyDescent="0.35">
      <c r="A49" s="172" t="s">
        <v>65</v>
      </c>
      <c r="B49" s="234" t="s">
        <v>66</v>
      </c>
      <c r="C49" s="235"/>
      <c r="D49" s="235"/>
    </row>
    <row r="50" spans="1:4" ht="43.5" x14ac:dyDescent="0.35">
      <c r="A50" s="173" t="s">
        <v>67</v>
      </c>
      <c r="B50" s="230"/>
      <c r="C50" s="231"/>
      <c r="D50" s="231"/>
    </row>
    <row r="51" spans="1:4" ht="43.5" x14ac:dyDescent="0.35">
      <c r="A51" s="173" t="s">
        <v>68</v>
      </c>
      <c r="B51" s="230"/>
      <c r="C51" s="231"/>
      <c r="D51" s="231"/>
    </row>
    <row r="52" spans="1:4" ht="43.5" x14ac:dyDescent="0.35">
      <c r="A52" s="173" t="s">
        <v>69</v>
      </c>
      <c r="B52" s="230"/>
      <c r="C52" s="231"/>
      <c r="D52" s="231"/>
    </row>
    <row r="53" spans="1:4" ht="29" x14ac:dyDescent="0.35">
      <c r="A53" s="173" t="s">
        <v>70</v>
      </c>
      <c r="B53" s="230"/>
      <c r="C53" s="231"/>
      <c r="D53" s="231"/>
    </row>
    <row r="54" spans="1:4" ht="43.5" x14ac:dyDescent="0.35">
      <c r="A54" s="173" t="s">
        <v>71</v>
      </c>
      <c r="B54" s="230"/>
      <c r="C54" s="231"/>
      <c r="D54" s="231"/>
    </row>
    <row r="55" spans="1:4" x14ac:dyDescent="0.35">
      <c r="A55" s="173"/>
      <c r="B55" s="212"/>
      <c r="C55" s="212"/>
      <c r="D55" s="212"/>
    </row>
    <row r="56" spans="1:4" x14ac:dyDescent="0.35">
      <c r="A56" s="226" t="s">
        <v>72</v>
      </c>
      <c r="B56" s="227"/>
      <c r="C56" s="227"/>
      <c r="D56" s="228"/>
    </row>
    <row r="57" spans="1:4" x14ac:dyDescent="0.35">
      <c r="A57" s="28" t="s">
        <v>73</v>
      </c>
      <c r="B57" s="29" t="s">
        <v>74</v>
      </c>
      <c r="C57" s="29" t="s">
        <v>75</v>
      </c>
      <c r="D57" s="30" t="s">
        <v>76</v>
      </c>
    </row>
    <row r="58" spans="1:4" x14ac:dyDescent="0.35">
      <c r="A58" s="24" t="s">
        <v>77</v>
      </c>
      <c r="B58" s="22"/>
      <c r="C58" s="22"/>
      <c r="D58" s="205"/>
    </row>
    <row r="59" spans="1:4" x14ac:dyDescent="0.35">
      <c r="A59" s="24" t="s">
        <v>78</v>
      </c>
      <c r="B59" s="22"/>
      <c r="C59" s="22"/>
      <c r="D59" s="205"/>
    </row>
    <row r="60" spans="1:4" x14ac:dyDescent="0.35">
      <c r="A60" s="24" t="s">
        <v>79</v>
      </c>
      <c r="B60" s="22"/>
      <c r="C60" s="22"/>
      <c r="D60" s="205"/>
    </row>
    <row r="61" spans="1:4" x14ac:dyDescent="0.35">
      <c r="A61" s="24" t="s">
        <v>80</v>
      </c>
      <c r="B61" s="22"/>
      <c r="C61" s="22"/>
      <c r="D61" s="205"/>
    </row>
    <row r="62" spans="1:4" x14ac:dyDescent="0.35">
      <c r="A62" s="24" t="s">
        <v>81</v>
      </c>
      <c r="B62" s="22"/>
      <c r="C62" s="22"/>
      <c r="D62" s="205"/>
    </row>
    <row r="63" spans="1:4" x14ac:dyDescent="0.35">
      <c r="A63" s="24" t="s">
        <v>82</v>
      </c>
      <c r="B63" s="22"/>
      <c r="C63" s="22"/>
      <c r="D63" s="205"/>
    </row>
    <row r="64" spans="1:4" x14ac:dyDescent="0.35">
      <c r="A64" s="24" t="s">
        <v>83</v>
      </c>
      <c r="B64" s="22"/>
      <c r="C64" s="22"/>
      <c r="D64" s="205"/>
    </row>
    <row r="65" spans="1:4" x14ac:dyDescent="0.35">
      <c r="A65" s="24" t="s">
        <v>84</v>
      </c>
      <c r="B65" s="22"/>
      <c r="C65" s="22"/>
      <c r="D65" s="205"/>
    </row>
    <row r="66" spans="1:4" x14ac:dyDescent="0.35">
      <c r="A66" s="24" t="s">
        <v>85</v>
      </c>
      <c r="B66" s="22"/>
      <c r="C66" s="22"/>
      <c r="D66" s="205"/>
    </row>
    <row r="67" spans="1:4" x14ac:dyDescent="0.35">
      <c r="A67" s="24" t="s">
        <v>86</v>
      </c>
      <c r="B67" s="22"/>
      <c r="C67" s="22"/>
      <c r="D67" s="205"/>
    </row>
    <row r="68" spans="1:4" x14ac:dyDescent="0.35">
      <c r="A68" s="24" t="s">
        <v>87</v>
      </c>
      <c r="B68" s="22"/>
      <c r="C68" s="22"/>
      <c r="D68" s="205"/>
    </row>
    <row r="69" spans="1:4" x14ac:dyDescent="0.35">
      <c r="A69" s="25"/>
      <c r="B69" s="26"/>
      <c r="C69" s="26"/>
      <c r="D69" s="27"/>
    </row>
    <row r="70" spans="1:4" x14ac:dyDescent="0.35">
      <c r="A70" s="226" t="s">
        <v>88</v>
      </c>
      <c r="B70" s="227"/>
      <c r="C70" s="227"/>
      <c r="D70" s="228"/>
    </row>
    <row r="71" spans="1:4" x14ac:dyDescent="0.35">
      <c r="A71" s="24" t="s">
        <v>89</v>
      </c>
      <c r="B71" s="218"/>
      <c r="C71" s="219"/>
      <c r="D71" s="220"/>
    </row>
    <row r="72" spans="1:4" x14ac:dyDescent="0.35">
      <c r="A72" s="24" t="s">
        <v>90</v>
      </c>
      <c r="B72" s="218"/>
      <c r="C72" s="219"/>
      <c r="D72" s="220"/>
    </row>
    <row r="73" spans="1:4" x14ac:dyDescent="0.35">
      <c r="A73" s="24" t="s">
        <v>91</v>
      </c>
      <c r="B73" s="218"/>
      <c r="C73" s="219"/>
      <c r="D73" s="220"/>
    </row>
    <row r="74" spans="1:4" x14ac:dyDescent="0.35">
      <c r="A74" s="24" t="s">
        <v>92</v>
      </c>
      <c r="B74" s="218"/>
      <c r="C74" s="219"/>
      <c r="D74" s="220"/>
    </row>
    <row r="75" spans="1:4" x14ac:dyDescent="0.35">
      <c r="A75" s="24" t="s">
        <v>93</v>
      </c>
      <c r="B75" s="218"/>
      <c r="C75" s="219"/>
      <c r="D75" s="220"/>
    </row>
    <row r="76" spans="1:4" x14ac:dyDescent="0.35">
      <c r="A76" s="24" t="s">
        <v>94</v>
      </c>
      <c r="B76" s="218"/>
      <c r="C76" s="219"/>
      <c r="D76" s="220"/>
    </row>
    <row r="77" spans="1:4" x14ac:dyDescent="0.35">
      <c r="A77" s="25"/>
      <c r="B77" s="26"/>
      <c r="C77" s="26"/>
      <c r="D77" s="27"/>
    </row>
    <row r="78" spans="1:4" x14ac:dyDescent="0.35">
      <c r="A78" s="226" t="s">
        <v>95</v>
      </c>
      <c r="B78" s="227"/>
      <c r="C78" s="227"/>
      <c r="D78" s="228"/>
    </row>
    <row r="79" spans="1:4" x14ac:dyDescent="0.35">
      <c r="A79" s="28" t="s">
        <v>96</v>
      </c>
      <c r="B79" s="29" t="s">
        <v>97</v>
      </c>
      <c r="C79" s="29" t="s">
        <v>98</v>
      </c>
      <c r="D79" s="30" t="s">
        <v>99</v>
      </c>
    </row>
    <row r="80" spans="1:4" x14ac:dyDescent="0.35">
      <c r="A80" s="24"/>
      <c r="B80" s="26"/>
      <c r="C80" s="22"/>
      <c r="D80" s="205"/>
    </row>
    <row r="81" spans="1:4" x14ac:dyDescent="0.35">
      <c r="A81" s="24"/>
      <c r="B81" s="26"/>
      <c r="C81" s="22"/>
      <c r="D81" s="205"/>
    </row>
    <row r="82" spans="1:4" x14ac:dyDescent="0.35">
      <c r="A82" s="24"/>
      <c r="B82" s="26"/>
      <c r="C82" s="22"/>
      <c r="D82" s="205"/>
    </row>
    <row r="83" spans="1:4" x14ac:dyDescent="0.35">
      <c r="A83" s="24"/>
      <c r="B83" s="26"/>
      <c r="C83" s="22"/>
      <c r="D83" s="205"/>
    </row>
    <row r="84" spans="1:4" x14ac:dyDescent="0.35">
      <c r="A84" s="24"/>
      <c r="B84" s="26"/>
      <c r="C84" s="22"/>
      <c r="D84" s="205"/>
    </row>
    <row r="85" spans="1:4" x14ac:dyDescent="0.35">
      <c r="A85" s="24"/>
      <c r="B85" s="26"/>
      <c r="C85" s="22"/>
      <c r="D85" s="205"/>
    </row>
    <row r="86" spans="1:4" x14ac:dyDescent="0.35">
      <c r="A86" s="24"/>
      <c r="B86" s="26"/>
      <c r="C86" s="22"/>
      <c r="D86" s="205"/>
    </row>
    <row r="87" spans="1:4" x14ac:dyDescent="0.35">
      <c r="A87" s="24"/>
      <c r="B87" s="26"/>
      <c r="C87" s="22"/>
      <c r="D87" s="205"/>
    </row>
    <row r="88" spans="1:4" x14ac:dyDescent="0.35">
      <c r="A88" s="24"/>
      <c r="B88" s="26"/>
      <c r="C88" s="22"/>
      <c r="D88" s="205"/>
    </row>
    <row r="89" spans="1:4" x14ac:dyDescent="0.35">
      <c r="A89" s="24"/>
      <c r="B89" s="26"/>
      <c r="C89" s="22"/>
      <c r="D89" s="205"/>
    </row>
    <row r="90" spans="1:4" x14ac:dyDescent="0.35">
      <c r="A90" s="25"/>
      <c r="B90" s="26"/>
      <c r="C90" s="26"/>
      <c r="D90" s="27"/>
    </row>
    <row r="91" spans="1:4" x14ac:dyDescent="0.35">
      <c r="A91" s="226" t="s">
        <v>100</v>
      </c>
      <c r="B91" s="227"/>
      <c r="C91" s="227"/>
      <c r="D91" s="228"/>
    </row>
    <row r="92" spans="1:4" x14ac:dyDescent="0.35">
      <c r="A92" s="24" t="s">
        <v>101</v>
      </c>
      <c r="B92" s="218"/>
      <c r="C92" s="219"/>
      <c r="D92" s="220"/>
    </row>
    <row r="93" spans="1:4" x14ac:dyDescent="0.35">
      <c r="A93" s="24" t="s">
        <v>102</v>
      </c>
      <c r="B93" s="218"/>
      <c r="C93" s="219"/>
      <c r="D93" s="220"/>
    </row>
    <row r="94" spans="1:4" x14ac:dyDescent="0.35">
      <c r="A94" s="24" t="s">
        <v>103</v>
      </c>
      <c r="B94" s="218"/>
      <c r="C94" s="219"/>
      <c r="D94" s="220"/>
    </row>
    <row r="95" spans="1:4" x14ac:dyDescent="0.35">
      <c r="A95" s="24" t="s">
        <v>104</v>
      </c>
      <c r="B95" s="218"/>
      <c r="C95" s="219"/>
      <c r="D95" s="220"/>
    </row>
    <row r="96" spans="1:4" x14ac:dyDescent="0.35">
      <c r="A96" s="24" t="s">
        <v>105</v>
      </c>
      <c r="B96" s="218"/>
      <c r="C96" s="219"/>
      <c r="D96" s="220"/>
    </row>
    <row r="97" spans="1:4" x14ac:dyDescent="0.35">
      <c r="A97" s="24" t="s">
        <v>106</v>
      </c>
      <c r="B97" s="218"/>
      <c r="C97" s="219"/>
      <c r="D97" s="220"/>
    </row>
    <row r="98" spans="1:4" x14ac:dyDescent="0.35">
      <c r="A98" s="24" t="s">
        <v>107</v>
      </c>
      <c r="B98" s="218"/>
      <c r="C98" s="219"/>
      <c r="D98" s="220"/>
    </row>
    <row r="99" spans="1:4" x14ac:dyDescent="0.35">
      <c r="A99" s="24" t="s">
        <v>108</v>
      </c>
      <c r="B99" s="218"/>
      <c r="C99" s="219"/>
      <c r="D99" s="220"/>
    </row>
    <row r="100" spans="1:4" x14ac:dyDescent="0.35">
      <c r="A100" s="24" t="s">
        <v>109</v>
      </c>
      <c r="B100" s="218"/>
      <c r="C100" s="219"/>
      <c r="D100" s="220"/>
    </row>
    <row r="101" spans="1:4" x14ac:dyDescent="0.35">
      <c r="A101" s="24" t="s">
        <v>110</v>
      </c>
      <c r="B101" s="218"/>
      <c r="C101" s="219"/>
      <c r="D101" s="220"/>
    </row>
    <row r="102" spans="1:4" x14ac:dyDescent="0.35">
      <c r="A102" s="25"/>
      <c r="B102" s="26"/>
      <c r="C102" s="26"/>
      <c r="D102" s="27"/>
    </row>
    <row r="103" spans="1:4" x14ac:dyDescent="0.35">
      <c r="A103" s="226" t="s">
        <v>111</v>
      </c>
      <c r="B103" s="227"/>
      <c r="C103" s="227"/>
      <c r="D103" s="228"/>
    </row>
    <row r="104" spans="1:4" x14ac:dyDescent="0.35">
      <c r="A104" s="28" t="s">
        <v>112</v>
      </c>
      <c r="B104" s="29" t="s">
        <v>113</v>
      </c>
      <c r="C104" s="29" t="s">
        <v>114</v>
      </c>
      <c r="D104" s="30" t="s">
        <v>115</v>
      </c>
    </row>
    <row r="105" spans="1:4" x14ac:dyDescent="0.35">
      <c r="A105" s="24" t="s">
        <v>116</v>
      </c>
      <c r="B105" s="22"/>
      <c r="C105" s="22"/>
      <c r="D105" s="205"/>
    </row>
    <row r="106" spans="1:4" x14ac:dyDescent="0.35">
      <c r="A106" s="24" t="s">
        <v>117</v>
      </c>
      <c r="B106" s="22"/>
      <c r="C106" s="22"/>
      <c r="D106" s="205"/>
    </row>
    <row r="107" spans="1:4" x14ac:dyDescent="0.35">
      <c r="A107" s="24" t="s">
        <v>118</v>
      </c>
      <c r="B107" s="22"/>
      <c r="C107" s="22"/>
      <c r="D107" s="205"/>
    </row>
    <row r="108" spans="1:4" x14ac:dyDescent="0.35">
      <c r="A108" s="24" t="s">
        <v>119</v>
      </c>
      <c r="B108" s="22"/>
      <c r="C108" s="22"/>
      <c r="D108" s="205"/>
    </row>
    <row r="109" spans="1:4" x14ac:dyDescent="0.35">
      <c r="A109" s="24" t="s">
        <v>120</v>
      </c>
      <c r="B109" s="22"/>
      <c r="C109" s="22"/>
      <c r="D109" s="205"/>
    </row>
    <row r="110" spans="1:4" x14ac:dyDescent="0.35">
      <c r="A110" s="24" t="s">
        <v>121</v>
      </c>
      <c r="B110" s="22"/>
      <c r="C110" s="22"/>
      <c r="D110" s="205"/>
    </row>
    <row r="111" spans="1:4" x14ac:dyDescent="0.35">
      <c r="A111" s="24" t="s">
        <v>122</v>
      </c>
      <c r="B111" s="22"/>
      <c r="C111" s="22"/>
      <c r="D111" s="205"/>
    </row>
    <row r="112" spans="1:4" x14ac:dyDescent="0.35">
      <c r="A112" s="24" t="s">
        <v>123</v>
      </c>
      <c r="B112" s="22"/>
      <c r="C112" s="22"/>
      <c r="D112" s="205"/>
    </row>
    <row r="113" spans="1:4" x14ac:dyDescent="0.35">
      <c r="A113" s="25"/>
      <c r="B113" s="26"/>
      <c r="C113" s="26"/>
      <c r="D113" s="27"/>
    </row>
    <row r="114" spans="1:4" x14ac:dyDescent="0.35">
      <c r="A114" s="226" t="s">
        <v>124</v>
      </c>
      <c r="B114" s="227"/>
      <c r="C114" s="227"/>
      <c r="D114" s="228"/>
    </row>
    <row r="115" spans="1:4" x14ac:dyDescent="0.35">
      <c r="A115" s="31" t="s">
        <v>125</v>
      </c>
      <c r="B115" s="26"/>
      <c r="C115" s="26"/>
      <c r="D115" s="27"/>
    </row>
    <row r="116" spans="1:4" x14ac:dyDescent="0.35">
      <c r="A116" s="28" t="s">
        <v>2</v>
      </c>
      <c r="B116" s="29" t="s">
        <v>3</v>
      </c>
      <c r="C116" s="29" t="s">
        <v>4</v>
      </c>
      <c r="D116" s="30" t="s">
        <v>5</v>
      </c>
    </row>
    <row r="117" spans="1:4" x14ac:dyDescent="0.35">
      <c r="A117" s="206"/>
      <c r="B117" s="22"/>
      <c r="C117" s="207"/>
      <c r="D117" s="27"/>
    </row>
    <row r="118" spans="1:4" x14ac:dyDescent="0.35">
      <c r="A118" s="25"/>
      <c r="B118" s="26"/>
      <c r="C118" s="26"/>
      <c r="D118" s="27"/>
    </row>
    <row r="119" spans="1:4" x14ac:dyDescent="0.35">
      <c r="A119" s="31" t="s">
        <v>126</v>
      </c>
      <c r="B119" s="26"/>
      <c r="C119" s="26"/>
      <c r="D119" s="27"/>
    </row>
    <row r="120" spans="1:4" x14ac:dyDescent="0.35">
      <c r="A120" s="28" t="s">
        <v>2</v>
      </c>
      <c r="B120" s="29" t="s">
        <v>3</v>
      </c>
      <c r="C120" s="29" t="s">
        <v>4</v>
      </c>
      <c r="D120" s="30" t="s">
        <v>5</v>
      </c>
    </row>
    <row r="121" spans="1:4" x14ac:dyDescent="0.35">
      <c r="A121" s="206"/>
      <c r="B121" s="22"/>
      <c r="C121" s="207"/>
      <c r="D121" s="27"/>
    </row>
    <row r="122" spans="1:4" x14ac:dyDescent="0.35">
      <c r="A122" s="25" t="s">
        <v>127</v>
      </c>
      <c r="B122" s="26"/>
      <c r="C122" s="26"/>
      <c r="D122" s="27"/>
    </row>
    <row r="123" spans="1:4" x14ac:dyDescent="0.35">
      <c r="A123" s="31" t="s">
        <v>128</v>
      </c>
      <c r="B123" s="26"/>
      <c r="C123" s="26"/>
      <c r="D123" s="27"/>
    </row>
    <row r="124" spans="1:4" x14ac:dyDescent="0.35">
      <c r="A124" s="28" t="s">
        <v>2</v>
      </c>
      <c r="B124" s="29" t="s">
        <v>3</v>
      </c>
      <c r="C124" s="29" t="s">
        <v>4</v>
      </c>
      <c r="D124" s="30" t="s">
        <v>5</v>
      </c>
    </row>
    <row r="125" spans="1:4" x14ac:dyDescent="0.35">
      <c r="A125" s="206"/>
      <c r="B125" s="22"/>
      <c r="C125" s="23"/>
      <c r="D125" s="27"/>
    </row>
    <row r="126" spans="1:4" x14ac:dyDescent="0.35">
      <c r="A126" s="25"/>
      <c r="B126" s="26"/>
      <c r="C126" s="26"/>
      <c r="D126" s="27"/>
    </row>
    <row r="127" spans="1:4" x14ac:dyDescent="0.35">
      <c r="A127" s="32" t="s">
        <v>129</v>
      </c>
      <c r="B127" s="208"/>
      <c r="C127" s="32" t="s">
        <v>130</v>
      </c>
      <c r="D127" s="209">
        <f>IF(B127="","",EDATE(B127,12))</f>
      </c>
    </row>
    <row r="129" spans="2:28" x14ac:dyDescent="0.35">
      <c r="B129" s="33"/>
    </row>
    <row r="135" spans="2:28" ht="30" customHeight="1" x14ac:dyDescent="0.35">
      <c r="F135" s="279" t="s">
        <v>439</v>
      </c>
      <c r="G135" s="279"/>
      <c r="H135" s="279"/>
      <c r="I135" s="279"/>
      <c r="J135" s="279"/>
      <c r="K135" s="279"/>
      <c r="L135" s="279"/>
      <c r="M135" s="279"/>
      <c r="N135" s="279"/>
      <c r="O135" s="279"/>
      <c r="P135" s="279"/>
      <c r="Q135" s="279"/>
      <c r="R135" s="279"/>
      <c r="S135" s="279"/>
      <c r="T135" s="279"/>
      <c r="U135" s="279"/>
      <c r="V135" s="279"/>
      <c r="W135" s="279"/>
      <c r="X135" s="279"/>
      <c r="Y135" s="279"/>
    </row>
    <row r="137" spans="2:28" x14ac:dyDescent="0.35">
      <c r="F137" s="280" t="s">
        <v>380</v>
      </c>
      <c r="G137" s="280" t="s">
        <v>381</v>
      </c>
      <c r="H137" s="280" t="s">
        <v>373</v>
      </c>
      <c r="I137" s="280" t="s">
        <v>382</v>
      </c>
      <c r="J137" s="280" t="s">
        <v>383</v>
      </c>
      <c r="K137" s="280" t="s">
        <v>384</v>
      </c>
      <c r="L137" s="280" t="s">
        <v>1</v>
      </c>
      <c r="M137" s="280" t="s">
        <v>282</v>
      </c>
      <c r="N137" s="280" t="s">
        <v>385</v>
      </c>
      <c r="O137" s="280" t="s">
        <v>386</v>
      </c>
      <c r="P137" s="280" t="s">
        <v>387</v>
      </c>
      <c r="Q137" s="280" t="s">
        <v>388</v>
      </c>
      <c r="R137" s="280" t="s">
        <v>389</v>
      </c>
      <c r="S137" s="280" t="s">
        <v>76</v>
      </c>
      <c r="T137" s="280" t="s">
        <v>390</v>
      </c>
      <c r="U137" s="280" t="s">
        <v>391</v>
      </c>
      <c r="V137" s="280" t="s">
        <v>440</v>
      </c>
      <c r="W137" s="280"/>
      <c r="X137" s="280" t="s">
        <v>392</v>
      </c>
      <c r="Y137" s="280" t="s">
        <v>393</v>
      </c>
      <c r="AA137" t="s">
        <v>447</v>
      </c>
      <c r="AB137" t="s">
        <v>448</v>
      </c>
    </row>
    <row r="138" spans="2:28" x14ac:dyDescent="0.35">
      <c r="F138" t="s">
        <v>394</v>
      </c>
      <c r="G138" t="s">
        <v>394</v>
      </c>
      <c r="H138">
        <v>1</v>
      </c>
      <c r="I138" t="s">
        <v>205</v>
      </c>
      <c r="J138" t="s">
        <v>394</v>
      </c>
      <c r="K138" t="s">
        <v>395</v>
      </c>
      <c r="L138" t="s">
        <v>372</v>
      </c>
      <c r="M138" t="s">
        <v>396</v>
      </c>
      <c r="N138" t="s">
        <v>397</v>
      </c>
      <c r="O138" t="s">
        <v>398</v>
      </c>
      <c r="P138" t="s">
        <v>374</v>
      </c>
      <c r="Q138" t="s">
        <v>394</v>
      </c>
      <c r="R138" t="s">
        <v>205</v>
      </c>
      <c r="S138" t="s">
        <v>399</v>
      </c>
      <c r="T138">
        <f>IFERROR(INDEX('04. Products &amp; Services'!$C$5:$C$49,MATCH(ROW()-137,'04. Products &amp; Services'!$P$5:$P$49,0)),"")</f>
      </c>
      <c r="U138">
        <f>IFERROR(INDEX('04. Products &amp; Services'!$D$5:$D$49,MATCH(ROW()-137,'04. Products &amp; Services'!$Q$5:$Q$49,0)),"")</f>
      </c>
      <c r="V138" t="s">
        <v>400</v>
      </c>
      <c r="X138">
        <v>6</v>
      </c>
      <c r="Y138" t="s">
        <v>401</v>
      </c>
      <c r="AA138" t="s">
        <v>449</v>
      </c>
      <c r="AB138" s="286">
        <v>1</v>
      </c>
    </row>
    <row r="139" spans="2:28" x14ac:dyDescent="0.35">
      <c r="F139" t="s">
        <v>402</v>
      </c>
      <c r="G139" t="s">
        <v>403</v>
      </c>
      <c r="H139">
        <v>2</v>
      </c>
      <c r="I139" t="s">
        <v>160</v>
      </c>
      <c r="J139" t="s">
        <v>402</v>
      </c>
      <c r="K139" t="s">
        <v>404</v>
      </c>
      <c r="L139" t="s">
        <v>405</v>
      </c>
      <c r="M139" t="s">
        <v>406</v>
      </c>
      <c r="N139" t="s">
        <v>407</v>
      </c>
      <c r="O139" t="s">
        <v>408</v>
      </c>
      <c r="P139" t="s">
        <v>375</v>
      </c>
      <c r="Q139" t="s">
        <v>402</v>
      </c>
      <c r="R139" t="s">
        <v>160</v>
      </c>
      <c r="S139" t="s">
        <v>376</v>
      </c>
      <c r="T139">
        <f>IFERROR(INDEX('04. Products &amp; Services'!$C$5:$C$49,MATCH(ROW()-137,'04. Products &amp; Services'!$P$5:$P$49,0)),"")</f>
      </c>
      <c r="U139">
        <f>IFERROR(INDEX('04. Products &amp; Services'!$D$5:$D$49,MATCH(ROW()-137,'04. Products &amp; Services'!$Q$5:$Q$49,0)),"")</f>
      </c>
      <c r="V139" t="s">
        <v>403</v>
      </c>
      <c r="X139">
        <v>18</v>
      </c>
      <c r="Y139" t="s">
        <v>409</v>
      </c>
      <c r="AA139" t="s">
        <v>450</v>
      </c>
      <c r="AB139" s="286">
        <v>24</v>
      </c>
    </row>
    <row r="140" spans="2:28" x14ac:dyDescent="0.35">
      <c r="G140" t="s">
        <v>402</v>
      </c>
      <c r="H140">
        <v>3</v>
      </c>
      <c r="I140" t="s">
        <v>206</v>
      </c>
      <c r="J140" t="s">
        <v>410</v>
      </c>
      <c r="K140" t="s">
        <v>411</v>
      </c>
      <c r="L140" t="s">
        <v>370</v>
      </c>
      <c r="M140" t="s">
        <v>412</v>
      </c>
      <c r="N140" t="s">
        <v>413</v>
      </c>
      <c r="O140" t="s">
        <v>414</v>
      </c>
      <c r="P140" t="s">
        <v>376</v>
      </c>
      <c r="R140" t="s">
        <v>207</v>
      </c>
      <c r="S140" t="s">
        <v>379</v>
      </c>
      <c r="T140">
        <f>IFERROR(INDEX('04. Products &amp; Services'!$C$5:$C$49,MATCH(ROW()-137,'04. Products &amp; Services'!$P$5:$P$49,0)),"")</f>
      </c>
      <c r="U140">
        <f>IFERROR(INDEX('04. Products &amp; Services'!$D$5:$D$49,MATCH(ROW()-137,'04. Products &amp; Services'!$Q$5:$Q$49,0)),"")</f>
      </c>
      <c r="V140" t="s">
        <v>415</v>
      </c>
      <c r="X140">
        <v>36</v>
      </c>
      <c r="Y140" t="s">
        <v>416</v>
      </c>
      <c r="AA140" t="s">
        <v>451</v>
      </c>
      <c r="AB140" s="286">
        <v>168</v>
      </c>
    </row>
    <row r="141" spans="2:28" x14ac:dyDescent="0.35">
      <c r="H141">
        <v>4</v>
      </c>
      <c r="I141" t="s">
        <v>207</v>
      </c>
      <c r="K141" t="s">
        <v>417</v>
      </c>
      <c r="L141" t="s">
        <v>418</v>
      </c>
      <c r="M141" t="s">
        <v>419</v>
      </c>
      <c r="O141" t="s">
        <v>420</v>
      </c>
      <c r="P141" t="s">
        <v>377</v>
      </c>
      <c r="R141" t="s">
        <v>284</v>
      </c>
      <c r="T141">
        <f>IFERROR(INDEX('04. Products &amp; Services'!$C$5:$C$49,MATCH(ROW()-137,'04. Products &amp; Services'!$P$5:$P$49,0)),"")</f>
      </c>
      <c r="U141">
        <f>IFERROR(INDEX('04. Products &amp; Services'!$D$5:$D$49,MATCH(ROW()-137,'04. Products &amp; Services'!$Q$5:$Q$49,0)),"")</f>
      </c>
      <c r="V141" t="s">
        <v>421</v>
      </c>
      <c r="X141">
        <v>72</v>
      </c>
      <c r="Y141" t="s">
        <v>422</v>
      </c>
      <c r="AA141" t="s">
        <v>452</v>
      </c>
      <c r="AB141" s="286">
        <v>730.5</v>
      </c>
    </row>
    <row r="142" spans="2:28" x14ac:dyDescent="0.35">
      <c r="H142">
        <v>5</v>
      </c>
      <c r="I142" t="s">
        <v>161</v>
      </c>
      <c r="M142" t="s">
        <v>423</v>
      </c>
      <c r="O142" t="s">
        <v>424</v>
      </c>
      <c r="P142" t="s">
        <v>378</v>
      </c>
      <c r="R142" t="s">
        <v>161</v>
      </c>
      <c r="T142">
        <f>IFERROR(INDEX('04. Products &amp; Services'!$C$5:$C$49,MATCH(ROW()-137,'04. Products &amp; Services'!$P$5:$P$49,0)),"")</f>
      </c>
      <c r="U142">
        <f>IFERROR(INDEX('04. Products &amp; Services'!$D$5:$D$49,MATCH(ROW()-137,'04. Products &amp; Services'!$Q$5:$Q$49,0)),"")</f>
      </c>
      <c r="X142">
        <v>168</v>
      </c>
      <c r="Y142" t="s">
        <v>425</v>
      </c>
    </row>
    <row r="143" spans="2:28" x14ac:dyDescent="0.35">
      <c r="H143" t="s">
        <v>426</v>
      </c>
      <c r="I143" t="s">
        <v>208</v>
      </c>
      <c r="M143" t="s">
        <v>427</v>
      </c>
      <c r="O143" t="s">
        <v>428</v>
      </c>
      <c r="R143" t="s">
        <v>285</v>
      </c>
      <c r="T143">
        <f>IFERROR(INDEX('04. Products &amp; Services'!$C$5:$C$49,MATCH(ROW()-137,'04. Products &amp; Services'!$P$5:$P$49,0)),"")</f>
      </c>
      <c r="U143">
        <f>IFERROR(INDEX('04. Products &amp; Services'!$D$5:$D$49,MATCH(ROW()-137,'04. Products &amp; Services'!$Q$5:$Q$49,0)),"")</f>
      </c>
      <c r="X143">
        <v>336</v>
      </c>
      <c r="Y143" t="s">
        <v>429</v>
      </c>
    </row>
    <row r="144" spans="2:28" x14ac:dyDescent="0.35">
      <c r="I144" t="s">
        <v>209</v>
      </c>
      <c r="M144" t="s">
        <v>430</v>
      </c>
      <c r="T144">
        <f>IFERROR(INDEX('04. Products &amp; Services'!$C$5:$C$49,MATCH(ROW()-137,'04. Products &amp; Services'!$P$5:$P$49,0)),"")</f>
      </c>
      <c r="U144">
        <f>IFERROR(INDEX('04. Products &amp; Services'!$D$5:$D$49,MATCH(ROW()-137,'04. Products &amp; Services'!$Q$5:$Q$49,0)),"")</f>
      </c>
      <c r="X144">
        <v>504</v>
      </c>
      <c r="Y144" t="s">
        <v>431</v>
      </c>
    </row>
    <row r="145" spans="15:25" x14ac:dyDescent="0.35">
      <c r="O145" t="s">
        <v>434</v>
      </c>
      <c r="T145">
        <f>IFERROR(INDEX('04. Products &amp; Services'!$C$5:$C$49,MATCH(ROW()-137,'04. Products &amp; Services'!$P$5:$P$49,0)),"")</f>
      </c>
      <c r="U145">
        <f>IFERROR(INDEX('04. Products &amp; Services'!$D$5:$D$49,MATCH(ROW()-137,'04. Products &amp; Services'!$Q$5:$Q$49,0)),"")</f>
      </c>
      <c r="X145">
        <v>672</v>
      </c>
      <c r="Y145" t="s">
        <v>432</v>
      </c>
    </row>
    <row r="146" spans="15:25" x14ac:dyDescent="0.35">
      <c r="T146">
        <f>IFERROR(INDEX('04. Products &amp; Services'!$C$5:$C$49,MATCH(ROW()-137,'04. Products &amp; Services'!$P$5:$P$49,0)),"")</f>
      </c>
      <c r="U146">
        <f>IFERROR(INDEX('04. Products &amp; Services'!$D$5:$D$49,MATCH(ROW()-137,'04. Products &amp; Services'!$Q$5:$Q$49,0)),"")</f>
      </c>
      <c r="X146">
        <v>99999</v>
      </c>
      <c r="Y146" t="s">
        <v>433</v>
      </c>
    </row>
    <row r="147" spans="15:25" x14ac:dyDescent="0.35">
      <c r="O147" t="s">
        <v>434</v>
      </c>
      <c r="T147">
        <f>IFERROR(INDEX('04. Products &amp; Services'!$C$5:$C$49,MATCH(ROW()-137,'04. Products &amp; Services'!$P$5:$P$49,0)),"")</f>
      </c>
      <c r="U147">
        <f>IFERROR(INDEX('04. Products &amp; Services'!$D$5:$D$49,MATCH(ROW()-137,'04. Products &amp; Services'!$Q$5:$Q$49,0)),"")</f>
      </c>
    </row>
    <row r="148" spans="15:25" x14ac:dyDescent="0.35">
      <c r="T148">
        <f>IFERROR(INDEX('04. Products &amp; Services'!$C$5:$C$49,MATCH(ROW()-137,'04. Products &amp; Services'!$P$5:$P$49,0)),"")</f>
      </c>
      <c r="U148">
        <f>IFERROR(INDEX('04. Products &amp; Services'!$D$5:$D$49,MATCH(ROW()-137,'04. Products &amp; Services'!$Q$5:$Q$49,0)),"")</f>
      </c>
    </row>
    <row r="149" spans="15:25" x14ac:dyDescent="0.35">
      <c r="T149">
        <f>IFERROR(INDEX('04. Products &amp; Services'!$C$5:$C$49,MATCH(ROW()-137,'04. Products &amp; Services'!$P$5:$P$49,0)),"")</f>
      </c>
      <c r="U149">
        <f>IFERROR(INDEX('04. Products &amp; Services'!$D$5:$D$49,MATCH(ROW()-137,'04. Products &amp; Services'!$Q$5:$Q$49,0)),"")</f>
      </c>
    </row>
    <row r="150" spans="15:25" x14ac:dyDescent="0.35">
      <c r="T150">
        <f>IFERROR(INDEX('04. Products &amp; Services'!$C$5:$C$49,MATCH(ROW()-137,'04. Products &amp; Services'!$P$5:$P$49,0)),"")</f>
      </c>
      <c r="U150">
        <f>IFERROR(INDEX('04. Products &amp; Services'!$D$5:$D$49,MATCH(ROW()-137,'04. Products &amp; Services'!$Q$5:$Q$49,0)),"")</f>
      </c>
    </row>
    <row r="151" spans="15:25" x14ac:dyDescent="0.35">
      <c r="T151">
        <f>IFERROR(INDEX('04. Products &amp; Services'!$C$5:$C$49,MATCH(ROW()-137,'04. Products &amp; Services'!$P$5:$P$49,0)),"")</f>
      </c>
      <c r="U151">
        <f>IFERROR(INDEX('04. Products &amp; Services'!$D$5:$D$49,MATCH(ROW()-137,'04. Products &amp; Services'!$Q$5:$Q$49,0)),"")</f>
      </c>
    </row>
    <row r="152" spans="15:25" x14ac:dyDescent="0.35">
      <c r="T152">
        <f>IFERROR(INDEX('04. Products &amp; Services'!$C$5:$C$49,MATCH(ROW()-137,'04. Products &amp; Services'!$P$5:$P$49,0)),"")</f>
      </c>
      <c r="U152">
        <f>IFERROR(INDEX('04. Products &amp; Services'!$D$5:$D$49,MATCH(ROW()-137,'04. Products &amp; Services'!$Q$5:$Q$49,0)),"")</f>
      </c>
    </row>
    <row r="153" spans="15:25" x14ac:dyDescent="0.35">
      <c r="T153">
        <f>IFERROR(INDEX('04. Products &amp; Services'!$C$5:$C$49,MATCH(ROW()-137,'04. Products &amp; Services'!$P$5:$P$49,0)),"")</f>
      </c>
      <c r="U153">
        <f>IFERROR(INDEX('04. Products &amp; Services'!$D$5:$D$49,MATCH(ROW()-137,'04. Products &amp; Services'!$Q$5:$Q$49,0)),"")</f>
      </c>
    </row>
    <row r="154" spans="15:25" x14ac:dyDescent="0.35">
      <c r="T154">
        <f>IFERROR(INDEX('04. Products &amp; Services'!$C$5:$C$49,MATCH(ROW()-137,'04. Products &amp; Services'!$P$5:$P$49,0)),"")</f>
      </c>
      <c r="U154">
        <f>IFERROR(INDEX('04. Products &amp; Services'!$D$5:$D$49,MATCH(ROW()-137,'04. Products &amp; Services'!$Q$5:$Q$49,0)),"")</f>
      </c>
    </row>
    <row r="155" spans="15:25" x14ac:dyDescent="0.35">
      <c r="T155">
        <f>IFERROR(INDEX('04. Products &amp; Services'!$C$5:$C$49,MATCH(ROW()-137,'04. Products &amp; Services'!$P$5:$P$49,0)),"")</f>
      </c>
      <c r="U155">
        <f>IFERROR(INDEX('04. Products &amp; Services'!$D$5:$D$49,MATCH(ROW()-137,'04. Products &amp; Services'!$Q$5:$Q$49,0)),"")</f>
      </c>
    </row>
    <row r="156" spans="15:25" x14ac:dyDescent="0.35">
      <c r="T156">
        <f>IFERROR(INDEX('04. Products &amp; Services'!$C$5:$C$49,MATCH(ROW()-137,'04. Products &amp; Services'!$P$5:$P$49,0)),"")</f>
      </c>
      <c r="U156">
        <f>IFERROR(INDEX('04. Products &amp; Services'!$D$5:$D$49,MATCH(ROW()-137,'04. Products &amp; Services'!$Q$5:$Q$49,0)),"")</f>
      </c>
    </row>
    <row r="157" spans="15:25" x14ac:dyDescent="0.35">
      <c r="T157">
        <f>IFERROR(INDEX('04. Products &amp; Services'!$C$5:$C$49,MATCH(ROW()-137,'04. Products &amp; Services'!$P$5:$P$49,0)),"")</f>
      </c>
      <c r="U157">
        <f>IFERROR(INDEX('04. Products &amp; Services'!$D$5:$D$49,MATCH(ROW()-137,'04. Products &amp; Services'!$Q$5:$Q$49,0)),"")</f>
      </c>
    </row>
    <row r="158" spans="15:25" x14ac:dyDescent="0.35">
      <c r="T158">
        <f>IFERROR(INDEX('04. Products &amp; Services'!$C$5:$C$49,MATCH(ROW()-137,'04. Products &amp; Services'!$P$5:$P$49,0)),"")</f>
      </c>
      <c r="U158">
        <f>IFERROR(INDEX('04. Products &amp; Services'!$D$5:$D$49,MATCH(ROW()-137,'04. Products &amp; Services'!$Q$5:$Q$49,0)),"")</f>
      </c>
    </row>
    <row r="159" spans="15:25" x14ac:dyDescent="0.35">
      <c r="T159">
        <f>IFERROR(INDEX('04. Products &amp; Services'!$C$5:$C$49,MATCH(ROW()-137,'04. Products &amp; Services'!$P$5:$P$49,0)),"")</f>
      </c>
      <c r="U159">
        <f>IFERROR(INDEX('04. Products &amp; Services'!$D$5:$D$49,MATCH(ROW()-137,'04. Products &amp; Services'!$Q$5:$Q$49,0)),"")</f>
      </c>
    </row>
    <row r="160" spans="15:25" x14ac:dyDescent="0.35">
      <c r="T160">
        <f>IFERROR(INDEX('04. Products &amp; Services'!$C$5:$C$49,MATCH(ROW()-137,'04. Products &amp; Services'!$P$5:$P$49,0)),"")</f>
      </c>
      <c r="U160">
        <f>IFERROR(INDEX('04. Products &amp; Services'!$D$5:$D$49,MATCH(ROW()-137,'04. Products &amp; Services'!$Q$5:$Q$49,0)),"")</f>
      </c>
    </row>
    <row r="161" spans="20:21" x14ac:dyDescent="0.35">
      <c r="T161">
        <f>IFERROR(INDEX('04. Products &amp; Services'!$C$5:$C$49,MATCH(ROW()-137,'04. Products &amp; Services'!$P$5:$P$49,0)),"")</f>
      </c>
      <c r="U161">
        <f>IFERROR(INDEX('04. Products &amp; Services'!$D$5:$D$49,MATCH(ROW()-137,'04. Products &amp; Services'!$Q$5:$Q$49,0)),"")</f>
      </c>
    </row>
    <row r="162" spans="20:21" x14ac:dyDescent="0.35">
      <c r="T162">
        <f>IFERROR(INDEX('04. Products &amp; Services'!$C$5:$C$49,MATCH(ROW()-137,'04. Products &amp; Services'!$P$5:$P$49,0)),"")</f>
      </c>
      <c r="U162">
        <f>IFERROR(INDEX('04. Products &amp; Services'!$D$5:$D$49,MATCH(ROW()-137,'04. Products &amp; Services'!$Q$5:$Q$49,0)),"")</f>
      </c>
    </row>
    <row r="163" spans="20:21" x14ac:dyDescent="0.35">
      <c r="T163">
        <f>IFERROR(INDEX('04. Products &amp; Services'!$C$5:$C$49,MATCH(ROW()-137,'04. Products &amp; Services'!$P$5:$P$49,0)),"")</f>
      </c>
      <c r="U163">
        <f>IFERROR(INDEX('04. Products &amp; Services'!$D$5:$D$49,MATCH(ROW()-137,'04. Products &amp; Services'!$Q$5:$Q$49,0)),"")</f>
      </c>
    </row>
    <row r="164" spans="20:21" x14ac:dyDescent="0.35">
      <c r="T164">
        <f>IFERROR(INDEX('04. Products &amp; Services'!$C$5:$C$49,MATCH(ROW()-137,'04. Products &amp; Services'!$P$5:$P$49,0)),"")</f>
      </c>
      <c r="U164">
        <f>IFERROR(INDEX('04. Products &amp; Services'!$D$5:$D$49,MATCH(ROW()-137,'04. Products &amp; Services'!$Q$5:$Q$49,0)),"")</f>
      </c>
    </row>
    <row r="165" spans="20:21" x14ac:dyDescent="0.35">
      <c r="T165">
        <f>IFERROR(INDEX('04. Products &amp; Services'!$C$5:$C$49,MATCH(ROW()-137,'04. Products &amp; Services'!$P$5:$P$49,0)),"")</f>
      </c>
      <c r="U165">
        <f>IFERROR(INDEX('04. Products &amp; Services'!$D$5:$D$49,MATCH(ROW()-137,'04. Products &amp; Services'!$Q$5:$Q$49,0)),"")</f>
      </c>
    </row>
    <row r="166" spans="20:21" x14ac:dyDescent="0.35">
      <c r="T166">
        <f>IFERROR(INDEX('04. Products &amp; Services'!$C$5:$C$49,MATCH(ROW()-137,'04. Products &amp; Services'!$P$5:$P$49,0)),"")</f>
      </c>
      <c r="U166">
        <f>IFERROR(INDEX('04. Products &amp; Services'!$D$5:$D$49,MATCH(ROW()-137,'04. Products &amp; Services'!$Q$5:$Q$49,0)),"")</f>
      </c>
    </row>
    <row r="167" spans="20:21" x14ac:dyDescent="0.35">
      <c r="T167">
        <f>IFERROR(INDEX('04. Products &amp; Services'!$C$5:$C$49,MATCH(ROW()-137,'04. Products &amp; Services'!$P$5:$P$49,0)),"")</f>
      </c>
      <c r="U167">
        <f>IFERROR(INDEX('04. Products &amp; Services'!$D$5:$D$49,MATCH(ROW()-137,'04. Products &amp; Services'!$Q$5:$Q$49,0)),"")</f>
      </c>
    </row>
    <row r="168" spans="20:21" x14ac:dyDescent="0.35">
      <c r="T168">
        <f>IFERROR(INDEX('04. Products &amp; Services'!$C$5:$C$49,MATCH(ROW()-137,'04. Products &amp; Services'!$P$5:$P$49,0)),"")</f>
      </c>
      <c r="U168">
        <f>IFERROR(INDEX('04. Products &amp; Services'!$D$5:$D$49,MATCH(ROW()-137,'04. Products &amp; Services'!$Q$5:$Q$49,0)),"")</f>
      </c>
    </row>
    <row r="169" spans="20:21" x14ac:dyDescent="0.35">
      <c r="T169">
        <f>IFERROR(INDEX('04. Products &amp; Services'!$C$5:$C$49,MATCH(ROW()-137,'04. Products &amp; Services'!$P$5:$P$49,0)),"")</f>
      </c>
      <c r="U169">
        <f>IFERROR(INDEX('04. Products &amp; Services'!$D$5:$D$49,MATCH(ROW()-137,'04. Products &amp; Services'!$Q$5:$Q$49,0)),"")</f>
      </c>
    </row>
    <row r="170" spans="20:21" x14ac:dyDescent="0.35">
      <c r="T170">
        <f>IFERROR(INDEX('04. Products &amp; Services'!$C$5:$C$49,MATCH(ROW()-137,'04. Products &amp; Services'!$P$5:$P$49,0)),"")</f>
      </c>
      <c r="U170">
        <f>IFERROR(INDEX('04. Products &amp; Services'!$D$5:$D$49,MATCH(ROW()-137,'04. Products &amp; Services'!$Q$5:$Q$49,0)),"")</f>
      </c>
    </row>
    <row r="171" spans="20:21" x14ac:dyDescent="0.35">
      <c r="T171">
        <f>IFERROR(INDEX('04. Products &amp; Services'!$C$5:$C$49,MATCH(ROW()-137,'04. Products &amp; Services'!$P$5:$P$49,0)),"")</f>
      </c>
      <c r="U171">
        <f>IFERROR(INDEX('04. Products &amp; Services'!$D$5:$D$49,MATCH(ROW()-137,'04. Products &amp; Services'!$Q$5:$Q$49,0)),"")</f>
      </c>
    </row>
    <row r="172" spans="20:21" x14ac:dyDescent="0.35">
      <c r="T172">
        <f>IFERROR(INDEX('04. Products &amp; Services'!$C$5:$C$49,MATCH(ROW()-137,'04. Products &amp; Services'!$P$5:$P$49,0)),"")</f>
      </c>
      <c r="U172">
        <f>IFERROR(INDEX('04. Products &amp; Services'!$D$5:$D$49,MATCH(ROW()-137,'04. Products &amp; Services'!$Q$5:$Q$49,0)),"")</f>
      </c>
    </row>
    <row r="173" spans="20:21" x14ac:dyDescent="0.35">
      <c r="T173">
        <f>IFERROR(INDEX('04. Products &amp; Services'!$C$5:$C$49,MATCH(ROW()-137,'04. Products &amp; Services'!$P$5:$P$49,0)),"")</f>
      </c>
      <c r="U173">
        <f>IFERROR(INDEX('04. Products &amp; Services'!$D$5:$D$49,MATCH(ROW()-137,'04. Products &amp; Services'!$Q$5:$Q$49,0)),"")</f>
      </c>
    </row>
    <row r="174" spans="20:21" x14ac:dyDescent="0.35">
      <c r="T174">
        <f>IFERROR(INDEX('04. Products &amp; Services'!$C$5:$C$49,MATCH(ROW()-137,'04. Products &amp; Services'!$P$5:$P$49,0)),"")</f>
      </c>
      <c r="U174">
        <f>IFERROR(INDEX('04. Products &amp; Services'!$D$5:$D$49,MATCH(ROW()-137,'04. Products &amp; Services'!$Q$5:$Q$49,0)),"")</f>
      </c>
    </row>
    <row r="175" spans="20:21" x14ac:dyDescent="0.35">
      <c r="T175">
        <f>IFERROR(INDEX('04. Products &amp; Services'!$C$5:$C$49,MATCH(ROW()-137,'04. Products &amp; Services'!$P$5:$P$49,0)),"")</f>
      </c>
      <c r="U175">
        <f>IFERROR(INDEX('04. Products &amp; Services'!$D$5:$D$49,MATCH(ROW()-137,'04. Products &amp; Services'!$Q$5:$Q$49,0)),"")</f>
      </c>
    </row>
    <row r="176" spans="20:21" x14ac:dyDescent="0.35">
      <c r="T176">
        <f>IFERROR(INDEX('04. Products &amp; Services'!$C$5:$C$49,MATCH(ROW()-137,'04. Products &amp; Services'!$P$5:$P$49,0)),"")</f>
      </c>
      <c r="U176">
        <f>IFERROR(INDEX('04. Products &amp; Services'!$D$5:$D$49,MATCH(ROW()-137,'04. Products &amp; Services'!$Q$5:$Q$49,0)),"")</f>
      </c>
    </row>
    <row r="177" spans="20:21" x14ac:dyDescent="0.35">
      <c r="T177">
        <f>IFERROR(INDEX('04. Products &amp; Services'!$C$5:$C$49,MATCH(ROW()-137,'04. Products &amp; Services'!$P$5:$P$49,0)),"")</f>
      </c>
      <c r="U177">
        <f>IFERROR(INDEX('04. Products &amp; Services'!$D$5:$D$49,MATCH(ROW()-137,'04. Products &amp; Services'!$Q$5:$Q$49,0)),"")</f>
      </c>
    </row>
    <row r="178" spans="20:21" x14ac:dyDescent="0.35">
      <c r="T178">
        <f>IFERROR(INDEX('04. Products &amp; Services'!$C$5:$C$49,MATCH(ROW()-137,'04. Products &amp; Services'!$P$5:$P$49,0)),"")</f>
      </c>
      <c r="U178">
        <f>IFERROR(INDEX('04. Products &amp; Services'!$D$5:$D$49,MATCH(ROW()-137,'04. Products &amp; Services'!$Q$5:$Q$49,0)),"")</f>
      </c>
    </row>
    <row r="179" spans="20:21" x14ac:dyDescent="0.35">
      <c r="T179">
        <f>IFERROR(INDEX('04. Products &amp; Services'!$C$5:$C$49,MATCH(ROW()-137,'04. Products &amp; Services'!$P$5:$P$49,0)),"")</f>
      </c>
      <c r="U179">
        <f>IFERROR(INDEX('04. Products &amp; Services'!$D$5:$D$49,MATCH(ROW()-137,'04. Products &amp; Services'!$Q$5:$Q$49,0)),"")</f>
      </c>
    </row>
    <row r="180" spans="20:21" x14ac:dyDescent="0.35">
      <c r="T180">
        <f>IFERROR(INDEX('04. Products &amp; Services'!$C$5:$C$49,MATCH(ROW()-137,'04. Products &amp; Services'!$P$5:$P$49,0)),"")</f>
      </c>
      <c r="U180">
        <f>IFERROR(INDEX('04. Products &amp; Services'!$D$5:$D$49,MATCH(ROW()-137,'04. Products &amp; Services'!$Q$5:$Q$49,0)),"")</f>
      </c>
    </row>
    <row r="181" spans="20:21" x14ac:dyDescent="0.35">
      <c r="T181">
        <f>IFERROR(INDEX('04. Products &amp; Services'!$C$5:$C$49,MATCH(ROW()-137,'04. Products &amp; Services'!$P$5:$P$49,0)),"")</f>
      </c>
      <c r="U181">
        <f>IFERROR(INDEX('04. Products &amp; Services'!$D$5:$D$49,MATCH(ROW()-137,'04. Products &amp; Services'!$Q$5:$Q$49,0)),"")</f>
      </c>
    </row>
    <row r="182" spans="20:21" x14ac:dyDescent="0.35">
      <c r="T182">
        <f>IFERROR(INDEX('04. Products &amp; Services'!$C$5:$C$49,MATCH(ROW()-137,'04. Products &amp; Services'!$P$5:$P$49,0)),"")</f>
      </c>
      <c r="U182">
        <f>IFERROR(INDEX('04. Products &amp; Services'!$D$5:$D$49,MATCH(ROW()-137,'04. Products &amp; Services'!$Q$5:$Q$49,0)),"")</f>
      </c>
    </row>
  </sheetData>
  <mergeCells count="63">
    <mergeCell ref="F135:Y135"/>
    <mergeCell ref="B54:D54"/>
    <mergeCell ref="A48:D48"/>
    <mergeCell ref="A114:D114"/>
    <mergeCell ref="B49:D49"/>
    <mergeCell ref="B50:D50"/>
    <mergeCell ref="B51:D51"/>
    <mergeCell ref="B95:D95"/>
    <mergeCell ref="B94:D94"/>
    <mergeCell ref="A56:D56"/>
    <mergeCell ref="A70:D70"/>
    <mergeCell ref="B92:D92"/>
    <mergeCell ref="B93:D93"/>
    <mergeCell ref="A103:D103"/>
    <mergeCell ref="B100:D100"/>
    <mergeCell ref="B99:D99"/>
    <mergeCell ref="B97:D97"/>
    <mergeCell ref="B35:D35"/>
    <mergeCell ref="B45:D45"/>
    <mergeCell ref="A91:D91"/>
    <mergeCell ref="B75:D75"/>
    <mergeCell ref="B43:D43"/>
    <mergeCell ref="B73:D73"/>
    <mergeCell ref="B74:D74"/>
    <mergeCell ref="B44:D44"/>
    <mergeCell ref="B71:D71"/>
    <mergeCell ref="B40:D40"/>
    <mergeCell ref="B42:D42"/>
    <mergeCell ref="B38:D38"/>
    <mergeCell ref="A37:D37"/>
    <mergeCell ref="B39:D39"/>
    <mergeCell ref="B52:D52"/>
    <mergeCell ref="B53:D53"/>
    <mergeCell ref="B101:D101"/>
    <mergeCell ref="B98:D98"/>
    <mergeCell ref="B96:D96"/>
    <mergeCell ref="A1:D1"/>
    <mergeCell ref="B5:D5"/>
    <mergeCell ref="B34:D34"/>
    <mergeCell ref="A78:D78"/>
    <mergeCell ref="B41:D41"/>
    <mergeCell ref="B33:D33"/>
    <mergeCell ref="B46:D46"/>
    <mergeCell ref="A16:D16"/>
    <mergeCell ref="B76:D76"/>
    <mergeCell ref="B7:D7"/>
    <mergeCell ref="B8:D8"/>
    <mergeCell ref="B9:D9"/>
    <mergeCell ref="B72:D72"/>
    <mergeCell ref="B11:D11"/>
    <mergeCell ref="A2:D2"/>
    <mergeCell ref="A4:D4"/>
    <mergeCell ref="B32:D32"/>
    <mergeCell ref="B31:D31"/>
    <mergeCell ref="B6:D6"/>
    <mergeCell ref="B12:D12"/>
    <mergeCell ref="B13:D13"/>
    <mergeCell ref="B14:D14"/>
    <mergeCell ref="B10:D10"/>
    <mergeCell ref="B28:D28"/>
    <mergeCell ref="A27:D27"/>
    <mergeCell ref="B29:D29"/>
    <mergeCell ref="B30:D30"/>
  </mergeCells>
  <pageMargins left="0.7" right="0.7" top="0.75" bottom="0.75" header="0.511811023622047" footer="0.51180555555555596"/>
  <pageSetup paperSize="9" orientation="portrait" horizontalDpi="300" verticalDpi="300"/>
  <headerFooter>
    <oddFooter>&amp;L&amp;A&amp;RPage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A0E1"/>
  </sheetPr>
  <dimension ref="A1:Q53"/>
  <sheetViews>
    <sheetView showGridLines="0" zoomScaleNormal="100" workbookViewId="0">
      <pane xSplit="5" ySplit="4" topLeftCell="F5" activePane="bottomRight" state="frozen"/>
      <selection pane="topRight" activeCell="H1" sqref="H1"/>
      <selection pane="bottomLeft" activeCell="A6" sqref="A6"/>
      <selection pane="bottomRight" activeCell="A2" sqref="A2:O2"/>
    </sheetView>
  </sheetViews>
  <sheetFormatPr defaultColWidth="8.54296875" defaultRowHeight="14.5" x14ac:dyDescent="0.35"/>
  <cols>
    <col min="1" max="1" width="8.453125" style="18" bestFit="1" customWidth="1"/>
    <col min="2" max="2" width="12" style="18" bestFit="1" customWidth="1"/>
    <col min="3" max="3" width="17.7265625" style="18" bestFit="1" customWidth="1"/>
    <col min="4" max="4" width="18" style="18" bestFit="1" customWidth="1"/>
    <col min="5" max="5" width="21" style="18" bestFit="1" customWidth="1"/>
    <col min="6" max="6" width="17.81640625" style="18" bestFit="1" customWidth="1"/>
    <col min="7" max="7" width="11.1796875" style="18" bestFit="1" customWidth="1"/>
    <col min="8" max="8" width="9.54296875" style="18" bestFit="1" customWidth="1"/>
    <col min="9" max="9" width="18.54296875" style="18" bestFit="1" customWidth="1"/>
    <col min="10" max="10" width="25.453125" style="18" hidden="1" customWidth="1"/>
    <col min="11" max="11" width="32.1796875" style="18" hidden="1" customWidth="1"/>
    <col min="12" max="12" width="31.81640625" style="18" hidden="1" customWidth="1"/>
    <col min="13" max="13" width="27.453125" style="18" hidden="1" customWidth="1"/>
    <col min="14" max="14" width="14.26953125" style="18" hidden="1" customWidth="1"/>
    <col min="15" max="15" width="18.1796875" style="18" hidden="1" customWidth="1"/>
    <col min="16" max="16384" width="8.54296875" style="18"/>
  </cols>
  <sheetData>
    <row r="1" spans="1:17" ht="27.75" customHeight="1" x14ac:dyDescent="0.35">
      <c r="A1" s="236" t="s">
        <v>436</v>
      </c>
      <c r="B1" s="236"/>
      <c r="C1" s="236"/>
      <c r="D1" s="236"/>
      <c r="E1" s="236"/>
      <c r="F1" s="236"/>
      <c r="G1" s="236"/>
      <c r="H1" s="236"/>
      <c r="I1" s="236"/>
      <c r="J1" s="236"/>
      <c r="K1" s="236"/>
      <c r="L1" s="236"/>
      <c r="M1" s="236"/>
      <c r="N1" s="236"/>
      <c r="O1" s="236"/>
    </row>
    <row r="2" spans="1:17" ht="18" customHeight="1" x14ac:dyDescent="0.35">
      <c r="A2" s="237"/>
      <c r="B2" s="237"/>
      <c r="C2" s="237"/>
      <c r="D2" s="237"/>
      <c r="E2" s="237"/>
      <c r="F2" s="237"/>
      <c r="G2" s="237"/>
      <c r="H2" s="237"/>
      <c r="I2" s="237"/>
      <c r="J2" s="237"/>
      <c r="K2" s="237"/>
      <c r="L2" s="237"/>
      <c r="M2" s="237"/>
      <c r="N2" s="237"/>
      <c r="O2" s="237"/>
    </row>
    <row r="3" spans="1:17" x14ac:dyDescent="0.35">
      <c r="A3"/>
      <c r="B3"/>
      <c r="C3"/>
      <c r="D3"/>
      <c r="E3"/>
      <c r="F3"/>
      <c r="G3"/>
      <c r="H3"/>
      <c r="I3"/>
      <c r="J3"/>
      <c r="K3"/>
      <c r="L3"/>
      <c r="M3"/>
      <c r="N3"/>
      <c r="O3"/>
    </row>
    <row r="4" spans="1:17" ht="42" customHeight="1" x14ac:dyDescent="0.35">
      <c r="A4" s="136" t="s">
        <v>131</v>
      </c>
      <c r="B4" s="137" t="s">
        <v>132</v>
      </c>
      <c r="C4" s="137" t="s">
        <v>133</v>
      </c>
      <c r="D4" s="137" t="s">
        <v>134</v>
      </c>
      <c r="E4" s="137" t="s">
        <v>135</v>
      </c>
      <c r="F4" s="137" t="s">
        <v>136</v>
      </c>
      <c r="G4" s="137" t="s">
        <v>99</v>
      </c>
      <c r="H4" s="137" t="s">
        <v>137</v>
      </c>
      <c r="I4" s="137" t="s">
        <v>138</v>
      </c>
      <c r="J4" s="137" t="s">
        <v>139</v>
      </c>
      <c r="K4" s="137" t="s">
        <v>140</v>
      </c>
      <c r="L4" s="137" t="s">
        <v>141</v>
      </c>
      <c r="M4" s="137" t="s">
        <v>142</v>
      </c>
      <c r="N4" s="137" t="s">
        <v>143</v>
      </c>
      <c r="O4" s="138" t="s">
        <v>144</v>
      </c>
      <c r="P4" s="284" t="s">
        <v>445</v>
      </c>
      <c r="Q4" s="284" t="s">
        <v>446</v>
      </c>
    </row>
    <row r="5" spans="1:17" ht="21.75" customHeight="1" x14ac:dyDescent="0.35">
      <c r="A5" s="135">
        <v>1</v>
      </c>
      <c r="B5" s="4">
        <f t="shared" ref="B5:B49" si="0">IF($E5="","","PS-"&amp;TEXT($A5,"000"))</f>
      </c>
      <c r="C5" s="19"/>
      <c r="D5" s="19"/>
      <c r="E5" s="19"/>
      <c r="F5" s="19"/>
      <c r="G5" s="19"/>
      <c r="H5" s="19"/>
      <c r="I5" s="293"/>
      <c r="J5" s="293"/>
      <c r="K5" s="63"/>
      <c r="L5" s="35"/>
      <c r="M5" s="287">
        <f>IF(L5="","",IF(ISNUMBER(L5),L5,IFERROR(VALUE(LEFT(TRIM(L5),FIND(" ",TRIM(L5))-1))*VLOOKUP(LEFT(LOWER(TRIM(MID(TRIM(L5),FIND(" ",TRIM(L5))+1,99))),3),DurationUnits,2,FALSE),"")))</f>
      </c>
      <c r="N5" s="21">
        <f t="shared" ref="N5:N49" si="1">IF($I5&lt;&gt;"Yes","",IF($A5="","",COUNTIFS($A$5:$A$49,"&lt;"&amp;$A5,$I$5:$I$49,"Yes")+1))</f>
      </c>
      <c r="O5" s="289">
        <f>IF($E5="","",IFERROR(IF(INDEX('07. BIA'!$AA$6:$AA$285,MATCH($E5,'07. BIA'!$E$6:$E$285,0))="","",INDEX('07. BIA'!$AA$6:$AA$285,MATCH($E5,'07. BIA'!$E$6:$E$285,0))),""))</f>
      </c>
      <c r="P5" s="285">
        <f>IF(C5="","",IF(COUNTIF($C$5:C5,C5)=1,MAX($P$4:P4)+1,""))</f>
      </c>
      <c r="Q5" s="285">
        <f>IF(D5="","",IF(COUNTIF($D$5:D5,D5)=1,MAX($Q$4:Q4)+1,""))</f>
      </c>
    </row>
    <row r="6" spans="1:17" ht="21.75" customHeight="1" x14ac:dyDescent="0.35">
      <c r="A6" s="135">
        <v>2</v>
      </c>
      <c r="B6" s="4">
        <f t="shared" si="0"/>
      </c>
      <c r="C6" s="19"/>
      <c r="D6" s="19"/>
      <c r="E6" s="19"/>
      <c r="F6" s="19"/>
      <c r="G6" s="19"/>
      <c r="H6" s="19"/>
      <c r="I6" s="293"/>
      <c r="J6" s="293"/>
      <c r="K6" s="19"/>
      <c r="L6" s="35"/>
      <c r="M6" s="287">
        <f>IF(L6="","",IF(ISNUMBER(L6),L6,IFERROR(VALUE(LEFT(TRIM(L6),FIND(" ",TRIM(L6))-1))*VLOOKUP(LEFT(LOWER(TRIM(MID(TRIM(L6),FIND(" ",TRIM(L6))+1,99))),3),DurationUnits,2,FALSE),"")))</f>
      </c>
      <c r="N6" s="21">
        <f t="shared" si="1"/>
      </c>
      <c r="O6" s="289">
        <f>IF($E6="","",IFERROR(IF(INDEX('07. BIA'!$AA$6:$AA$285,MATCH($E6,'07. BIA'!$E$6:$E$285,0))="","",INDEX('07. BIA'!$AA$6:$AA$285,MATCH($E6,'07. BIA'!$E$6:$E$285,0))),""))</f>
      </c>
      <c r="P6" s="285">
        <f>IF(C6="","",IF(COUNTIF($C$5:C6,C6)=1,MAX($P$4:P5)+1,""))</f>
      </c>
      <c r="Q6" s="285">
        <f>IF(D6="","",IF(COUNTIF($D$5:D6,D6)=1,MAX($Q$4:Q5)+1,""))</f>
      </c>
    </row>
    <row r="7" spans="1:17" ht="21.75" customHeight="1" x14ac:dyDescent="0.35">
      <c r="A7" s="135">
        <v>3</v>
      </c>
      <c r="B7" s="4">
        <f t="shared" si="0"/>
      </c>
      <c r="C7" s="19"/>
      <c r="D7" s="19"/>
      <c r="E7" s="19"/>
      <c r="F7" s="19"/>
      <c r="G7" s="19"/>
      <c r="H7" s="19"/>
      <c r="I7" s="293"/>
      <c r="J7" s="293"/>
      <c r="K7" s="19"/>
      <c r="L7" s="35"/>
      <c r="M7" s="287">
        <f>IF(L7="","",IF(ISNUMBER(L7),L7,IFERROR(VALUE(LEFT(TRIM(L7),FIND(" ",TRIM(L7))-1))*VLOOKUP(LEFT(LOWER(TRIM(MID(TRIM(L7),FIND(" ",TRIM(L7))+1,99))),3),DurationUnits,2,FALSE),"")))</f>
      </c>
      <c r="N7" s="21">
        <f t="shared" si="1"/>
      </c>
      <c r="O7" s="289">
        <f>IF($E7="","",IFERROR(IF(INDEX('07. BIA'!$AA$6:$AA$285,MATCH($E7,'07. BIA'!$E$6:$E$285,0))="","",INDEX('07. BIA'!$AA$6:$AA$285,MATCH($E7,'07. BIA'!$E$6:$E$285,0))),""))</f>
      </c>
      <c r="P7" s="285">
        <f>IF(C7="","",IF(COUNTIF($C$5:C7,C7)=1,MAX($P$4:P6)+1,""))</f>
      </c>
      <c r="Q7" s="285">
        <f>IF(D7="","",IF(COUNTIF($D$5:D7,D7)=1,MAX($Q$4:Q6)+1,""))</f>
      </c>
    </row>
    <row r="8" spans="1:17" ht="21.75" customHeight="1" x14ac:dyDescent="0.35">
      <c r="A8" s="135">
        <v>4</v>
      </c>
      <c r="B8" s="4">
        <f t="shared" si="0"/>
      </c>
      <c r="C8" s="19"/>
      <c r="D8" s="19"/>
      <c r="E8" s="19"/>
      <c r="F8" s="19"/>
      <c r="G8" s="19"/>
      <c r="H8" s="19"/>
      <c r="I8" s="293"/>
      <c r="J8" s="293"/>
      <c r="K8" s="19"/>
      <c r="L8" s="35"/>
      <c r="M8" s="287">
        <f>IF(L8="","",IF(ISNUMBER(L8),L8,IFERROR(VALUE(LEFT(TRIM(L8),FIND(" ",TRIM(L8))-1))*VLOOKUP(LEFT(LOWER(TRIM(MID(TRIM(L8),FIND(" ",TRIM(L8))+1,99))),3),DurationUnits,2,FALSE),"")))</f>
      </c>
      <c r="N8" s="21">
        <f t="shared" si="1"/>
      </c>
      <c r="O8" s="289">
        <f>IF($E8="","",IFERROR(IF(INDEX('07. BIA'!$AA$6:$AA$285,MATCH($E8,'07. BIA'!$E$6:$E$285,0))="","",INDEX('07. BIA'!$AA$6:$AA$285,MATCH($E8,'07. BIA'!$E$6:$E$285,0))),""))</f>
      </c>
      <c r="P8" s="285">
        <f>IF(C8="","",IF(COUNTIF($C$5:C8,C8)=1,MAX($P$4:P7)+1,""))</f>
      </c>
      <c r="Q8" s="285">
        <f>IF(D8="","",IF(COUNTIF($D$5:D8,D8)=1,MAX($Q$4:Q7)+1,""))</f>
      </c>
    </row>
    <row r="9" spans="1:17" ht="21.75" customHeight="1" x14ac:dyDescent="0.35">
      <c r="A9" s="135">
        <v>5</v>
      </c>
      <c r="B9" s="4">
        <f t="shared" si="0"/>
      </c>
      <c r="C9" s="19"/>
      <c r="D9" s="19"/>
      <c r="E9" s="19"/>
      <c r="F9" s="19"/>
      <c r="G9" s="19"/>
      <c r="H9" s="19"/>
      <c r="I9" s="293"/>
      <c r="J9" s="293"/>
      <c r="K9" s="19"/>
      <c r="L9" s="35"/>
      <c r="M9" s="287">
        <f>IF(L9="","",IF(ISNUMBER(L9),L9,IFERROR(VALUE(LEFT(TRIM(L9),FIND(" ",TRIM(L9))-1))*VLOOKUP(LEFT(LOWER(TRIM(MID(TRIM(L9),FIND(" ",TRIM(L9))+1,99))),3),DurationUnits,2,FALSE),"")))</f>
      </c>
      <c r="N9" s="21">
        <f t="shared" si="1"/>
      </c>
      <c r="O9" s="289">
        <f>IF($E9="","",IFERROR(IF(INDEX('07. BIA'!$AA$6:$AA$285,MATCH($E9,'07. BIA'!$E$6:$E$285,0))="","",INDEX('07. BIA'!$AA$6:$AA$285,MATCH($E9,'07. BIA'!$E$6:$E$285,0))),""))</f>
      </c>
      <c r="P9" s="285">
        <f>IF(C9="","",IF(COUNTIF($C$5:C9,C9)=1,MAX($P$4:P8)+1,""))</f>
      </c>
      <c r="Q9" s="285">
        <f>IF(D9="","",IF(COUNTIF($D$5:D9,D9)=1,MAX($Q$4:Q8)+1,""))</f>
      </c>
    </row>
    <row r="10" spans="1:17" ht="21.75" customHeight="1" x14ac:dyDescent="0.35">
      <c r="A10" s="135">
        <v>6</v>
      </c>
      <c r="B10" s="4">
        <f t="shared" si="0"/>
      </c>
      <c r="C10" s="19"/>
      <c r="D10" s="19"/>
      <c r="E10" s="19"/>
      <c r="F10" s="19"/>
      <c r="G10" s="19"/>
      <c r="H10" s="19"/>
      <c r="I10" s="293"/>
      <c r="J10" s="293"/>
      <c r="K10" s="19"/>
      <c r="L10" s="35"/>
      <c r="M10" s="287">
        <f>IF(L10="","",IF(ISNUMBER(L10),L10,IFERROR(VALUE(LEFT(TRIM(L10),FIND(" ",TRIM(L10))-1))*VLOOKUP(LEFT(LOWER(TRIM(MID(TRIM(L10),FIND(" ",TRIM(L10))+1,99))),3),DurationUnits,2,FALSE),"")))</f>
      </c>
      <c r="N10" s="21">
        <f t="shared" si="1"/>
      </c>
      <c r="O10" s="289">
        <f>IF($E10="","",IFERROR(IF(INDEX('07. BIA'!$AA$6:$AA$285,MATCH($E10,'07. BIA'!$E$6:$E$285,0))="","",INDEX('07. BIA'!$AA$6:$AA$285,MATCH($E10,'07. BIA'!$E$6:$E$285,0))),""))</f>
      </c>
      <c r="P10" s="285">
        <f>IF(C10="","",IF(COUNTIF($C$5:C10,C10)=1,MAX($P$4:P9)+1,""))</f>
      </c>
      <c r="Q10" s="285">
        <f>IF(D10="","",IF(COUNTIF($D$5:D10,D10)=1,MAX($Q$4:Q9)+1,""))</f>
      </c>
    </row>
    <row r="11" spans="1:17" ht="21.75" customHeight="1" x14ac:dyDescent="0.35">
      <c r="A11" s="135">
        <v>7</v>
      </c>
      <c r="B11" s="4">
        <f t="shared" si="0"/>
      </c>
      <c r="C11" s="19"/>
      <c r="D11" s="19"/>
      <c r="E11" s="19"/>
      <c r="F11" s="19"/>
      <c r="G11" s="19"/>
      <c r="H11" s="19"/>
      <c r="I11" s="293"/>
      <c r="J11" s="293"/>
      <c r="K11" s="19"/>
      <c r="L11" s="35"/>
      <c r="M11" s="287">
        <f>IF(L11="","",IF(ISNUMBER(L11),L11,IFERROR(VALUE(LEFT(TRIM(L11),FIND(" ",TRIM(L11))-1))*VLOOKUP(LEFT(LOWER(TRIM(MID(TRIM(L11),FIND(" ",TRIM(L11))+1,99))),3),DurationUnits,2,FALSE),"")))</f>
      </c>
      <c r="N11" s="21">
        <f t="shared" si="1"/>
      </c>
      <c r="O11" s="289">
        <f>IF($E11="","",IFERROR(IF(INDEX('07. BIA'!$AA$6:$AA$285,MATCH($E11,'07. BIA'!$E$6:$E$285,0))="","",INDEX('07. BIA'!$AA$6:$AA$285,MATCH($E11,'07. BIA'!$E$6:$E$285,0))),""))</f>
      </c>
      <c r="P11" s="285">
        <f>IF(C11="","",IF(COUNTIF($C$5:C11,C11)=1,MAX($P$4:P10)+1,""))</f>
      </c>
      <c r="Q11" s="285">
        <f>IF(D11="","",IF(COUNTIF($D$5:D11,D11)=1,MAX($Q$4:Q10)+1,""))</f>
      </c>
    </row>
    <row r="12" spans="1:17" ht="21.75" customHeight="1" x14ac:dyDescent="0.35">
      <c r="A12" s="135">
        <v>8</v>
      </c>
      <c r="B12" s="4">
        <f t="shared" si="0"/>
      </c>
      <c r="C12" s="19"/>
      <c r="D12" s="19"/>
      <c r="E12" s="19"/>
      <c r="F12" s="19"/>
      <c r="G12" s="19"/>
      <c r="H12" s="19"/>
      <c r="I12" s="293"/>
      <c r="J12" s="293"/>
      <c r="K12" s="63"/>
      <c r="L12" s="35"/>
      <c r="M12" s="287">
        <f>IF(L12="","",IF(ISNUMBER(L12),L12,IFERROR(VALUE(LEFT(TRIM(L12),FIND(" ",TRIM(L12))-1))*VLOOKUP(LEFT(LOWER(TRIM(MID(TRIM(L12),FIND(" ",TRIM(L12))+1,99))),3),DurationUnits,2,FALSE),"")))</f>
      </c>
      <c r="N12" s="21">
        <f t="shared" si="1"/>
      </c>
      <c r="O12" s="289">
        <f>IF($E12="","",IFERROR(IF(INDEX('07. BIA'!$AA$6:$AA$285,MATCH($E12,'07. BIA'!$E$6:$E$285,0))="","",INDEX('07. BIA'!$AA$6:$AA$285,MATCH($E12,'07. BIA'!$E$6:$E$285,0))),""))</f>
      </c>
      <c r="P12" s="285">
        <f>IF(C12="","",IF(COUNTIF($C$5:C12,C12)=1,MAX($P$4:P11)+1,""))</f>
      </c>
      <c r="Q12" s="285">
        <f>IF(D12="","",IF(COUNTIF($D$5:D12,D12)=1,MAX($Q$4:Q11)+1,""))</f>
      </c>
    </row>
    <row r="13" spans="1:17" ht="15" customHeight="1" x14ac:dyDescent="0.35">
      <c r="A13" s="135">
        <v>9</v>
      </c>
      <c r="B13" s="4">
        <f t="shared" si="0"/>
      </c>
      <c r="C13" s="19"/>
      <c r="D13" s="19"/>
      <c r="E13" s="19"/>
      <c r="F13" s="19"/>
      <c r="G13" s="19"/>
      <c r="H13" s="19"/>
      <c r="I13" s="293"/>
      <c r="J13" s="293"/>
      <c r="K13" s="63"/>
      <c r="L13" s="35"/>
      <c r="M13" s="287">
        <f>IF(L13="","",IF(ISNUMBER(L13),L13,IFERROR(VALUE(LEFT(TRIM(L13),FIND(" ",TRIM(L13))-1))*VLOOKUP(LEFT(LOWER(TRIM(MID(TRIM(L13),FIND(" ",TRIM(L13))+1,99))),3),DurationUnits,2,FALSE),"")))</f>
      </c>
      <c r="N13" s="21">
        <f t="shared" si="1"/>
      </c>
      <c r="O13" s="289">
        <f>IF($E13="","",IFERROR(IF(INDEX('07. BIA'!$AA$6:$AA$285,MATCH($E13,'07. BIA'!$E$6:$E$285,0))="","",INDEX('07. BIA'!$AA$6:$AA$285,MATCH($E13,'07. BIA'!$E$6:$E$285,0))),""))</f>
      </c>
      <c r="P13" s="285">
        <f>IF(C13="","",IF(COUNTIF($C$5:C13,C13)=1,MAX($P$4:P12)+1,""))</f>
      </c>
      <c r="Q13" s="285">
        <f>IF(D13="","",IF(COUNTIF($D$5:D13,D13)=1,MAX($Q$4:Q12)+1,""))</f>
      </c>
    </row>
    <row r="14" spans="1:17" ht="21.75" customHeight="1" x14ac:dyDescent="0.35">
      <c r="A14" s="135">
        <v>10</v>
      </c>
      <c r="B14" s="4">
        <f t="shared" si="0"/>
      </c>
      <c r="C14" s="19"/>
      <c r="D14" s="19"/>
      <c r="E14" s="19"/>
      <c r="F14" s="19"/>
      <c r="G14" s="19"/>
      <c r="H14" s="19"/>
      <c r="I14" s="293"/>
      <c r="J14" s="293"/>
      <c r="K14" s="19"/>
      <c r="L14" s="35"/>
      <c r="M14" s="287">
        <f>IF(L14="","",IF(ISNUMBER(L14),L14,IFERROR(VALUE(LEFT(TRIM(L14),FIND(" ",TRIM(L14))-1))*VLOOKUP(LEFT(LOWER(TRIM(MID(TRIM(L14),FIND(" ",TRIM(L14))+1,99))),3),DurationUnits,2,FALSE),"")))</f>
      </c>
      <c r="N14" s="21">
        <f t="shared" si="1"/>
      </c>
      <c r="O14" s="289">
        <f>IF($E14="","",IFERROR(IF(INDEX('07. BIA'!$AA$6:$AA$285,MATCH($E14,'07. BIA'!$E$6:$E$285,0))="","",INDEX('07. BIA'!$AA$6:$AA$285,MATCH($E14,'07. BIA'!$E$6:$E$285,0))),""))</f>
      </c>
      <c r="P14" s="285">
        <f>IF(C14="","",IF(COUNTIF($C$5:C14,C14)=1,MAX($P$4:P13)+1,""))</f>
      </c>
      <c r="Q14" s="285">
        <f>IF(D14="","",IF(COUNTIF($D$5:D14,D14)=1,MAX($Q$4:Q13)+1,""))</f>
      </c>
    </row>
    <row r="15" spans="1:17" ht="21.75" customHeight="1" x14ac:dyDescent="0.35">
      <c r="A15" s="135">
        <v>11</v>
      </c>
      <c r="B15" s="4">
        <f t="shared" si="0"/>
      </c>
      <c r="C15" s="19"/>
      <c r="D15" s="19"/>
      <c r="E15" s="19"/>
      <c r="F15" s="19"/>
      <c r="G15" s="19"/>
      <c r="H15" s="19"/>
      <c r="I15" s="293"/>
      <c r="J15" s="293"/>
      <c r="K15" s="19"/>
      <c r="L15" s="35"/>
      <c r="M15" s="287">
        <f>IF(L15="","",IF(ISNUMBER(L15),L15,IFERROR(VALUE(LEFT(TRIM(L15),FIND(" ",TRIM(L15))-1))*VLOOKUP(LEFT(LOWER(TRIM(MID(TRIM(L15),FIND(" ",TRIM(L15))+1,99))),3),DurationUnits,2,FALSE),"")))</f>
      </c>
      <c r="N15" s="21">
        <f t="shared" si="1"/>
      </c>
      <c r="O15" s="289">
        <f>IF($E15="","",IFERROR(IF(INDEX('07. BIA'!$AA$6:$AA$285,MATCH($E15,'07. BIA'!$E$6:$E$285,0))="","",INDEX('07. BIA'!$AA$6:$AA$285,MATCH($E15,'07. BIA'!$E$6:$E$285,0))),""))</f>
      </c>
      <c r="P15" s="285">
        <f>IF(C15="","",IF(COUNTIF($C$5:C15,C15)=1,MAX($P$4:P14)+1,""))</f>
      </c>
      <c r="Q15" s="285">
        <f>IF(D15="","",IF(COUNTIF($D$5:D15,D15)=1,MAX($Q$4:Q14)+1,""))</f>
      </c>
    </row>
    <row r="16" spans="1:17" ht="21.75" customHeight="1" x14ac:dyDescent="0.35">
      <c r="A16" s="135">
        <v>12</v>
      </c>
      <c r="B16" s="4">
        <f t="shared" si="0"/>
      </c>
      <c r="C16" s="19"/>
      <c r="D16" s="19"/>
      <c r="E16" s="19"/>
      <c r="F16" s="19"/>
      <c r="G16" s="19"/>
      <c r="H16" s="19"/>
      <c r="I16" s="293"/>
      <c r="J16" s="293"/>
      <c r="K16" s="19"/>
      <c r="L16" s="35"/>
      <c r="M16" s="287">
        <f>IF(L16="","",IF(ISNUMBER(L16),L16,IFERROR(VALUE(LEFT(TRIM(L16),FIND(" ",TRIM(L16))-1))*VLOOKUP(LEFT(LOWER(TRIM(MID(TRIM(L16),FIND(" ",TRIM(L16))+1,99))),3),DurationUnits,2,FALSE),"")))</f>
      </c>
      <c r="N16" s="21">
        <f t="shared" si="1"/>
      </c>
      <c r="O16" s="289">
        <f>IF($E16="","",IFERROR(IF(INDEX('07. BIA'!$AA$6:$AA$285,MATCH($E16,'07. BIA'!$E$6:$E$285,0))="","",INDEX('07. BIA'!$AA$6:$AA$285,MATCH($E16,'07. BIA'!$E$6:$E$285,0))),""))</f>
      </c>
      <c r="P16" s="285">
        <f>IF(C16="","",IF(COUNTIF($C$5:C16,C16)=1,MAX($P$4:P15)+1,""))</f>
      </c>
      <c r="Q16" s="285">
        <f>IF(D16="","",IF(COUNTIF($D$5:D16,D16)=1,MAX($Q$4:Q15)+1,""))</f>
      </c>
    </row>
    <row r="17" spans="1:17" ht="21.75" customHeight="1" x14ac:dyDescent="0.35">
      <c r="A17" s="135">
        <v>13</v>
      </c>
      <c r="B17" s="4">
        <f t="shared" si="0"/>
      </c>
      <c r="C17" s="19"/>
      <c r="D17" s="19"/>
      <c r="E17" s="19"/>
      <c r="F17" s="19"/>
      <c r="G17" s="19"/>
      <c r="H17" s="19"/>
      <c r="I17" s="293"/>
      <c r="J17" s="293"/>
      <c r="K17" s="19"/>
      <c r="L17" s="35"/>
      <c r="M17" s="287">
        <f>IF(L17="","",IF(ISNUMBER(L17),L17,IFERROR(VALUE(LEFT(TRIM(L17),FIND(" ",TRIM(L17))-1))*VLOOKUP(LEFT(LOWER(TRIM(MID(TRIM(L17),FIND(" ",TRIM(L17))+1,99))),3),DurationUnits,2,FALSE),"")))</f>
      </c>
      <c r="N17" s="21">
        <f t="shared" si="1"/>
      </c>
      <c r="O17" s="289">
        <f>IF($E17="","",IFERROR(IF(INDEX('07. BIA'!$AA$6:$AA$285,MATCH($E17,'07. BIA'!$E$6:$E$285,0))="","",INDEX('07. BIA'!$AA$6:$AA$285,MATCH($E17,'07. BIA'!$E$6:$E$285,0))),""))</f>
      </c>
      <c r="P17" s="285">
        <f>IF(C17="","",IF(COUNTIF($C$5:C17,C17)=1,MAX($P$4:P16)+1,""))</f>
      </c>
      <c r="Q17" s="285">
        <f>IF(D17="","",IF(COUNTIF($D$5:D17,D17)=1,MAX($Q$4:Q16)+1,""))</f>
      </c>
    </row>
    <row r="18" spans="1:17" ht="21.75" customHeight="1" x14ac:dyDescent="0.35">
      <c r="A18" s="135">
        <v>14</v>
      </c>
      <c r="B18" s="4">
        <f t="shared" si="0"/>
      </c>
      <c r="C18" s="19"/>
      <c r="D18" s="19"/>
      <c r="E18" s="19"/>
      <c r="F18" s="19"/>
      <c r="G18" s="19"/>
      <c r="H18" s="19"/>
      <c r="I18" s="293"/>
      <c r="J18" s="293"/>
      <c r="K18" s="19"/>
      <c r="L18" s="35"/>
      <c r="M18" s="287">
        <f>IF(L18="","",IF(ISNUMBER(L18),L18,IFERROR(VALUE(LEFT(TRIM(L18),FIND(" ",TRIM(L18))-1))*VLOOKUP(LEFT(LOWER(TRIM(MID(TRIM(L18),FIND(" ",TRIM(L18))+1,99))),3),DurationUnits,2,FALSE),"")))</f>
      </c>
      <c r="N18" s="21">
        <f t="shared" si="1"/>
      </c>
      <c r="O18" s="289">
        <f>IF($E18="","",IFERROR(IF(INDEX('07. BIA'!$AA$6:$AA$285,MATCH($E18,'07. BIA'!$E$6:$E$285,0))="","",INDEX('07. BIA'!$AA$6:$AA$285,MATCH($E18,'07. BIA'!$E$6:$E$285,0))),""))</f>
      </c>
      <c r="P18" s="285">
        <f>IF(C18="","",IF(COUNTIF($C$5:C18,C18)=1,MAX($P$4:P17)+1,""))</f>
      </c>
      <c r="Q18" s="285">
        <f>IF(D18="","",IF(COUNTIF($D$5:D18,D18)=1,MAX($Q$4:Q17)+1,""))</f>
      </c>
    </row>
    <row r="19" spans="1:17" ht="15" customHeight="1" x14ac:dyDescent="0.35">
      <c r="A19" s="135">
        <v>15</v>
      </c>
      <c r="B19" s="4">
        <f t="shared" si="0"/>
      </c>
      <c r="C19" s="19"/>
      <c r="D19" s="19"/>
      <c r="E19" s="19"/>
      <c r="F19" s="19"/>
      <c r="G19" s="19"/>
      <c r="H19" s="19"/>
      <c r="I19" s="293"/>
      <c r="J19" s="293"/>
      <c r="K19" s="19"/>
      <c r="L19" s="35"/>
      <c r="M19" s="287">
        <f>IF(L19="","",IF(ISNUMBER(L19),L19,IFERROR(VALUE(LEFT(TRIM(L19),FIND(" ",TRIM(L19))-1))*VLOOKUP(LEFT(LOWER(TRIM(MID(TRIM(L19),FIND(" ",TRIM(L19))+1,99))),3),DurationUnits,2,FALSE),"")))</f>
      </c>
      <c r="N19" s="21">
        <f t="shared" si="1"/>
      </c>
      <c r="O19" s="289">
        <f>IF($E19="","",IFERROR(IF(INDEX('07. BIA'!$AA$6:$AA$285,MATCH($E19,'07. BIA'!$E$6:$E$285,0))="","",INDEX('07. BIA'!$AA$6:$AA$285,MATCH($E19,'07. BIA'!$E$6:$E$285,0))),""))</f>
      </c>
      <c r="P19" s="285">
        <f>IF(C19="","",IF(COUNTIF($C$5:C19,C19)=1,MAX($P$4:P18)+1,""))</f>
      </c>
      <c r="Q19" s="285">
        <f>IF(D19="","",IF(COUNTIF($D$5:D19,D19)=1,MAX($Q$4:Q18)+1,""))</f>
      </c>
    </row>
    <row r="20" spans="1:17" ht="21.75" customHeight="1" x14ac:dyDescent="0.35">
      <c r="A20" s="135">
        <v>16</v>
      </c>
      <c r="B20" s="4">
        <f t="shared" si="0"/>
      </c>
      <c r="C20" s="19"/>
      <c r="D20" s="19"/>
      <c r="E20" s="19"/>
      <c r="F20" s="19"/>
      <c r="G20" s="19"/>
      <c r="H20" s="19"/>
      <c r="I20" s="293"/>
      <c r="J20" s="293"/>
      <c r="K20" s="19"/>
      <c r="L20" s="35"/>
      <c r="M20" s="287">
        <f>IF(L20="","",IF(ISNUMBER(L20),L20,IFERROR(VALUE(LEFT(TRIM(L20),FIND(" ",TRIM(L20))-1))*VLOOKUP(LEFT(LOWER(TRIM(MID(TRIM(L20),FIND(" ",TRIM(L20))+1,99))),3),DurationUnits,2,FALSE),"")))</f>
      </c>
      <c r="N20" s="21">
        <f t="shared" si="1"/>
      </c>
      <c r="O20" s="289">
        <f>IF($E20="","",IFERROR(IF(INDEX('07. BIA'!$AA$6:$AA$285,MATCH($E20,'07. BIA'!$E$6:$E$285,0))="","",INDEX('07. BIA'!$AA$6:$AA$285,MATCH($E20,'07. BIA'!$E$6:$E$285,0))),""))</f>
      </c>
      <c r="P20" s="285">
        <f>IF(C20="","",IF(COUNTIF($C$5:C20,C20)=1,MAX($P$4:P19)+1,""))</f>
      </c>
      <c r="Q20" s="285">
        <f>IF(D20="","",IF(COUNTIF($D$5:D20,D20)=1,MAX($Q$4:Q19)+1,""))</f>
      </c>
    </row>
    <row r="21" spans="1:17" ht="21.75" customHeight="1" x14ac:dyDescent="0.35">
      <c r="A21" s="135">
        <v>17</v>
      </c>
      <c r="B21" s="4">
        <f t="shared" si="0"/>
      </c>
      <c r="C21" s="19"/>
      <c r="D21" s="19"/>
      <c r="E21" s="19"/>
      <c r="F21" s="19"/>
      <c r="G21" s="19"/>
      <c r="H21" s="19"/>
      <c r="I21" s="293"/>
      <c r="J21" s="293"/>
      <c r="K21" s="19"/>
      <c r="L21" s="35"/>
      <c r="M21" s="287">
        <f>IF(L21="","",IF(ISNUMBER(L21),L21,IFERROR(VALUE(LEFT(TRIM(L21),FIND(" ",TRIM(L21))-1))*VLOOKUP(LEFT(LOWER(TRIM(MID(TRIM(L21),FIND(" ",TRIM(L21))+1,99))),3),DurationUnits,2,FALSE),"")))</f>
      </c>
      <c r="N21" s="21">
        <f t="shared" si="1"/>
      </c>
      <c r="O21" s="289">
        <f>IF($E21="","",IFERROR(IF(INDEX('07. BIA'!$AA$6:$AA$285,MATCH($E21,'07. BIA'!$E$6:$E$285,0))="","",INDEX('07. BIA'!$AA$6:$AA$285,MATCH($E21,'07. BIA'!$E$6:$E$285,0))),""))</f>
      </c>
      <c r="P21" s="285">
        <f>IF(C21="","",IF(COUNTIF($C$5:C21,C21)=1,MAX($P$4:P20)+1,""))</f>
      </c>
      <c r="Q21" s="285">
        <f>IF(D21="","",IF(COUNTIF($D$5:D21,D21)=1,MAX($Q$4:Q20)+1,""))</f>
      </c>
    </row>
    <row r="22" spans="1:17" ht="21.75" customHeight="1" x14ac:dyDescent="0.35">
      <c r="A22" s="135">
        <v>18</v>
      </c>
      <c r="B22" s="4">
        <f t="shared" si="0"/>
      </c>
      <c r="C22" s="19"/>
      <c r="D22" s="19"/>
      <c r="E22" s="19"/>
      <c r="F22" s="19"/>
      <c r="G22" s="19"/>
      <c r="H22" s="19"/>
      <c r="I22" s="293"/>
      <c r="J22" s="293"/>
      <c r="K22" s="19"/>
      <c r="L22" s="35"/>
      <c r="M22" s="287">
        <f>IF(L22="","",IF(ISNUMBER(L22),L22,IFERROR(VALUE(LEFT(TRIM(L22),FIND(" ",TRIM(L22))-1))*VLOOKUP(LEFT(LOWER(TRIM(MID(TRIM(L22),FIND(" ",TRIM(L22))+1,99))),3),DurationUnits,2,FALSE),"")))</f>
      </c>
      <c r="N22" s="21">
        <f t="shared" si="1"/>
      </c>
      <c r="O22" s="289">
        <f>IF($E22="","",IFERROR(IF(INDEX('07. BIA'!$AA$6:$AA$285,MATCH($E22,'07. BIA'!$E$6:$E$285,0))="","",INDEX('07. BIA'!$AA$6:$AA$285,MATCH($E22,'07. BIA'!$E$6:$E$285,0))),""))</f>
      </c>
      <c r="P22" s="285">
        <f>IF(C22="","",IF(COUNTIF($C$5:C22,C22)=1,MAX($P$4:P21)+1,""))</f>
      </c>
      <c r="Q22" s="285">
        <f>IF(D22="","",IF(COUNTIF($D$5:D22,D22)=1,MAX($Q$4:Q21)+1,""))</f>
      </c>
    </row>
    <row r="23" spans="1:17" ht="15" customHeight="1" x14ac:dyDescent="0.35">
      <c r="A23" s="135">
        <v>19</v>
      </c>
      <c r="B23" s="4">
        <f t="shared" si="0"/>
      </c>
      <c r="C23" s="19"/>
      <c r="D23" s="19"/>
      <c r="E23" s="19"/>
      <c r="F23" s="19"/>
      <c r="G23" s="19"/>
      <c r="H23" s="19"/>
      <c r="I23" s="293"/>
      <c r="J23" s="293"/>
      <c r="K23" s="19"/>
      <c r="L23" s="35"/>
      <c r="M23" s="287">
        <f>IF(L23="","",IF(ISNUMBER(L23),L23,IFERROR(VALUE(LEFT(TRIM(L23),FIND(" ",TRIM(L23))-1))*VLOOKUP(LEFT(LOWER(TRIM(MID(TRIM(L23),FIND(" ",TRIM(L23))+1,99))),3),DurationUnits,2,FALSE),"")))</f>
      </c>
      <c r="N23" s="21">
        <f t="shared" si="1"/>
      </c>
      <c r="O23" s="289">
        <f>IF($E23="","",IFERROR(IF(INDEX('07. BIA'!$AA$6:$AA$285,MATCH($E23,'07. BIA'!$E$6:$E$285,0))="","",INDEX('07. BIA'!$AA$6:$AA$285,MATCH($E23,'07. BIA'!$E$6:$E$285,0))),""))</f>
      </c>
      <c r="P23" s="285">
        <f>IF(C23="","",IF(COUNTIF($C$5:C23,C23)=1,MAX($P$4:P22)+1,""))</f>
      </c>
      <c r="Q23" s="285">
        <f>IF(D23="","",IF(COUNTIF($D$5:D23,D23)=1,MAX($Q$4:Q22)+1,""))</f>
      </c>
    </row>
    <row r="24" spans="1:17" ht="21.75" customHeight="1" x14ac:dyDescent="0.35">
      <c r="A24" s="135">
        <v>20</v>
      </c>
      <c r="B24" s="4">
        <f t="shared" si="0"/>
      </c>
      <c r="C24" s="19"/>
      <c r="D24" s="19"/>
      <c r="E24" s="19"/>
      <c r="F24" s="19"/>
      <c r="G24" s="19"/>
      <c r="H24" s="19"/>
      <c r="I24" s="293"/>
      <c r="J24" s="293"/>
      <c r="K24" s="19"/>
      <c r="L24" s="35"/>
      <c r="M24" s="287">
        <f>IF(L24="","",IF(ISNUMBER(L24),L24,IFERROR(VALUE(LEFT(TRIM(L24),FIND(" ",TRIM(L24))-1))*VLOOKUP(LEFT(LOWER(TRIM(MID(TRIM(L24),FIND(" ",TRIM(L24))+1,99))),3),DurationUnits,2,FALSE),"")))</f>
      </c>
      <c r="N24" s="21">
        <f t="shared" si="1"/>
      </c>
      <c r="O24" s="289">
        <f>IF($E24="","",IFERROR(IF(INDEX('07. BIA'!$AA$6:$AA$285,MATCH($E24,'07. BIA'!$E$6:$E$285,0))="","",INDEX('07. BIA'!$AA$6:$AA$285,MATCH($E24,'07. BIA'!$E$6:$E$285,0))),""))</f>
      </c>
      <c r="P24" s="285">
        <f>IF(C24="","",IF(COUNTIF($C$5:C24,C24)=1,MAX($P$4:P23)+1,""))</f>
      </c>
      <c r="Q24" s="285">
        <f>IF(D24="","",IF(COUNTIF($D$5:D24,D24)=1,MAX($Q$4:Q23)+1,""))</f>
      </c>
    </row>
    <row r="25" spans="1:17" ht="21.75" customHeight="1" x14ac:dyDescent="0.35">
      <c r="A25" s="135">
        <v>21</v>
      </c>
      <c r="B25" s="4">
        <f t="shared" si="0"/>
      </c>
      <c r="C25" s="19"/>
      <c r="D25" s="19"/>
      <c r="E25" s="19"/>
      <c r="F25" s="19"/>
      <c r="G25" s="19"/>
      <c r="H25" s="19"/>
      <c r="I25" s="293"/>
      <c r="J25" s="293"/>
      <c r="K25" s="19"/>
      <c r="L25" s="35"/>
      <c r="M25" s="287">
        <f>IF(L25="","",IF(ISNUMBER(L25),L25,IFERROR(VALUE(LEFT(TRIM(L25),FIND(" ",TRIM(L25))-1))*VLOOKUP(LEFT(LOWER(TRIM(MID(TRIM(L25),FIND(" ",TRIM(L25))+1,99))),3),DurationUnits,2,FALSE),"")))</f>
      </c>
      <c r="N25" s="21">
        <f t="shared" si="1"/>
      </c>
      <c r="O25" s="289">
        <f>IF($E25="","",IFERROR(IF(INDEX('07. BIA'!$AA$6:$AA$285,MATCH($E25,'07. BIA'!$E$6:$E$285,0))="","",INDEX('07. BIA'!$AA$6:$AA$285,MATCH($E25,'07. BIA'!$E$6:$E$285,0))),""))</f>
      </c>
      <c r="P25" s="285">
        <f>IF(C25="","",IF(COUNTIF($C$5:C25,C25)=1,MAX($P$4:P24)+1,""))</f>
      </c>
      <c r="Q25" s="285">
        <f>IF(D25="","",IF(COUNTIF($D$5:D25,D25)=1,MAX($Q$4:Q24)+1,""))</f>
      </c>
    </row>
    <row r="26" spans="1:17" ht="21.75" customHeight="1" x14ac:dyDescent="0.35">
      <c r="A26" s="135">
        <v>22</v>
      </c>
      <c r="B26" s="4">
        <f t="shared" si="0"/>
      </c>
      <c r="C26" s="19"/>
      <c r="D26" s="19"/>
      <c r="E26" s="19"/>
      <c r="F26" s="19"/>
      <c r="G26" s="19"/>
      <c r="H26" s="19"/>
      <c r="I26" s="293"/>
      <c r="J26" s="293"/>
      <c r="K26" s="19"/>
      <c r="L26" s="35"/>
      <c r="M26" s="287">
        <f>IF(L26="","",IF(ISNUMBER(L26),L26,IFERROR(VALUE(LEFT(TRIM(L26),FIND(" ",TRIM(L26))-1))*VLOOKUP(LEFT(LOWER(TRIM(MID(TRIM(L26),FIND(" ",TRIM(L26))+1,99))),3),DurationUnits,2,FALSE),"")))</f>
      </c>
      <c r="N26" s="21">
        <f t="shared" si="1"/>
      </c>
      <c r="O26" s="289">
        <f>IF($E26="","",IFERROR(IF(INDEX('07. BIA'!$AA$6:$AA$285,MATCH($E26,'07. BIA'!$E$6:$E$285,0))="","",INDEX('07. BIA'!$AA$6:$AA$285,MATCH($E26,'07. BIA'!$E$6:$E$285,0))),""))</f>
      </c>
      <c r="P26" s="285">
        <f>IF(C26="","",IF(COUNTIF($C$5:C26,C26)=1,MAX($P$4:P25)+1,""))</f>
      </c>
      <c r="Q26" s="285">
        <f>IF(D26="","",IF(COUNTIF($D$5:D26,D26)=1,MAX($Q$4:Q25)+1,""))</f>
      </c>
    </row>
    <row r="27" spans="1:17" ht="21.75" customHeight="1" x14ac:dyDescent="0.35">
      <c r="A27" s="135">
        <v>23</v>
      </c>
      <c r="B27" s="4">
        <f t="shared" si="0"/>
      </c>
      <c r="C27" s="19"/>
      <c r="D27" s="19"/>
      <c r="E27" s="19"/>
      <c r="F27" s="19"/>
      <c r="G27" s="19"/>
      <c r="H27" s="19"/>
      <c r="I27" s="293"/>
      <c r="J27" s="293"/>
      <c r="K27" s="19"/>
      <c r="L27" s="35"/>
      <c r="M27" s="287">
        <f>IF(L27="","",IF(ISNUMBER(L27),L27,IFERROR(VALUE(LEFT(TRIM(L27),FIND(" ",TRIM(L27))-1))*VLOOKUP(LEFT(LOWER(TRIM(MID(TRIM(L27),FIND(" ",TRIM(L27))+1,99))),3),DurationUnits,2,FALSE),"")))</f>
      </c>
      <c r="N27" s="21">
        <f t="shared" si="1"/>
      </c>
      <c r="O27" s="289">
        <f>IF($E27="","",IFERROR(IF(INDEX('07. BIA'!$AA$6:$AA$285,MATCH($E27,'07. BIA'!$E$6:$E$285,0))="","",INDEX('07. BIA'!$AA$6:$AA$285,MATCH($E27,'07. BIA'!$E$6:$E$285,0))),""))</f>
      </c>
      <c r="P27" s="285">
        <f>IF(C27="","",IF(COUNTIF($C$5:C27,C27)=1,MAX($P$4:P26)+1,""))</f>
      </c>
      <c r="Q27" s="285">
        <f>IF(D27="","",IF(COUNTIF($D$5:D27,D27)=1,MAX($Q$4:Q26)+1,""))</f>
      </c>
    </row>
    <row r="28" spans="1:17" ht="15" customHeight="1" x14ac:dyDescent="0.35">
      <c r="A28" s="135">
        <v>24</v>
      </c>
      <c r="B28" s="4">
        <f t="shared" si="0"/>
      </c>
      <c r="C28" s="19"/>
      <c r="D28" s="19"/>
      <c r="E28" s="19"/>
      <c r="F28" s="19"/>
      <c r="G28" s="19"/>
      <c r="H28" s="19"/>
      <c r="I28" s="293"/>
      <c r="J28" s="293"/>
      <c r="K28" s="19"/>
      <c r="L28" s="35"/>
      <c r="M28" s="287">
        <f>IF(L28="","",IF(ISNUMBER(L28),L28,IFERROR(VALUE(LEFT(TRIM(L28),FIND(" ",TRIM(L28))-1))*VLOOKUP(LEFT(LOWER(TRIM(MID(TRIM(L28),FIND(" ",TRIM(L28))+1,99))),3),DurationUnits,2,FALSE),"")))</f>
      </c>
      <c r="N28" s="21">
        <f t="shared" si="1"/>
      </c>
      <c r="O28" s="289">
        <f>IF($E28="","",IFERROR(IF(INDEX('07. BIA'!$AA$6:$AA$285,MATCH($E28,'07. BIA'!$E$6:$E$285,0))="","",INDEX('07. BIA'!$AA$6:$AA$285,MATCH($E28,'07. BIA'!$E$6:$E$285,0))),""))</f>
      </c>
      <c r="P28" s="285">
        <f>IF(C28="","",IF(COUNTIF($C$5:C28,C28)=1,MAX($P$4:P27)+1,""))</f>
      </c>
      <c r="Q28" s="285">
        <f>IF(D28="","",IF(COUNTIF($D$5:D28,D28)=1,MAX($Q$4:Q27)+1,""))</f>
      </c>
    </row>
    <row r="29" spans="1:17" ht="21.75" customHeight="1" x14ac:dyDescent="0.35">
      <c r="A29" s="135">
        <v>25</v>
      </c>
      <c r="B29" s="4">
        <f t="shared" si="0"/>
      </c>
      <c r="C29" s="19"/>
      <c r="D29" s="19"/>
      <c r="E29" s="19"/>
      <c r="F29" s="19"/>
      <c r="G29" s="19"/>
      <c r="H29" s="19"/>
      <c r="I29" s="293"/>
      <c r="J29" s="293"/>
      <c r="K29" s="19"/>
      <c r="L29" s="35"/>
      <c r="M29" s="287">
        <f>IF(L29="","",IF(ISNUMBER(L29),L29,IFERROR(VALUE(LEFT(TRIM(L29),FIND(" ",TRIM(L29))-1))*VLOOKUP(LEFT(LOWER(TRIM(MID(TRIM(L29),FIND(" ",TRIM(L29))+1,99))),3),DurationUnits,2,FALSE),"")))</f>
      </c>
      <c r="N29" s="21">
        <f t="shared" si="1"/>
      </c>
      <c r="O29" s="289">
        <f>IF($E29="","",IFERROR(IF(INDEX('07. BIA'!$AA$6:$AA$285,MATCH($E29,'07. BIA'!$E$6:$E$285,0))="","",INDEX('07. BIA'!$AA$6:$AA$285,MATCH($E29,'07. BIA'!$E$6:$E$285,0))),""))</f>
      </c>
      <c r="P29" s="285">
        <f>IF(C29="","",IF(COUNTIF($C$5:C29,C29)=1,MAX($P$4:P28)+1,""))</f>
      </c>
      <c r="Q29" s="285">
        <f>IF(D29="","",IF(COUNTIF($D$5:D29,D29)=1,MAX($Q$4:Q28)+1,""))</f>
      </c>
    </row>
    <row r="30" spans="1:17" ht="15" customHeight="1" x14ac:dyDescent="0.35">
      <c r="A30" s="135">
        <v>26</v>
      </c>
      <c r="B30" s="4">
        <f t="shared" si="0"/>
      </c>
      <c r="C30" s="19"/>
      <c r="D30" s="19"/>
      <c r="E30" s="19"/>
      <c r="F30" s="19"/>
      <c r="G30" s="19"/>
      <c r="H30" s="19"/>
      <c r="I30" s="293"/>
      <c r="J30" s="293"/>
      <c r="K30" s="19"/>
      <c r="L30" s="35"/>
      <c r="M30" s="287">
        <f>IF(L30="","",IF(ISNUMBER(L30),L30,IFERROR(VALUE(LEFT(TRIM(L30),FIND(" ",TRIM(L30))-1))*VLOOKUP(LEFT(LOWER(TRIM(MID(TRIM(L30),FIND(" ",TRIM(L30))+1,99))),3),DurationUnits,2,FALSE),"")))</f>
      </c>
      <c r="N30" s="21">
        <f t="shared" si="1"/>
      </c>
      <c r="O30" s="289">
        <f>IF($E30="","",IFERROR(IF(INDEX('07. BIA'!$AA$6:$AA$285,MATCH($E30,'07. BIA'!$E$6:$E$285,0))="","",INDEX('07. BIA'!$AA$6:$AA$285,MATCH($E30,'07. BIA'!$E$6:$E$285,0))),""))</f>
      </c>
      <c r="P30" s="285">
        <f>IF(C30="","",IF(COUNTIF($C$5:C30,C30)=1,MAX($P$4:P29)+1,""))</f>
      </c>
      <c r="Q30" s="285">
        <f>IF(D30="","",IF(COUNTIF($D$5:D30,D30)=1,MAX($Q$4:Q29)+1,""))</f>
      </c>
    </row>
    <row r="31" spans="1:17" ht="15" customHeight="1" x14ac:dyDescent="0.35">
      <c r="A31" s="135">
        <v>27</v>
      </c>
      <c r="B31" s="4">
        <f t="shared" si="0"/>
      </c>
      <c r="C31" s="19"/>
      <c r="D31" s="19"/>
      <c r="E31" s="19"/>
      <c r="F31" s="19"/>
      <c r="G31" s="19"/>
      <c r="H31" s="19"/>
      <c r="I31" s="293"/>
      <c r="J31" s="293"/>
      <c r="K31" s="19"/>
      <c r="L31" s="35"/>
      <c r="M31" s="287">
        <f>IF(L31="","",IF(ISNUMBER(L31),L31,IFERROR(VALUE(LEFT(TRIM(L31),FIND(" ",TRIM(L31))-1))*VLOOKUP(LEFT(LOWER(TRIM(MID(TRIM(L31),FIND(" ",TRIM(L31))+1,99))),3),DurationUnits,2,FALSE),"")))</f>
      </c>
      <c r="N31" s="21">
        <f t="shared" si="1"/>
      </c>
      <c r="O31" s="289">
        <f>IF($E31="","",IFERROR(IF(INDEX('07. BIA'!$AA$6:$AA$285,MATCH($E31,'07. BIA'!$E$6:$E$285,0))="","",INDEX('07. BIA'!$AA$6:$AA$285,MATCH($E31,'07. BIA'!$E$6:$E$285,0))),""))</f>
      </c>
      <c r="P31" s="285">
        <f>IF(C31="","",IF(COUNTIF($C$5:C31,C31)=1,MAX($P$4:P30)+1,""))</f>
      </c>
      <c r="Q31" s="285">
        <f>IF(D31="","",IF(COUNTIF($D$5:D31,D31)=1,MAX($Q$4:Q30)+1,""))</f>
      </c>
    </row>
    <row r="32" spans="1:17" ht="15" customHeight="1" x14ac:dyDescent="0.35">
      <c r="A32" s="135">
        <v>28</v>
      </c>
      <c r="B32" s="4">
        <f t="shared" si="0"/>
      </c>
      <c r="C32" s="19"/>
      <c r="D32" s="19"/>
      <c r="E32" s="19"/>
      <c r="F32" s="19"/>
      <c r="G32" s="19"/>
      <c r="H32" s="19"/>
      <c r="I32" s="293"/>
      <c r="J32" s="293"/>
      <c r="K32" s="19"/>
      <c r="L32" s="35"/>
      <c r="M32" s="287">
        <f>IF(L32="","",IF(ISNUMBER(L32),L32,IFERROR(VALUE(LEFT(TRIM(L32),FIND(" ",TRIM(L32))-1))*VLOOKUP(LEFT(LOWER(TRIM(MID(TRIM(L32),FIND(" ",TRIM(L32))+1,99))),3),DurationUnits,2,FALSE),"")))</f>
      </c>
      <c r="N32" s="21">
        <f t="shared" si="1"/>
      </c>
      <c r="O32" s="289">
        <f>IF($E32="","",IFERROR(IF(INDEX('07. BIA'!$AA$6:$AA$285,MATCH($E32,'07. BIA'!$E$6:$E$285,0))="","",INDEX('07. BIA'!$AA$6:$AA$285,MATCH($E32,'07. BIA'!$E$6:$E$285,0))),""))</f>
      </c>
      <c r="P32" s="285">
        <f>IF(C32="","",IF(COUNTIF($C$5:C32,C32)=1,MAX($P$4:P31)+1,""))</f>
      </c>
      <c r="Q32" s="285">
        <f>IF(D32="","",IF(COUNTIF($D$5:D32,D32)=1,MAX($Q$4:Q31)+1,""))</f>
      </c>
    </row>
    <row r="33" spans="1:17" ht="15" customHeight="1" x14ac:dyDescent="0.35">
      <c r="A33" s="135">
        <v>29</v>
      </c>
      <c r="B33" s="4">
        <f t="shared" si="0"/>
      </c>
      <c r="C33" s="19"/>
      <c r="D33" s="19"/>
      <c r="E33" s="19"/>
      <c r="F33" s="19"/>
      <c r="G33" s="19"/>
      <c r="H33" s="19"/>
      <c r="I33" s="293"/>
      <c r="J33" s="293"/>
      <c r="K33" s="19"/>
      <c r="L33" s="35"/>
      <c r="M33" s="287">
        <f>IF(L33="","",IF(ISNUMBER(L33),L33,IFERROR(VALUE(LEFT(TRIM(L33),FIND(" ",TRIM(L33))-1))*VLOOKUP(LEFT(LOWER(TRIM(MID(TRIM(L33),FIND(" ",TRIM(L33))+1,99))),3),DurationUnits,2,FALSE),"")))</f>
      </c>
      <c r="N33" s="21">
        <f t="shared" si="1"/>
      </c>
      <c r="O33" s="289">
        <f>IF($E33="","",IFERROR(IF(INDEX('07. BIA'!$AA$6:$AA$285,MATCH($E33,'07. BIA'!$E$6:$E$285,0))="","",INDEX('07. BIA'!$AA$6:$AA$285,MATCH($E33,'07. BIA'!$E$6:$E$285,0))),""))</f>
      </c>
      <c r="P33" s="285">
        <f>IF(C33="","",IF(COUNTIF($C$5:C33,C33)=1,MAX($P$4:P32)+1,""))</f>
      </c>
      <c r="Q33" s="285">
        <f>IF(D33="","",IF(COUNTIF($D$5:D33,D33)=1,MAX($Q$4:Q32)+1,""))</f>
      </c>
    </row>
    <row r="34" spans="1:17" ht="21.75" customHeight="1" x14ac:dyDescent="0.35">
      <c r="A34" s="135">
        <v>30</v>
      </c>
      <c r="B34" s="4">
        <f t="shared" si="0"/>
      </c>
      <c r="C34" s="19"/>
      <c r="D34" s="19"/>
      <c r="E34" s="19"/>
      <c r="F34" s="19"/>
      <c r="G34" s="19"/>
      <c r="H34" s="19"/>
      <c r="I34" s="293"/>
      <c r="J34" s="293"/>
      <c r="K34" s="19"/>
      <c r="L34" s="35"/>
      <c r="M34" s="287">
        <f>IF(L34="","",IF(ISNUMBER(L34),L34,IFERROR(VALUE(LEFT(TRIM(L34),FIND(" ",TRIM(L34))-1))*VLOOKUP(LEFT(LOWER(TRIM(MID(TRIM(L34),FIND(" ",TRIM(L34))+1,99))),3),DurationUnits,2,FALSE),"")))</f>
      </c>
      <c r="N34" s="21">
        <f t="shared" si="1"/>
      </c>
      <c r="O34" s="289">
        <f>IF($E34="","",IFERROR(IF(INDEX('07. BIA'!$AA$6:$AA$285,MATCH($E34,'07. BIA'!$E$6:$E$285,0))="","",INDEX('07. BIA'!$AA$6:$AA$285,MATCH($E34,'07. BIA'!$E$6:$E$285,0))),""))</f>
      </c>
      <c r="P34" s="285">
        <f>IF(C34="","",IF(COUNTIF($C$5:C34,C34)=1,MAX($P$4:P33)+1,""))</f>
      </c>
      <c r="Q34" s="285">
        <f>IF(D34="","",IF(COUNTIF($D$5:D34,D34)=1,MAX($Q$4:Q33)+1,""))</f>
      </c>
    </row>
    <row r="35" spans="1:17" ht="21.75" customHeight="1" x14ac:dyDescent="0.35">
      <c r="A35" s="135">
        <v>31</v>
      </c>
      <c r="B35" s="4">
        <f t="shared" si="0"/>
      </c>
      <c r="C35" s="19"/>
      <c r="D35" s="19"/>
      <c r="E35" s="19"/>
      <c r="F35" s="19"/>
      <c r="G35" s="19"/>
      <c r="H35" s="19"/>
      <c r="I35" s="293"/>
      <c r="J35" s="293"/>
      <c r="K35" s="19"/>
      <c r="L35" s="35"/>
      <c r="M35" s="287">
        <f>IF(L35="","",IF(ISNUMBER(L35),L35,IFERROR(VALUE(LEFT(TRIM(L35),FIND(" ",TRIM(L35))-1))*VLOOKUP(LEFT(LOWER(TRIM(MID(TRIM(L35),FIND(" ",TRIM(L35))+1,99))),3),DurationUnits,2,FALSE),"")))</f>
      </c>
      <c r="N35" s="21">
        <f t="shared" si="1"/>
      </c>
      <c r="O35" s="289">
        <f>IF($E35="","",IFERROR(IF(INDEX('07. BIA'!$AA$6:$AA$285,MATCH($E35,'07. BIA'!$E$6:$E$285,0))="","",INDEX('07. BIA'!$AA$6:$AA$285,MATCH($E35,'07. BIA'!$E$6:$E$285,0))),""))</f>
      </c>
      <c r="P35" s="285">
        <f>IF(C35="","",IF(COUNTIF($C$5:C35,C35)=1,MAX($P$4:P34)+1,""))</f>
      </c>
      <c r="Q35" s="285">
        <f>IF(D35="","",IF(COUNTIF($D$5:D35,D35)=1,MAX($Q$4:Q34)+1,""))</f>
      </c>
    </row>
    <row r="36" spans="1:17" ht="21.75" customHeight="1" x14ac:dyDescent="0.35">
      <c r="A36" s="135">
        <v>32</v>
      </c>
      <c r="B36" s="4">
        <f t="shared" si="0"/>
      </c>
      <c r="C36" s="19"/>
      <c r="D36" s="19"/>
      <c r="E36" s="19"/>
      <c r="F36" s="19"/>
      <c r="G36" s="19"/>
      <c r="H36" s="19"/>
      <c r="I36" s="293"/>
      <c r="J36" s="293"/>
      <c r="K36" s="19"/>
      <c r="L36" s="35"/>
      <c r="M36" s="287">
        <f>IF(L36="","",IF(ISNUMBER(L36),L36,IFERROR(VALUE(LEFT(TRIM(L36),FIND(" ",TRIM(L36))-1))*VLOOKUP(LEFT(LOWER(TRIM(MID(TRIM(L36),FIND(" ",TRIM(L36))+1,99))),3),DurationUnits,2,FALSE),"")))</f>
      </c>
      <c r="N36" s="21">
        <f t="shared" si="1"/>
      </c>
      <c r="O36" s="289">
        <f>IF($E36="","",IFERROR(IF(INDEX('07. BIA'!$AA$6:$AA$285,MATCH($E36,'07. BIA'!$E$6:$E$285,0))="","",INDEX('07. BIA'!$AA$6:$AA$285,MATCH($E36,'07. BIA'!$E$6:$E$285,0))),""))</f>
      </c>
      <c r="P36" s="285">
        <f>IF(C36="","",IF(COUNTIF($C$5:C36,C36)=1,MAX($P$4:P35)+1,""))</f>
      </c>
      <c r="Q36" s="285">
        <f>IF(D36="","",IF(COUNTIF($D$5:D36,D36)=1,MAX($Q$4:Q35)+1,""))</f>
      </c>
    </row>
    <row r="37" spans="1:17" ht="15" customHeight="1" x14ac:dyDescent="0.35">
      <c r="A37" s="135">
        <v>33</v>
      </c>
      <c r="B37" s="4">
        <f t="shared" si="0"/>
      </c>
      <c r="C37" s="19"/>
      <c r="D37" s="19"/>
      <c r="E37" s="19"/>
      <c r="F37" s="19"/>
      <c r="G37" s="19"/>
      <c r="H37" s="19"/>
      <c r="I37" s="293"/>
      <c r="J37" s="293"/>
      <c r="K37" s="19"/>
      <c r="L37" s="35"/>
      <c r="M37" s="287">
        <f>IF(L37="","",IF(ISNUMBER(L37),L37,IFERROR(VALUE(LEFT(TRIM(L37),FIND(" ",TRIM(L37))-1))*VLOOKUP(LEFT(LOWER(TRIM(MID(TRIM(L37),FIND(" ",TRIM(L37))+1,99))),3),DurationUnits,2,FALSE),"")))</f>
      </c>
      <c r="N37" s="21">
        <f t="shared" si="1"/>
      </c>
      <c r="O37" s="289">
        <f>IF($E37="","",IFERROR(IF(INDEX('07. BIA'!$AA$6:$AA$285,MATCH($E37,'07. BIA'!$E$6:$E$285,0))="","",INDEX('07. BIA'!$AA$6:$AA$285,MATCH($E37,'07. BIA'!$E$6:$E$285,0))),""))</f>
      </c>
      <c r="P37" s="285">
        <f>IF(C37="","",IF(COUNTIF($C$5:C37,C37)=1,MAX($P$4:P36)+1,""))</f>
      </c>
      <c r="Q37" s="285">
        <f>IF(D37="","",IF(COUNTIF($D$5:D37,D37)=1,MAX($Q$4:Q36)+1,""))</f>
      </c>
    </row>
    <row r="38" spans="1:17" ht="21.75" customHeight="1" x14ac:dyDescent="0.35">
      <c r="A38" s="135">
        <v>34</v>
      </c>
      <c r="B38" s="4">
        <f t="shared" si="0"/>
      </c>
      <c r="C38" s="19"/>
      <c r="D38" s="19"/>
      <c r="E38" s="19"/>
      <c r="F38" s="19"/>
      <c r="G38" s="19"/>
      <c r="H38" s="19"/>
      <c r="I38" s="293"/>
      <c r="J38" s="293"/>
      <c r="K38" s="19"/>
      <c r="L38" s="35"/>
      <c r="M38" s="287">
        <f>IF(L38="","",IF(ISNUMBER(L38),L38,IFERROR(VALUE(LEFT(TRIM(L38),FIND(" ",TRIM(L38))-1))*VLOOKUP(LEFT(LOWER(TRIM(MID(TRIM(L38),FIND(" ",TRIM(L38))+1,99))),3),DurationUnits,2,FALSE),"")))</f>
      </c>
      <c r="N38" s="21">
        <f t="shared" si="1"/>
      </c>
      <c r="O38" s="289">
        <f>IF($E38="","",IFERROR(IF(INDEX('07. BIA'!$AA$6:$AA$285,MATCH($E38,'07. BIA'!$E$6:$E$285,0))="","",INDEX('07. BIA'!$AA$6:$AA$285,MATCH($E38,'07. BIA'!$E$6:$E$285,0))),""))</f>
      </c>
      <c r="P38" s="285">
        <f>IF(C38="","",IF(COUNTIF($C$5:C38,C38)=1,MAX($P$4:P37)+1,""))</f>
      </c>
      <c r="Q38" s="285">
        <f>IF(D38="","",IF(COUNTIF($D$5:D38,D38)=1,MAX($Q$4:Q37)+1,""))</f>
      </c>
    </row>
    <row r="39" spans="1:17" ht="15" customHeight="1" x14ac:dyDescent="0.35">
      <c r="A39" s="135">
        <v>35</v>
      </c>
      <c r="B39" s="4">
        <f t="shared" si="0"/>
      </c>
      <c r="C39" s="19"/>
      <c r="D39" s="19"/>
      <c r="E39" s="19"/>
      <c r="F39" s="19"/>
      <c r="G39" s="19"/>
      <c r="H39" s="19"/>
      <c r="I39" s="293"/>
      <c r="J39" s="293"/>
      <c r="K39" s="19"/>
      <c r="L39" s="35"/>
      <c r="M39" s="287">
        <f>IF(L39="","",IF(ISNUMBER(L39),L39,IFERROR(VALUE(LEFT(TRIM(L39),FIND(" ",TRIM(L39))-1))*VLOOKUP(LEFT(LOWER(TRIM(MID(TRIM(L39),FIND(" ",TRIM(L39))+1,99))),3),DurationUnits,2,FALSE),"")))</f>
      </c>
      <c r="N39" s="21">
        <f t="shared" si="1"/>
      </c>
      <c r="O39" s="289">
        <f>IF($E39="","",IFERROR(IF(INDEX('07. BIA'!$AA$6:$AA$285,MATCH($E39,'07. BIA'!$E$6:$E$285,0))="","",INDEX('07. BIA'!$AA$6:$AA$285,MATCH($E39,'07. BIA'!$E$6:$E$285,0))),""))</f>
      </c>
      <c r="P39" s="285">
        <f>IF(C39="","",IF(COUNTIF($C$5:C39,C39)=1,MAX($P$4:P38)+1,""))</f>
      </c>
      <c r="Q39" s="285">
        <f>IF(D39="","",IF(COUNTIF($D$5:D39,D39)=1,MAX($Q$4:Q38)+1,""))</f>
      </c>
    </row>
    <row r="40" spans="1:17" ht="21.75" customHeight="1" x14ac:dyDescent="0.35">
      <c r="A40" s="135">
        <v>36</v>
      </c>
      <c r="B40" s="4">
        <f t="shared" si="0"/>
      </c>
      <c r="C40" s="19"/>
      <c r="D40" s="19"/>
      <c r="E40" s="19"/>
      <c r="F40" s="19"/>
      <c r="G40" s="19"/>
      <c r="H40" s="19"/>
      <c r="I40" s="293"/>
      <c r="J40" s="293"/>
      <c r="K40" s="19"/>
      <c r="L40" s="35"/>
      <c r="M40" s="287">
        <f>IF(L40="","",IF(ISNUMBER(L40),L40,IFERROR(VALUE(LEFT(TRIM(L40),FIND(" ",TRIM(L40))-1))*VLOOKUP(LEFT(LOWER(TRIM(MID(TRIM(L40),FIND(" ",TRIM(L40))+1,99))),3),DurationUnits,2,FALSE),"")))</f>
      </c>
      <c r="N40" s="21">
        <f t="shared" si="1"/>
      </c>
      <c r="O40" s="289">
        <f>IF($E40="","",IFERROR(IF(INDEX('07. BIA'!$AA$6:$AA$285,MATCH($E40,'07. BIA'!$E$6:$E$285,0))="","",INDEX('07. BIA'!$AA$6:$AA$285,MATCH($E40,'07. BIA'!$E$6:$E$285,0))),""))</f>
      </c>
      <c r="P40" s="285">
        <f>IF(C40="","",IF(COUNTIF($C$5:C40,C40)=1,MAX($P$4:P39)+1,""))</f>
      </c>
      <c r="Q40" s="285">
        <f>IF(D40="","",IF(COUNTIF($D$5:D40,D40)=1,MAX($Q$4:Q39)+1,""))</f>
      </c>
    </row>
    <row r="41" spans="1:17" ht="21.75" customHeight="1" x14ac:dyDescent="0.35">
      <c r="A41" s="135">
        <v>37</v>
      </c>
      <c r="B41" s="4">
        <f t="shared" si="0"/>
      </c>
      <c r="C41" s="19"/>
      <c r="D41" s="19"/>
      <c r="E41" s="19"/>
      <c r="F41" s="19"/>
      <c r="G41" s="19"/>
      <c r="H41" s="19"/>
      <c r="I41" s="293"/>
      <c r="J41" s="293"/>
      <c r="K41" s="19"/>
      <c r="L41" s="35"/>
      <c r="M41" s="287">
        <f>IF(L41="","",IF(ISNUMBER(L41),L41,IFERROR(VALUE(LEFT(TRIM(L41),FIND(" ",TRIM(L41))-1))*VLOOKUP(LEFT(LOWER(TRIM(MID(TRIM(L41),FIND(" ",TRIM(L41))+1,99))),3),DurationUnits,2,FALSE),"")))</f>
      </c>
      <c r="N41" s="21">
        <f t="shared" si="1"/>
      </c>
      <c r="O41" s="289">
        <f>IF($E41="","",IFERROR(IF(INDEX('07. BIA'!$AA$6:$AA$285,MATCH($E41,'07. BIA'!$E$6:$E$285,0))="","",INDEX('07. BIA'!$AA$6:$AA$285,MATCH($E41,'07. BIA'!$E$6:$E$285,0))),""))</f>
      </c>
      <c r="P41" s="285">
        <f>IF(C41="","",IF(COUNTIF($C$5:C41,C41)=1,MAX($P$4:P40)+1,""))</f>
      </c>
      <c r="Q41" s="285">
        <f>IF(D41="","",IF(COUNTIF($D$5:D41,D41)=1,MAX($Q$4:Q40)+1,""))</f>
      </c>
    </row>
    <row r="42" spans="1:17" ht="21.75" customHeight="1" x14ac:dyDescent="0.35">
      <c r="A42" s="135">
        <v>38</v>
      </c>
      <c r="B42" s="4">
        <f t="shared" si="0"/>
      </c>
      <c r="C42" s="19"/>
      <c r="D42" s="19"/>
      <c r="E42" s="19"/>
      <c r="F42" s="19"/>
      <c r="G42" s="19"/>
      <c r="H42" s="19"/>
      <c r="I42" s="293"/>
      <c r="J42" s="293"/>
      <c r="K42" s="19"/>
      <c r="L42" s="35"/>
      <c r="M42" s="287">
        <f>IF(L42="","",IF(ISNUMBER(L42),L42,IFERROR(VALUE(LEFT(TRIM(L42),FIND(" ",TRIM(L42))-1))*VLOOKUP(LEFT(LOWER(TRIM(MID(TRIM(L42),FIND(" ",TRIM(L42))+1,99))),3),DurationUnits,2,FALSE),"")))</f>
      </c>
      <c r="N42" s="21">
        <f t="shared" si="1"/>
      </c>
      <c r="O42" s="289">
        <f>IF($E42="","",IFERROR(IF(INDEX('07. BIA'!$AA$6:$AA$285,MATCH($E42,'07. BIA'!$E$6:$E$285,0))="","",INDEX('07. BIA'!$AA$6:$AA$285,MATCH($E42,'07. BIA'!$E$6:$E$285,0))),""))</f>
      </c>
      <c r="P42" s="285">
        <f>IF(C42="","",IF(COUNTIF($C$5:C42,C42)=1,MAX($P$4:P41)+1,""))</f>
      </c>
      <c r="Q42" s="285">
        <f>IF(D42="","",IF(COUNTIF($D$5:D42,D42)=1,MAX($Q$4:Q41)+1,""))</f>
      </c>
    </row>
    <row r="43" spans="1:17" ht="21.75" customHeight="1" x14ac:dyDescent="0.35">
      <c r="A43" s="135">
        <v>39</v>
      </c>
      <c r="B43" s="4">
        <f t="shared" si="0"/>
      </c>
      <c r="C43" s="19"/>
      <c r="D43" s="19"/>
      <c r="E43" s="19"/>
      <c r="F43" s="19"/>
      <c r="G43" s="19"/>
      <c r="H43" s="19"/>
      <c r="I43" s="293"/>
      <c r="J43" s="293"/>
      <c r="K43" s="19"/>
      <c r="L43" s="35"/>
      <c r="M43" s="287">
        <f>IF(L43="","",IF(ISNUMBER(L43),L43,IFERROR(VALUE(LEFT(TRIM(L43),FIND(" ",TRIM(L43))-1))*VLOOKUP(LEFT(LOWER(TRIM(MID(TRIM(L43),FIND(" ",TRIM(L43))+1,99))),3),DurationUnits,2,FALSE),"")))</f>
      </c>
      <c r="N43" s="21">
        <f t="shared" si="1"/>
      </c>
      <c r="O43" s="289">
        <f>IF($E43="","",IFERROR(IF(INDEX('07. BIA'!$AA$6:$AA$285,MATCH($E43,'07. BIA'!$E$6:$E$285,0))="","",INDEX('07. BIA'!$AA$6:$AA$285,MATCH($E43,'07. BIA'!$E$6:$E$285,0))),""))</f>
      </c>
      <c r="P43" s="285">
        <f>IF(C43="","",IF(COUNTIF($C$5:C43,C43)=1,MAX($P$4:P42)+1,""))</f>
      </c>
      <c r="Q43" s="285">
        <f>IF(D43="","",IF(COUNTIF($D$5:D43,D43)=1,MAX($Q$4:Q42)+1,""))</f>
      </c>
    </row>
    <row r="44" spans="1:17" ht="21.75" customHeight="1" x14ac:dyDescent="0.35">
      <c r="A44" s="135">
        <v>40</v>
      </c>
      <c r="B44" s="4">
        <f t="shared" si="0"/>
      </c>
      <c r="C44" s="19"/>
      <c r="D44" s="19"/>
      <c r="E44" s="19"/>
      <c r="F44" s="19"/>
      <c r="G44" s="19"/>
      <c r="H44" s="19"/>
      <c r="I44" s="293"/>
      <c r="J44" s="293"/>
      <c r="K44" s="19"/>
      <c r="L44" s="35"/>
      <c r="M44" s="287">
        <f>IF(L44="","",IF(ISNUMBER(L44),L44,IFERROR(VALUE(LEFT(TRIM(L44),FIND(" ",TRIM(L44))-1))*VLOOKUP(LEFT(LOWER(TRIM(MID(TRIM(L44),FIND(" ",TRIM(L44))+1,99))),3),DurationUnits,2,FALSE),"")))</f>
      </c>
      <c r="N44" s="21">
        <f t="shared" si="1"/>
      </c>
      <c r="O44" s="289">
        <f>IF($E44="","",IFERROR(IF(INDEX('07. BIA'!$AA$6:$AA$285,MATCH($E44,'07. BIA'!$E$6:$E$285,0))="","",INDEX('07. BIA'!$AA$6:$AA$285,MATCH($E44,'07. BIA'!$E$6:$E$285,0))),""))</f>
      </c>
      <c r="P44" s="285">
        <f>IF(C44="","",IF(COUNTIF($C$5:C44,C44)=1,MAX($P$4:P43)+1,""))</f>
      </c>
      <c r="Q44" s="285">
        <f>IF(D44="","",IF(COUNTIF($D$5:D44,D44)=1,MAX($Q$4:Q43)+1,""))</f>
      </c>
    </row>
    <row r="45" spans="1:17" ht="21.75" customHeight="1" x14ac:dyDescent="0.35">
      <c r="A45" s="135">
        <v>41</v>
      </c>
      <c r="B45" s="4">
        <f t="shared" si="0"/>
      </c>
      <c r="C45" s="19"/>
      <c r="D45" s="19"/>
      <c r="E45" s="19"/>
      <c r="F45" s="19"/>
      <c r="G45" s="19"/>
      <c r="H45" s="19"/>
      <c r="I45" s="293"/>
      <c r="J45" s="293"/>
      <c r="K45" s="19"/>
      <c r="L45" s="35"/>
      <c r="M45" s="287">
        <f>IF(L45="","",IF(ISNUMBER(L45),L45,IFERROR(VALUE(LEFT(TRIM(L45),FIND(" ",TRIM(L45))-1))*VLOOKUP(LEFT(LOWER(TRIM(MID(TRIM(L45),FIND(" ",TRIM(L45))+1,99))),3),DurationUnits,2,FALSE),"")))</f>
      </c>
      <c r="N45" s="21">
        <f t="shared" si="1"/>
      </c>
      <c r="O45" s="289">
        <f>IF($E45="","",IFERROR(IF(INDEX('07. BIA'!$AA$6:$AA$285,MATCH($E45,'07. BIA'!$E$6:$E$285,0))="","",INDEX('07. BIA'!$AA$6:$AA$285,MATCH($E45,'07. BIA'!$E$6:$E$285,0))),""))</f>
      </c>
      <c r="P45" s="285">
        <f>IF(C45="","",IF(COUNTIF($C$5:C45,C45)=1,MAX($P$4:P44)+1,""))</f>
      </c>
      <c r="Q45" s="285">
        <f>IF(D45="","",IF(COUNTIF($D$5:D45,D45)=1,MAX($Q$4:Q44)+1,""))</f>
      </c>
    </row>
    <row r="46" spans="1:17" ht="21.75" customHeight="1" x14ac:dyDescent="0.35">
      <c r="A46" s="135">
        <v>42</v>
      </c>
      <c r="B46" s="4">
        <f t="shared" si="0"/>
      </c>
      <c r="C46" s="19"/>
      <c r="D46" s="19"/>
      <c r="E46" s="19"/>
      <c r="F46" s="19"/>
      <c r="G46" s="19"/>
      <c r="H46" s="19"/>
      <c r="I46" s="293"/>
      <c r="J46" s="293"/>
      <c r="K46" s="19"/>
      <c r="L46" s="35"/>
      <c r="M46" s="287">
        <f>IF(L46="","",IF(ISNUMBER(L46),L46,IFERROR(VALUE(LEFT(TRIM(L46),FIND(" ",TRIM(L46))-1))*VLOOKUP(LEFT(LOWER(TRIM(MID(TRIM(L46),FIND(" ",TRIM(L46))+1,99))),3),DurationUnits,2,FALSE),"")))</f>
      </c>
      <c r="N46" s="21">
        <f t="shared" si="1"/>
      </c>
      <c r="O46" s="289">
        <f>IF($E46="","",IFERROR(IF(INDEX('07. BIA'!$AA$6:$AA$285,MATCH($E46,'07. BIA'!$E$6:$E$285,0))="","",INDEX('07. BIA'!$AA$6:$AA$285,MATCH($E46,'07. BIA'!$E$6:$E$285,0))),""))</f>
      </c>
      <c r="P46" s="285">
        <f>IF(C46="","",IF(COUNTIF($C$5:C46,C46)=1,MAX($P$4:P45)+1,""))</f>
      </c>
      <c r="Q46" s="285">
        <f>IF(D46="","",IF(COUNTIF($D$5:D46,D46)=1,MAX($Q$4:Q45)+1,""))</f>
      </c>
    </row>
    <row r="47" spans="1:17" ht="15" customHeight="1" x14ac:dyDescent="0.35">
      <c r="A47" s="135">
        <v>43</v>
      </c>
      <c r="B47" s="4">
        <f t="shared" si="0"/>
      </c>
      <c r="C47" s="19"/>
      <c r="D47" s="19"/>
      <c r="E47" s="19"/>
      <c r="F47" s="19"/>
      <c r="G47" s="19"/>
      <c r="H47" s="19"/>
      <c r="I47" s="293"/>
      <c r="J47" s="293"/>
      <c r="K47" s="19"/>
      <c r="L47" s="35"/>
      <c r="M47" s="287">
        <f>IF(L47="","",IF(ISNUMBER(L47),L47,IFERROR(VALUE(LEFT(TRIM(L47),FIND(" ",TRIM(L47))-1))*VLOOKUP(LEFT(LOWER(TRIM(MID(TRIM(L47),FIND(" ",TRIM(L47))+1,99))),3),DurationUnits,2,FALSE),"")))</f>
      </c>
      <c r="N47" s="21">
        <f t="shared" si="1"/>
      </c>
      <c r="O47" s="289">
        <f>IF($E47="","",IFERROR(IF(INDEX('07. BIA'!$AA$6:$AA$285,MATCH($E47,'07. BIA'!$E$6:$E$285,0))="","",INDEX('07. BIA'!$AA$6:$AA$285,MATCH($E47,'07. BIA'!$E$6:$E$285,0))),""))</f>
      </c>
      <c r="P47" s="285">
        <f>IF(C47="","",IF(COUNTIF($C$5:C47,C47)=1,MAX($P$4:P46)+1,""))</f>
      </c>
      <c r="Q47" s="285">
        <f>IF(D47="","",IF(COUNTIF($D$5:D47,D47)=1,MAX($Q$4:Q46)+1,""))</f>
      </c>
    </row>
    <row r="48" spans="1:17" ht="15" customHeight="1" x14ac:dyDescent="0.35">
      <c r="A48" s="135">
        <v>44</v>
      </c>
      <c r="B48" s="4">
        <f t="shared" si="0"/>
      </c>
      <c r="C48" s="19"/>
      <c r="D48" s="19"/>
      <c r="E48" s="19"/>
      <c r="F48" s="19"/>
      <c r="G48" s="19"/>
      <c r="H48" s="19"/>
      <c r="I48" s="293"/>
      <c r="J48" s="293"/>
      <c r="K48" s="19"/>
      <c r="L48" s="35"/>
      <c r="M48" s="287">
        <f>IF(L48="","",IF(ISNUMBER(L48),L48,IFERROR(VALUE(LEFT(TRIM(L48),FIND(" ",TRIM(L48))-1))*VLOOKUP(LEFT(LOWER(TRIM(MID(TRIM(L48),FIND(" ",TRIM(L48))+1,99))),3),DurationUnits,2,FALSE),"")))</f>
      </c>
      <c r="N48" s="21">
        <f t="shared" si="1"/>
      </c>
      <c r="O48" s="289">
        <f>IF($E48="","",IFERROR(IF(INDEX('07. BIA'!$AA$6:$AA$285,MATCH($E48,'07. BIA'!$E$6:$E$285,0))="","",INDEX('07. BIA'!$AA$6:$AA$285,MATCH($E48,'07. BIA'!$E$6:$E$285,0))),""))</f>
      </c>
      <c r="P48" s="285">
        <f>IF(C48="","",IF(COUNTIF($C$5:C48,C48)=1,MAX($P$4:P47)+1,""))</f>
      </c>
      <c r="Q48" s="285">
        <f>IF(D48="","",IF(COUNTIF($D$5:D48,D48)=1,MAX($Q$4:Q47)+1,""))</f>
      </c>
    </row>
    <row r="49" spans="1:17" ht="15" customHeight="1" x14ac:dyDescent="0.35">
      <c r="A49" s="139">
        <v>45</v>
      </c>
      <c r="B49" s="140">
        <f t="shared" si="0"/>
      </c>
      <c r="C49" s="141"/>
      <c r="D49" s="141"/>
      <c r="E49" s="141"/>
      <c r="F49" s="141"/>
      <c r="G49" s="141"/>
      <c r="H49" s="141"/>
      <c r="I49" s="294"/>
      <c r="J49" s="294"/>
      <c r="K49" s="141"/>
      <c r="L49" s="143"/>
      <c r="M49" s="288">
        <f>IF(L49="","",IF(ISNUMBER(L49),L49,IFERROR(VALUE(LEFT(TRIM(L49),FIND(" ",TRIM(L49))-1))*VLOOKUP(LEFT(LOWER(TRIM(MID(TRIM(L49),FIND(" ",TRIM(L49))+1,99))),3),DurationUnits,2,FALSE),"")))</f>
      </c>
      <c r="N49" s="144">
        <f t="shared" si="1"/>
      </c>
      <c r="O49" s="290">
        <f>IF($E49="","",IFERROR(IF(INDEX('07. BIA'!$AA$6:$AA$285,MATCH($E49,'07. BIA'!$E$6:$E$285,0))="","",INDEX('07. BIA'!$AA$6:$AA$285,MATCH($E49,'07. BIA'!$E$6:$E$285,0))),""))</f>
      </c>
      <c r="P49" s="285">
        <f>IF(C49="","",IF(COUNTIF($C$5:C49,C49)=1,MAX($P$4:P48)+1,""))</f>
      </c>
      <c r="Q49" s="285">
        <f>IF(D49="","",IF(COUNTIF($D$5:D49,D49)=1,MAX($Q$4:Q48)+1,""))</f>
      </c>
    </row>
    <row r="53" spans="1:17" x14ac:dyDescent="0.35">
      <c r="J53" s="20"/>
    </row>
  </sheetData>
  <sheetProtection selectLockedCells="1"/>
  <mergeCells count="2">
    <mergeCell ref="A1:O1"/>
    <mergeCell ref="A2:O2"/>
  </mergeCells>
  <conditionalFormatting sqref="B5:E49">
    <cfRule type="expression" dxfId="74" priority="1">
      <formula>AND($B5&lt;&gt;"",COUNTIF(ProcessProductCodes,$B5)=0)</formula>
    </cfRule>
  </conditionalFormatting>
  <conditionalFormatting sqref="C5:D49 G5:I49">
    <cfRule type="expression" dxfId="250" priority="2">
      <formula>AND($E5&lt;&gt;"",C5="")</formula>
    </cfRule>
  </conditionalFormatting>
  <dataValidations count="4">
    <dataValidation type="list" allowBlank="1" sqref="I5:I49" xr:uid="{00000000-0002-0000-0400-000000000000}">
      <formula1>lstYN</formula1>
      <formula2>0</formula2>
    </dataValidation>
    <dataValidation type="list" allowBlank="1" sqref="J5:J49" xr:uid="{00000000-0002-0000-0400-000001000000}">
      <formula1>lstCorpCrit</formula1>
      <formula2>0</formula2>
    </dataValidation>
    <dataValidation type="custom" showInputMessage="1" showErrorMessage="1" sqref="G5:H49 C5:E49" xr:uid="{73E68037-2C54-4361-AF36-E9E5046EF39C}">
      <formula1>OR($B5="",LEN(TRIM(C5))&gt;0)</formula1>
    </dataValidation>
    <dataValidation type="custom" allowBlank="1" showInputMessage="1" showErrorMessage="1" sqref="L5:L49" xr:uid="{B89E785C-849E-48E8-9510-33B6FA0BE650}">
      <formula1>OR(L5="",IFERROR(ISNUMBER(M5),FALSE))</formula1>
    </dataValidation>
  </dataValidations>
  <pageMargins left="0.75" right="0.75" top="1" bottom="1" header="0.511811023622047" footer="0.51180555555555596"/>
  <pageSetup paperSize="9" orientation="portrait" horizontalDpi="300" verticalDpi="300"/>
  <headerFooter>
    <oddFooter>&amp;L&amp;A&amp;RPage &amp;P of &amp;N</oddFooter>
  </headerFooter>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19"/>
  <sheetViews>
    <sheetView workbookViewId="0">
      <selection activeCell="A2" sqref="A2:L2"/>
    </sheetView>
  </sheetViews>
  <sheetFormatPr defaultRowHeight="14.5" x14ac:dyDescent="0.35"/>
  <cols>
    <col min="1" max="1" width="6.54296875" bestFit="1" customWidth="1"/>
    <col min="2" max="2" width="15.26953125" bestFit="1" customWidth="1"/>
    <col min="3" max="3" width="19.81640625" style="3" bestFit="1" customWidth="1"/>
    <col min="4" max="4" width="37.7265625" bestFit="1" customWidth="1"/>
    <col min="5" max="5" width="21.54296875" bestFit="1" customWidth="1"/>
    <col min="6" max="6" width="13.7265625" bestFit="1" customWidth="1"/>
    <col min="7" max="7" width="25.81640625" bestFit="1" customWidth="1"/>
    <col min="8" max="8" width="31.453125" bestFit="1" customWidth="1"/>
    <col min="9" max="9" width="36.453125" bestFit="1" customWidth="1"/>
    <col min="10" max="10" width="24.26953125" hidden="1" customWidth="1"/>
    <col min="11" max="11" width="23.453125" hidden="1" customWidth="1"/>
    <col min="12" max="12" width="9.81640625" bestFit="1" customWidth="1"/>
  </cols>
  <sheetData>
    <row r="1" spans="1:12" x14ac:dyDescent="0.35">
      <c r="A1" s="236" t="s">
        <v>436</v>
      </c>
      <c r="B1" s="213"/>
      <c r="C1" s="222"/>
      <c r="D1" s="213"/>
      <c r="E1" s="213"/>
      <c r="F1" s="213"/>
      <c r="G1" s="213"/>
      <c r="H1" s="213"/>
      <c r="I1" s="213"/>
      <c r="J1" s="213"/>
      <c r="K1" s="213"/>
      <c r="L1" s="213"/>
    </row>
    <row r="2" spans="1:12" ht="16.5" x14ac:dyDescent="0.35">
      <c r="A2" s="237"/>
      <c r="B2" s="213"/>
      <c r="C2" s="222"/>
      <c r="D2" s="213"/>
      <c r="E2" s="213"/>
      <c r="F2" s="213"/>
      <c r="G2" s="213"/>
      <c r="H2" s="213"/>
      <c r="I2" s="213"/>
      <c r="J2" s="213"/>
      <c r="K2" s="213"/>
      <c r="L2" s="213"/>
    </row>
    <row r="4" spans="1:12" ht="16" x14ac:dyDescent="0.5">
      <c r="A4" s="148" t="s">
        <v>145</v>
      </c>
      <c r="B4" s="149" t="s">
        <v>146</v>
      </c>
      <c r="C4" s="149" t="s">
        <v>147</v>
      </c>
      <c r="D4" s="149" t="s">
        <v>148</v>
      </c>
      <c r="E4" s="149" t="s">
        <v>149</v>
      </c>
      <c r="F4" s="149" t="s">
        <v>150</v>
      </c>
      <c r="G4" s="149" t="s">
        <v>151</v>
      </c>
      <c r="H4" s="149" t="s">
        <v>152</v>
      </c>
      <c r="I4" s="149" t="s">
        <v>153</v>
      </c>
      <c r="J4" s="149" t="s">
        <v>154</v>
      </c>
      <c r="K4" s="149" t="s">
        <v>155</v>
      </c>
      <c r="L4" s="150" t="s">
        <v>156</v>
      </c>
    </row>
    <row r="5" spans="1:12" s="45" customFormat="1" x14ac:dyDescent="0.35">
      <c r="A5" s="145">
        <v>1</v>
      </c>
      <c r="B5" s="295"/>
      <c r="C5" s="43">
        <f>IF(B5="","",IFERROR(VLOOKUP(B5,'04. Products &amp; Services'!$B$5:$E$49,4,FALSE),""))</f>
      </c>
      <c r="D5" s="39"/>
      <c r="E5" s="295"/>
      <c r="F5" s="36"/>
      <c r="G5" s="36"/>
      <c r="H5" s="36"/>
      <c r="I5" s="295"/>
      <c r="J5" s="291">
        <f>IF($B5="","",IFERROR(IF(INDEX('07. BIA'!$AA$6:$AA$285,MATCH($B5,'07. BIA'!$F$6:$F$285,0))="","",INDEX('07. BIA'!$AA$6:$AA$285,MATCH($B5,'07. BIA'!$F$6:$F$285,0))),""))</f>
      </c>
      <c r="K5" s="291">
        <f>IF($B5="","",IFERROR(IF(INDEX('07. BIA'!$AD$6:$AD$285,MATCH($B5,'07. BIA'!$F$6:$F$285,0))="","",INDEX('07. BIA'!$AD$6:$AD$285,MATCH($B5,'07. BIA'!$F$6:$F$285,0))),""))</f>
      </c>
      <c r="L5" s="146"/>
    </row>
    <row r="6" spans="1:12" s="45" customFormat="1" x14ac:dyDescent="0.35">
      <c r="A6" s="145">
        <v>2</v>
      </c>
      <c r="B6" s="295"/>
      <c r="C6" s="43">
        <f>IF(B6="","",IFERROR(VLOOKUP(B6,'04. Products &amp; Services'!$B$5:$E$49,4,FALSE),""))</f>
      </c>
      <c r="D6" s="38"/>
      <c r="E6" s="295"/>
      <c r="F6" s="36"/>
      <c r="G6" s="36"/>
      <c r="H6" s="36"/>
      <c r="I6" s="295"/>
      <c r="J6" s="291">
        <f>IF($B6="","",IFERROR(IF(INDEX('07. BIA'!$AA$6:$AA$285,MATCH($B6,'07. BIA'!$F$6:$F$285,0))="","",INDEX('07. BIA'!$AA$6:$AA$285,MATCH($B6,'07. BIA'!$F$6:$F$285,0))),""))</f>
      </c>
      <c r="K6" s="291">
        <f>IF($B6="","",IFERROR(IF(INDEX('07. BIA'!$AD$6:$AD$285,MATCH($B6,'07. BIA'!$F$6:$F$285,0))="","",INDEX('07. BIA'!$AD$6:$AD$285,MATCH($B6,'07. BIA'!$F$6:$F$285,0))),""))</f>
      </c>
      <c r="L6" s="146"/>
    </row>
    <row r="7" spans="1:12" s="45" customFormat="1" x14ac:dyDescent="0.35">
      <c r="A7" s="145">
        <v>3</v>
      </c>
      <c r="B7" s="295"/>
      <c r="C7" s="43">
        <f>IF(B7="","",IFERROR(VLOOKUP(B7,'04. Products &amp; Services'!$B$5:$E$49,4,FALSE),""))</f>
      </c>
      <c r="D7" s="38"/>
      <c r="E7" s="295"/>
      <c r="F7" s="36"/>
      <c r="G7" s="36"/>
      <c r="H7" s="36"/>
      <c r="I7" s="295"/>
      <c r="J7" s="291">
        <f>IF($B7="","",IFERROR(IF(INDEX('07. BIA'!$AA$6:$AA$285,MATCH($B7,'07. BIA'!$F$6:$F$285,0))="","",INDEX('07. BIA'!$AA$6:$AA$285,MATCH($B7,'07. BIA'!$F$6:$F$285,0))),""))</f>
      </c>
      <c r="K7" s="291">
        <f>IF($B7="","",IFERROR(IF(INDEX('07. BIA'!$AD$6:$AD$285,MATCH($B7,'07. BIA'!$F$6:$F$285,0))="","",INDEX('07. BIA'!$AD$6:$AD$285,MATCH($B7,'07. BIA'!$F$6:$F$285,0))),""))</f>
      </c>
      <c r="L7" s="146"/>
    </row>
    <row r="8" spans="1:12" s="45" customFormat="1" x14ac:dyDescent="0.35">
      <c r="A8" s="145">
        <v>4</v>
      </c>
      <c r="B8" s="295"/>
      <c r="C8" s="43">
        <f>IF(B8="","",IFERROR(VLOOKUP(B8,'04. Products &amp; Services'!$B$5:$E$49,4,FALSE),""))</f>
      </c>
      <c r="D8" s="39"/>
      <c r="E8" s="295"/>
      <c r="F8" s="36"/>
      <c r="G8" s="36"/>
      <c r="H8" s="36"/>
      <c r="I8" s="295"/>
      <c r="J8" s="291">
        <f>IF($B8="","",IFERROR(IF(INDEX('07. BIA'!$AA$6:$AA$285,MATCH($B8,'07. BIA'!$F$6:$F$285,0))="","",INDEX('07. BIA'!$AA$6:$AA$285,MATCH($B8,'07. BIA'!$F$6:$F$285,0))),""))</f>
      </c>
      <c r="K8" s="291">
        <f>IF($B8="","",IFERROR(IF(INDEX('07. BIA'!$AD$6:$AD$285,MATCH($B8,'07. BIA'!$F$6:$F$285,0))="","",INDEX('07. BIA'!$AD$6:$AD$285,MATCH($B8,'07. BIA'!$F$6:$F$285,0))),""))</f>
      </c>
      <c r="L8" s="146"/>
    </row>
    <row r="9" spans="1:12" s="45" customFormat="1" x14ac:dyDescent="0.35">
      <c r="A9" s="145">
        <v>5</v>
      </c>
      <c r="B9" s="295"/>
      <c r="C9" s="43">
        <f>IF(B9="","",IFERROR(VLOOKUP(B9,'04. Products &amp; Services'!$B$5:$E$49,4,FALSE),""))</f>
      </c>
      <c r="D9" s="38"/>
      <c r="E9" s="295"/>
      <c r="F9" s="36"/>
      <c r="G9" s="36"/>
      <c r="H9" s="36"/>
      <c r="I9" s="295"/>
      <c r="J9" s="291">
        <f>IF($B9="","",IFERROR(IF(INDEX('07. BIA'!$AA$6:$AA$285,MATCH($B9,'07. BIA'!$F$6:$F$285,0))="","",INDEX('07. BIA'!$AA$6:$AA$285,MATCH($B9,'07. BIA'!$F$6:$F$285,0))),""))</f>
      </c>
      <c r="K9" s="291">
        <f>IF($B9="","",IFERROR(IF(INDEX('07. BIA'!$AD$6:$AD$285,MATCH($B9,'07. BIA'!$F$6:$F$285,0))="","",INDEX('07. BIA'!$AD$6:$AD$285,MATCH($B9,'07. BIA'!$F$6:$F$285,0))),""))</f>
      </c>
      <c r="L9" s="146"/>
    </row>
    <row r="10" spans="1:12" s="45" customFormat="1" x14ac:dyDescent="0.35">
      <c r="A10" s="145">
        <v>6</v>
      </c>
      <c r="B10" s="295"/>
      <c r="C10" s="43">
        <f>IF(B10="","",IFERROR(VLOOKUP(B10,'04. Products &amp; Services'!$B$5:$E$49,4,FALSE),""))</f>
      </c>
      <c r="D10" s="38"/>
      <c r="E10" s="295"/>
      <c r="F10" s="36"/>
      <c r="G10" s="36"/>
      <c r="H10" s="36"/>
      <c r="I10" s="295"/>
      <c r="J10" s="291">
        <f>IF($B10="","",IFERROR(IF(INDEX('07. BIA'!$AA$6:$AA$285,MATCH($B10,'07. BIA'!$F$6:$F$285,0))="","",INDEX('07. BIA'!$AA$6:$AA$285,MATCH($B10,'07. BIA'!$F$6:$F$285,0))),""))</f>
      </c>
      <c r="K10" s="291">
        <f>IF($B10="","",IFERROR(IF(INDEX('07. BIA'!$AD$6:$AD$285,MATCH($B10,'07. BIA'!$F$6:$F$285,0))="","",INDEX('07. BIA'!$AD$6:$AD$285,MATCH($B10,'07. BIA'!$F$6:$F$285,0))),""))</f>
      </c>
      <c r="L10" s="146"/>
    </row>
    <row r="11" spans="1:12" s="45" customFormat="1" x14ac:dyDescent="0.35">
      <c r="A11" s="145">
        <v>7</v>
      </c>
      <c r="B11" s="295"/>
      <c r="C11" s="43">
        <f>IF(B11="","",IFERROR(VLOOKUP(B11,'04. Products &amp; Services'!$B$5:$E$49,4,FALSE),""))</f>
      </c>
      <c r="D11" s="38"/>
      <c r="E11" s="295"/>
      <c r="F11" s="36"/>
      <c r="G11" s="36"/>
      <c r="H11" s="36"/>
      <c r="I11" s="295"/>
      <c r="J11" s="291">
        <f>IF($B11="","",IFERROR(IF(INDEX('07. BIA'!$AA$6:$AA$285,MATCH($B11,'07. BIA'!$F$6:$F$285,0))="","",INDEX('07. BIA'!$AA$6:$AA$285,MATCH($B11,'07. BIA'!$F$6:$F$285,0))),""))</f>
      </c>
      <c r="K11" s="291">
        <f>IF($B11="","",IFERROR(IF(INDEX('07. BIA'!$AD$6:$AD$285,MATCH($B11,'07. BIA'!$F$6:$F$285,0))="","",INDEX('07. BIA'!$AD$6:$AD$285,MATCH($B11,'07. BIA'!$F$6:$F$285,0))),""))</f>
      </c>
      <c r="L11" s="146"/>
    </row>
    <row r="12" spans="1:12" s="45" customFormat="1" x14ac:dyDescent="0.35">
      <c r="A12" s="145">
        <v>8</v>
      </c>
      <c r="B12" s="295"/>
      <c r="C12" s="43">
        <f>IF(B12="","",IFERROR(VLOOKUP(B12,'04. Products &amp; Services'!$B$5:$E$49,4,FALSE),""))</f>
      </c>
      <c r="D12" s="38"/>
      <c r="E12" s="295"/>
      <c r="F12" s="36"/>
      <c r="G12" s="36"/>
      <c r="H12" s="36"/>
      <c r="I12" s="295"/>
      <c r="J12" s="291">
        <f>IF($B12="","",IFERROR(IF(INDEX('07. BIA'!$AA$6:$AA$285,MATCH($B12,'07. BIA'!$F$6:$F$285,0))="","",INDEX('07. BIA'!$AA$6:$AA$285,MATCH($B12,'07. BIA'!$F$6:$F$285,0))),""))</f>
      </c>
      <c r="K12" s="291">
        <f>IF($B12="","",IFERROR(IF(INDEX('07. BIA'!$AD$6:$AD$285,MATCH($B12,'07. BIA'!$F$6:$F$285,0))="","",INDEX('07. BIA'!$AD$6:$AD$285,MATCH($B12,'07. BIA'!$F$6:$F$285,0))),""))</f>
      </c>
      <c r="L12" s="146"/>
    </row>
    <row r="13" spans="1:12" s="45" customFormat="1" x14ac:dyDescent="0.35">
      <c r="A13" s="145">
        <v>9</v>
      </c>
      <c r="B13" s="295"/>
      <c r="C13" s="43">
        <f>IF(B13="","",IFERROR(VLOOKUP(B13,'04. Products &amp; Services'!$B$5:$E$49,4,FALSE),""))</f>
      </c>
      <c r="D13" s="38"/>
      <c r="E13" s="295"/>
      <c r="F13" s="36"/>
      <c r="G13" s="36"/>
      <c r="H13" s="36"/>
      <c r="I13" s="295"/>
      <c r="J13" s="291">
        <f>IF($B13="","",IFERROR(IF(INDEX('07. BIA'!$AA$6:$AA$285,MATCH($B13,'07. BIA'!$F$6:$F$285,0))="","",INDEX('07. BIA'!$AA$6:$AA$285,MATCH($B13,'07. BIA'!$F$6:$F$285,0))),""))</f>
      </c>
      <c r="K13" s="291">
        <f>IF($B13="","",IFERROR(IF(INDEX('07. BIA'!$AD$6:$AD$285,MATCH($B13,'07. BIA'!$F$6:$F$285,0))="","",INDEX('07. BIA'!$AD$6:$AD$285,MATCH($B13,'07. BIA'!$F$6:$F$285,0))),""))</f>
      </c>
      <c r="L13" s="146"/>
    </row>
    <row r="14" spans="1:12" s="45" customFormat="1" x14ac:dyDescent="0.35">
      <c r="A14" s="145">
        <v>10</v>
      </c>
      <c r="B14" s="295"/>
      <c r="C14" s="43">
        <f>IF(B14="","",IFERROR(VLOOKUP(B14,'04. Products &amp; Services'!$B$5:$E$49,4,FALSE),""))</f>
      </c>
      <c r="D14" s="38"/>
      <c r="E14" s="295"/>
      <c r="F14" s="36"/>
      <c r="G14" s="36"/>
      <c r="H14" s="36"/>
      <c r="I14" s="295"/>
      <c r="J14" s="291">
        <f>IF($B14="","",IFERROR(IF(INDEX('07. BIA'!$AA$6:$AA$285,MATCH($B14,'07. BIA'!$F$6:$F$285,0))="","",INDEX('07. BIA'!$AA$6:$AA$285,MATCH($B14,'07. BIA'!$F$6:$F$285,0))),""))</f>
      </c>
      <c r="K14" s="291">
        <f>IF($B14="","",IFERROR(IF(INDEX('07. BIA'!$AD$6:$AD$285,MATCH($B14,'07. BIA'!$F$6:$F$285,0))="","",INDEX('07. BIA'!$AD$6:$AD$285,MATCH($B14,'07. BIA'!$F$6:$F$285,0))),""))</f>
      </c>
      <c r="L14" s="146"/>
    </row>
    <row r="15" spans="1:12" s="45" customFormat="1" x14ac:dyDescent="0.35">
      <c r="A15" s="145">
        <v>11</v>
      </c>
      <c r="B15" s="295"/>
      <c r="C15" s="43">
        <f>IF(B15="","",IFERROR(VLOOKUP(B15,'04. Products &amp; Services'!$B$5:$E$49,4,FALSE),""))</f>
      </c>
      <c r="D15" s="38"/>
      <c r="E15" s="295"/>
      <c r="F15" s="36"/>
      <c r="G15" s="36"/>
      <c r="H15" s="36"/>
      <c r="I15" s="295"/>
      <c r="J15" s="291">
        <f>IF($B15="","",IFERROR(IF(INDEX('07. BIA'!$AA$6:$AA$285,MATCH($B15,'07. BIA'!$F$6:$F$285,0))="","",INDEX('07. BIA'!$AA$6:$AA$285,MATCH($B15,'07. BIA'!$F$6:$F$285,0))),""))</f>
      </c>
      <c r="K15" s="291">
        <f>IF($B15="","",IFERROR(IF(INDEX('07. BIA'!$AD$6:$AD$285,MATCH($B15,'07. BIA'!$F$6:$F$285,0))="","",INDEX('07. BIA'!$AD$6:$AD$285,MATCH($B15,'07. BIA'!$F$6:$F$285,0))),""))</f>
      </c>
      <c r="L15" s="146"/>
    </row>
    <row r="16" spans="1:12" s="45" customFormat="1" x14ac:dyDescent="0.35">
      <c r="A16" s="145">
        <v>12</v>
      </c>
      <c r="B16" s="295"/>
      <c r="C16" s="43">
        <f>IF(B16="","",IFERROR(VLOOKUP(B16,'04. Products &amp; Services'!$B$5:$E$49,4,FALSE),""))</f>
      </c>
      <c r="D16" s="38"/>
      <c r="E16" s="295"/>
      <c r="F16" s="36"/>
      <c r="G16" s="36"/>
      <c r="H16" s="36"/>
      <c r="I16" s="295"/>
      <c r="J16" s="291">
        <f>IF($B16="","",IFERROR(IF(INDEX('07. BIA'!$AA$6:$AA$285,MATCH($B16,'07. BIA'!$F$6:$F$285,0))="","",INDEX('07. BIA'!$AA$6:$AA$285,MATCH($B16,'07. BIA'!$F$6:$F$285,0))),""))</f>
      </c>
      <c r="K16" s="291">
        <f>IF($B16="","",IFERROR(IF(INDEX('07. BIA'!$AD$6:$AD$285,MATCH($B16,'07. BIA'!$F$6:$F$285,0))="","",INDEX('07. BIA'!$AD$6:$AD$285,MATCH($B16,'07. BIA'!$F$6:$F$285,0))),""))</f>
      </c>
      <c r="L16" s="146"/>
    </row>
    <row r="17" spans="1:12" x14ac:dyDescent="0.35">
      <c r="A17" s="145">
        <v>13</v>
      </c>
      <c r="B17" s="296"/>
      <c r="C17" s="44">
        <f>IF(B17="","",IFERROR(VLOOKUP(B17,'04. Products &amp; Services'!$B$5:$E$49,4,FALSE),""))</f>
      </c>
      <c r="D17" s="41"/>
      <c r="E17" s="295"/>
      <c r="F17" s="42"/>
      <c r="G17" s="42"/>
      <c r="H17" s="42"/>
      <c r="I17" s="295"/>
      <c r="J17" s="291">
        <f>IF($B17="","",IFERROR(IF(INDEX('07. BIA'!$AA$6:$AA$285,MATCH($B17,'07. BIA'!$F$6:$F$285,0))="","",INDEX('07. BIA'!$AA$6:$AA$285,MATCH($B17,'07. BIA'!$F$6:$F$285,0))),""))</f>
      </c>
      <c r="K17" s="291">
        <f>IF($B17="","",IFERROR(IF(INDEX('07. BIA'!$AD$6:$AD$285,MATCH($B17,'07. BIA'!$F$6:$F$285,0))="","",INDEX('07. BIA'!$AD$6:$AD$285,MATCH($B17,'07. BIA'!$F$6:$F$285,0))),""))</f>
      </c>
      <c r="L17" s="147"/>
    </row>
    <row r="18" spans="1:12" x14ac:dyDescent="0.35">
      <c r="A18" s="145">
        <v>14</v>
      </c>
      <c r="B18" s="296"/>
      <c r="C18" s="44">
        <f>IF(B18="","",IFERROR(VLOOKUP(B18,'04. Products &amp; Services'!$B$5:$E$49,4,FALSE),""))</f>
      </c>
      <c r="D18" s="41"/>
      <c r="E18" s="295"/>
      <c r="F18" s="42"/>
      <c r="G18" s="42"/>
      <c r="H18" s="42"/>
      <c r="I18" s="295"/>
      <c r="J18" s="291">
        <f>IF($B18="","",IFERROR(IF(INDEX('07. BIA'!$AA$6:$AA$285,MATCH($B18,'07. BIA'!$F$6:$F$285,0))="","",INDEX('07. BIA'!$AA$6:$AA$285,MATCH($B18,'07. BIA'!$F$6:$F$285,0))),""))</f>
      </c>
      <c r="K18" s="291">
        <f>IF($B18="","",IFERROR(IF(INDEX('07. BIA'!$AD$6:$AD$285,MATCH($B18,'07. BIA'!$F$6:$F$285,0))="","",INDEX('07. BIA'!$AD$6:$AD$285,MATCH($B18,'07. BIA'!$F$6:$F$285,0))),""))</f>
      </c>
      <c r="L18" s="147"/>
    </row>
    <row r="19" spans="1:12" x14ac:dyDescent="0.35">
      <c r="A19" s="145">
        <v>15</v>
      </c>
      <c r="B19" s="296"/>
      <c r="C19" s="44">
        <f>IF(B19="","",IFERROR(VLOOKUP(B19,'04. Products &amp; Services'!$B$5:$E$49,4,FALSE),""))</f>
      </c>
      <c r="D19" s="41"/>
      <c r="E19" s="295"/>
      <c r="F19" s="42"/>
      <c r="G19" s="42"/>
      <c r="H19" s="42"/>
      <c r="I19" s="295"/>
      <c r="J19" s="291">
        <f>IF($B19="","",IFERROR(IF(INDEX('07. BIA'!$AA$6:$AA$285,MATCH($B19,'07. BIA'!$F$6:$F$285,0))="","",INDEX('07. BIA'!$AA$6:$AA$285,MATCH($B19,'07. BIA'!$F$6:$F$285,0))),""))</f>
      </c>
      <c r="K19" s="291">
        <f>IF($B19="","",IFERROR(IF(INDEX('07. BIA'!$AD$6:$AD$285,MATCH($B19,'07. BIA'!$F$6:$F$285,0))="","",INDEX('07. BIA'!$AD$6:$AD$285,MATCH($B19,'07. BIA'!$F$6:$F$285,0))),""))</f>
      </c>
      <c r="L19" s="147"/>
    </row>
    <row r="20" spans="1:12" x14ac:dyDescent="0.35">
      <c r="A20" s="145">
        <v>16</v>
      </c>
      <c r="B20" s="296"/>
      <c r="C20" s="44">
        <f>IF(B20="","",IFERROR(VLOOKUP(B20,'04. Products &amp; Services'!$B$5:$E$49,4,FALSE),""))</f>
      </c>
      <c r="D20" s="41"/>
      <c r="E20" s="295"/>
      <c r="F20" s="42"/>
      <c r="G20" s="42"/>
      <c r="H20" s="42"/>
      <c r="I20" s="295"/>
      <c r="J20" s="291">
        <f>IF($B20="","",IFERROR(IF(INDEX('07. BIA'!$AA$6:$AA$285,MATCH($B20,'07. BIA'!$F$6:$F$285,0))="","",INDEX('07. BIA'!$AA$6:$AA$285,MATCH($B20,'07. BIA'!$F$6:$F$285,0))),""))</f>
      </c>
      <c r="K20" s="291">
        <f>IF($B20="","",IFERROR(IF(INDEX('07. BIA'!$AD$6:$AD$285,MATCH($B20,'07. BIA'!$F$6:$F$285,0))="","",INDEX('07. BIA'!$AD$6:$AD$285,MATCH($B20,'07. BIA'!$F$6:$F$285,0))),""))</f>
      </c>
      <c r="L20" s="147"/>
    </row>
    <row r="21" spans="1:12" x14ac:dyDescent="0.35">
      <c r="A21" s="145">
        <v>17</v>
      </c>
      <c r="B21" s="296"/>
      <c r="C21" s="44">
        <f>IF(B21="","",IFERROR(VLOOKUP(B21,'04. Products &amp; Services'!$B$5:$E$49,4,FALSE),""))</f>
      </c>
      <c r="D21" s="41"/>
      <c r="E21" s="295"/>
      <c r="F21" s="42"/>
      <c r="G21" s="42"/>
      <c r="H21" s="42"/>
      <c r="I21" s="295"/>
      <c r="J21" s="291">
        <f>IF($B21="","",IFERROR(IF(INDEX('07. BIA'!$AA$6:$AA$285,MATCH($B21,'07. BIA'!$F$6:$F$285,0))="","",INDEX('07. BIA'!$AA$6:$AA$285,MATCH($B21,'07. BIA'!$F$6:$F$285,0))),""))</f>
      </c>
      <c r="K21" s="291">
        <f>IF($B21="","",IFERROR(IF(INDEX('07. BIA'!$AD$6:$AD$285,MATCH($B21,'07. BIA'!$F$6:$F$285,0))="","",INDEX('07. BIA'!$AD$6:$AD$285,MATCH($B21,'07. BIA'!$F$6:$F$285,0))),""))</f>
      </c>
      <c r="L21" s="147"/>
    </row>
    <row r="22" spans="1:12" x14ac:dyDescent="0.35">
      <c r="A22" s="145">
        <v>18</v>
      </c>
      <c r="B22" s="296"/>
      <c r="C22" s="44">
        <f>IF(B22="","",IFERROR(VLOOKUP(B22,'04. Products &amp; Services'!$B$5:$E$49,4,FALSE),""))</f>
      </c>
      <c r="D22" s="41"/>
      <c r="E22" s="295"/>
      <c r="F22" s="42"/>
      <c r="G22" s="42"/>
      <c r="H22" s="42"/>
      <c r="I22" s="295"/>
      <c r="J22" s="291">
        <f>IF($B22="","",IFERROR(IF(INDEX('07. BIA'!$AA$6:$AA$285,MATCH($B22,'07. BIA'!$F$6:$F$285,0))="","",INDEX('07. BIA'!$AA$6:$AA$285,MATCH($B22,'07. BIA'!$F$6:$F$285,0))),""))</f>
      </c>
      <c r="K22" s="291">
        <f>IF($B22="","",IFERROR(IF(INDEX('07. BIA'!$AD$6:$AD$285,MATCH($B22,'07. BIA'!$F$6:$F$285,0))="","",INDEX('07. BIA'!$AD$6:$AD$285,MATCH($B22,'07. BIA'!$F$6:$F$285,0))),""))</f>
      </c>
      <c r="L22" s="147"/>
    </row>
    <row r="23" spans="1:12" x14ac:dyDescent="0.35">
      <c r="A23" s="145">
        <v>19</v>
      </c>
      <c r="B23" s="296"/>
      <c r="C23" s="44">
        <f>IF(B23="","",IFERROR(VLOOKUP(B23,'04. Products &amp; Services'!$B$5:$E$49,4,FALSE),""))</f>
      </c>
      <c r="D23" s="42"/>
      <c r="E23" s="295"/>
      <c r="F23" s="42"/>
      <c r="G23" s="42"/>
      <c r="H23" s="42"/>
      <c r="I23" s="295"/>
      <c r="J23" s="291">
        <f>IF($B23="","",IFERROR(IF(INDEX('07. BIA'!$AA$6:$AA$285,MATCH($B23,'07. BIA'!$F$6:$F$285,0))="","",INDEX('07. BIA'!$AA$6:$AA$285,MATCH($B23,'07. BIA'!$F$6:$F$285,0))),""))</f>
      </c>
      <c r="K23" s="291">
        <f>IF($B23="","",IFERROR(IF(INDEX('07. BIA'!$AD$6:$AD$285,MATCH($B23,'07. BIA'!$F$6:$F$285,0))="","",INDEX('07. BIA'!$AD$6:$AD$285,MATCH($B23,'07. BIA'!$F$6:$F$285,0))),""))</f>
      </c>
      <c r="L23" s="147"/>
    </row>
    <row r="24" spans="1:12" x14ac:dyDescent="0.35">
      <c r="A24" s="145">
        <v>20</v>
      </c>
      <c r="B24" s="296"/>
      <c r="C24" s="44">
        <f>IF(B24="","",IFERROR(VLOOKUP(B24,'04. Products &amp; Services'!$B$5:$E$49,4,FALSE),""))</f>
      </c>
      <c r="D24" s="42"/>
      <c r="E24" s="295"/>
      <c r="F24" s="42"/>
      <c r="G24" s="42"/>
      <c r="H24" s="42"/>
      <c r="I24" s="295"/>
      <c r="J24" s="291">
        <f>IF($B24="","",IFERROR(IF(INDEX('07. BIA'!$AA$6:$AA$285,MATCH($B24,'07. BIA'!$F$6:$F$285,0))="","",INDEX('07. BIA'!$AA$6:$AA$285,MATCH($B24,'07. BIA'!$F$6:$F$285,0))),""))</f>
      </c>
      <c r="K24" s="291">
        <f>IF($B24="","",IFERROR(IF(INDEX('07. BIA'!$AD$6:$AD$285,MATCH($B24,'07. BIA'!$F$6:$F$285,0))="","",INDEX('07. BIA'!$AD$6:$AD$285,MATCH($B24,'07. BIA'!$F$6:$F$285,0))),""))</f>
      </c>
      <c r="L24" s="147"/>
    </row>
    <row r="25" spans="1:12" x14ac:dyDescent="0.35">
      <c r="A25" s="145">
        <v>21</v>
      </c>
      <c r="B25" s="296"/>
      <c r="C25" s="44">
        <f>IF(B25="","",IFERROR(VLOOKUP(B25,'04. Products &amp; Services'!$B$5:$E$49,4,FALSE),""))</f>
      </c>
      <c r="D25" s="42"/>
      <c r="E25" s="295"/>
      <c r="F25" s="42"/>
      <c r="G25" s="42"/>
      <c r="H25" s="42"/>
      <c r="I25" s="295"/>
      <c r="J25" s="291">
        <f>IF($B25="","",IFERROR(IF(INDEX('07. BIA'!$AA$6:$AA$285,MATCH($B25,'07. BIA'!$F$6:$F$285,0))="","",INDEX('07. BIA'!$AA$6:$AA$285,MATCH($B25,'07. BIA'!$F$6:$F$285,0))),""))</f>
      </c>
      <c r="K25" s="291">
        <f>IF($B25="","",IFERROR(IF(INDEX('07. BIA'!$AD$6:$AD$285,MATCH($B25,'07. BIA'!$F$6:$F$285,0))="","",INDEX('07. BIA'!$AD$6:$AD$285,MATCH($B25,'07. BIA'!$F$6:$F$285,0))),""))</f>
      </c>
      <c r="L25" s="147"/>
    </row>
    <row r="26" spans="1:12" x14ac:dyDescent="0.35">
      <c r="A26" s="145">
        <v>22</v>
      </c>
      <c r="B26" s="296"/>
      <c r="C26" s="44">
        <f>IF(B26="","",IFERROR(VLOOKUP(B26,'04. Products &amp; Services'!$B$5:$E$49,4,FALSE),""))</f>
      </c>
      <c r="D26" s="42"/>
      <c r="E26" s="295"/>
      <c r="F26" s="42"/>
      <c r="G26" s="42"/>
      <c r="H26" s="42"/>
      <c r="I26" s="295"/>
      <c r="J26" s="291">
        <f>IF($B26="","",IFERROR(IF(INDEX('07. BIA'!$AA$6:$AA$285,MATCH($B26,'07. BIA'!$F$6:$F$285,0))="","",INDEX('07. BIA'!$AA$6:$AA$285,MATCH($B26,'07. BIA'!$F$6:$F$285,0))),""))</f>
      </c>
      <c r="K26" s="291">
        <f>IF($B26="","",IFERROR(IF(INDEX('07. BIA'!$AD$6:$AD$285,MATCH($B26,'07. BIA'!$F$6:$F$285,0))="","",INDEX('07. BIA'!$AD$6:$AD$285,MATCH($B26,'07. BIA'!$F$6:$F$285,0))),""))</f>
      </c>
      <c r="L26" s="147"/>
    </row>
    <row r="27" spans="1:12" x14ac:dyDescent="0.35">
      <c r="A27" s="145">
        <v>23</v>
      </c>
      <c r="B27" s="296"/>
      <c r="C27" s="44">
        <f>IF(B27="","",IFERROR(VLOOKUP(B27,'04. Products &amp; Services'!$B$5:$E$49,4,FALSE),""))</f>
      </c>
      <c r="D27" s="42"/>
      <c r="E27" s="295"/>
      <c r="F27" s="42"/>
      <c r="G27" s="42"/>
      <c r="H27" s="42"/>
      <c r="I27" s="295"/>
      <c r="J27" s="291">
        <f>IF($B27="","",IFERROR(IF(INDEX('07. BIA'!$AA$6:$AA$285,MATCH($B27,'07. BIA'!$F$6:$F$285,0))="","",INDEX('07. BIA'!$AA$6:$AA$285,MATCH($B27,'07. BIA'!$F$6:$F$285,0))),""))</f>
      </c>
      <c r="K27" s="291">
        <f>IF($B27="","",IFERROR(IF(INDEX('07. BIA'!$AD$6:$AD$285,MATCH($B27,'07. BIA'!$F$6:$F$285,0))="","",INDEX('07. BIA'!$AD$6:$AD$285,MATCH($B27,'07. BIA'!$F$6:$F$285,0))),""))</f>
      </c>
      <c r="L27" s="147"/>
    </row>
    <row r="28" spans="1:12" x14ac:dyDescent="0.35">
      <c r="A28" s="145">
        <v>24</v>
      </c>
      <c r="B28" s="296"/>
      <c r="C28" s="44">
        <f>IF(B28="","",IFERROR(VLOOKUP(B28,'04. Products &amp; Services'!$B$5:$E$49,4,FALSE),""))</f>
      </c>
      <c r="D28" s="42"/>
      <c r="E28" s="295"/>
      <c r="F28" s="42"/>
      <c r="G28" s="42"/>
      <c r="H28" s="42"/>
      <c r="I28" s="295"/>
      <c r="J28" s="291">
        <f>IF($B28="","",IFERROR(IF(INDEX('07. BIA'!$AA$6:$AA$285,MATCH($B28,'07. BIA'!$F$6:$F$285,0))="","",INDEX('07. BIA'!$AA$6:$AA$285,MATCH($B28,'07. BIA'!$F$6:$F$285,0))),""))</f>
      </c>
      <c r="K28" s="291">
        <f>IF($B28="","",IFERROR(IF(INDEX('07. BIA'!$AD$6:$AD$285,MATCH($B28,'07. BIA'!$F$6:$F$285,0))="","",INDEX('07. BIA'!$AD$6:$AD$285,MATCH($B28,'07. BIA'!$F$6:$F$285,0))),""))</f>
      </c>
      <c r="L28" s="147"/>
    </row>
    <row r="29" spans="1:12" x14ac:dyDescent="0.35">
      <c r="A29" s="145">
        <v>25</v>
      </c>
      <c r="B29" s="296"/>
      <c r="C29" s="44">
        <f>IF(B29="","",IFERROR(VLOOKUP(B29,'04. Products &amp; Services'!$B$5:$E$49,4,FALSE),""))</f>
      </c>
      <c r="D29" s="42"/>
      <c r="E29" s="295"/>
      <c r="F29" s="42"/>
      <c r="G29" s="42"/>
      <c r="H29" s="42"/>
      <c r="I29" s="295"/>
      <c r="J29" s="291">
        <f>IF($B29="","",IFERROR(IF(INDEX('07. BIA'!$AA$6:$AA$285,MATCH($B29,'07. BIA'!$F$6:$F$285,0))="","",INDEX('07. BIA'!$AA$6:$AA$285,MATCH($B29,'07. BIA'!$F$6:$F$285,0))),""))</f>
      </c>
      <c r="K29" s="291">
        <f>IF($B29="","",IFERROR(IF(INDEX('07. BIA'!$AD$6:$AD$285,MATCH($B29,'07. BIA'!$F$6:$F$285,0))="","",INDEX('07. BIA'!$AD$6:$AD$285,MATCH($B29,'07. BIA'!$F$6:$F$285,0))),""))</f>
      </c>
      <c r="L29" s="147"/>
    </row>
    <row r="30" spans="1:12" x14ac:dyDescent="0.35">
      <c r="A30" s="145">
        <v>26</v>
      </c>
      <c r="B30" s="296"/>
      <c r="C30" s="44">
        <f>IF(B30="","",IFERROR(VLOOKUP(B30,'04. Products &amp; Services'!$B$5:$E$49,4,FALSE),""))</f>
      </c>
      <c r="D30" s="42"/>
      <c r="E30" s="295"/>
      <c r="F30" s="42"/>
      <c r="G30" s="42"/>
      <c r="H30" s="42"/>
      <c r="I30" s="295"/>
      <c r="J30" s="291">
        <f>IF($B30="","",IFERROR(IF(INDEX('07. BIA'!$AA$6:$AA$285,MATCH($B30,'07. BIA'!$F$6:$F$285,0))="","",INDEX('07. BIA'!$AA$6:$AA$285,MATCH($B30,'07. BIA'!$F$6:$F$285,0))),""))</f>
      </c>
      <c r="K30" s="291">
        <f>IF($B30="","",IFERROR(IF(INDEX('07. BIA'!$AD$6:$AD$285,MATCH($B30,'07. BIA'!$F$6:$F$285,0))="","",INDEX('07. BIA'!$AD$6:$AD$285,MATCH($B30,'07. BIA'!$F$6:$F$285,0))),""))</f>
      </c>
      <c r="L30" s="147"/>
    </row>
    <row r="31" spans="1:12" x14ac:dyDescent="0.35">
      <c r="A31" s="145">
        <v>27</v>
      </c>
      <c r="B31" s="296"/>
      <c r="C31" s="44">
        <f>IF(B31="","",IFERROR(VLOOKUP(B31,'04. Products &amp; Services'!$B$5:$E$49,4,FALSE),""))</f>
      </c>
      <c r="D31" s="42"/>
      <c r="E31" s="295"/>
      <c r="F31" s="42"/>
      <c r="G31" s="42"/>
      <c r="H31" s="42"/>
      <c r="I31" s="295"/>
      <c r="J31" s="291">
        <f>IF($B31="","",IFERROR(IF(INDEX('07. BIA'!$AA$6:$AA$285,MATCH($B31,'07. BIA'!$F$6:$F$285,0))="","",INDEX('07. BIA'!$AA$6:$AA$285,MATCH($B31,'07. BIA'!$F$6:$F$285,0))),""))</f>
      </c>
      <c r="K31" s="291">
        <f>IF($B31="","",IFERROR(IF(INDEX('07. BIA'!$AD$6:$AD$285,MATCH($B31,'07. BIA'!$F$6:$F$285,0))="","",INDEX('07. BIA'!$AD$6:$AD$285,MATCH($B31,'07. BIA'!$F$6:$F$285,0))),""))</f>
      </c>
      <c r="L31" s="147"/>
    </row>
    <row r="32" spans="1:12" x14ac:dyDescent="0.35">
      <c r="A32" s="145">
        <v>28</v>
      </c>
      <c r="B32" s="296"/>
      <c r="C32" s="44">
        <f>IF(B32="","",IFERROR(VLOOKUP(B32,'04. Products &amp; Services'!$B$5:$E$49,4,FALSE),""))</f>
      </c>
      <c r="D32" s="42"/>
      <c r="E32" s="295"/>
      <c r="F32" s="42"/>
      <c r="G32" s="42"/>
      <c r="H32" s="42"/>
      <c r="I32" s="295"/>
      <c r="J32" s="291">
        <f>IF($B32="","",IFERROR(IF(INDEX('07. BIA'!$AA$6:$AA$285,MATCH($B32,'07. BIA'!$F$6:$F$285,0))="","",INDEX('07. BIA'!$AA$6:$AA$285,MATCH($B32,'07. BIA'!$F$6:$F$285,0))),""))</f>
      </c>
      <c r="K32" s="291">
        <f>IF($B32="","",IFERROR(IF(INDEX('07. BIA'!$AD$6:$AD$285,MATCH($B32,'07. BIA'!$F$6:$F$285,0))="","",INDEX('07. BIA'!$AD$6:$AD$285,MATCH($B32,'07. BIA'!$F$6:$F$285,0))),""))</f>
      </c>
      <c r="L32" s="147"/>
    </row>
    <row r="33" spans="1:12" x14ac:dyDescent="0.35">
      <c r="A33" s="145">
        <v>29</v>
      </c>
      <c r="B33" s="296"/>
      <c r="C33" s="44">
        <f>IF(B33="","",IFERROR(VLOOKUP(B33,'04. Products &amp; Services'!$B$5:$E$49,4,FALSE),""))</f>
      </c>
      <c r="D33" s="42"/>
      <c r="E33" s="295"/>
      <c r="F33" s="42"/>
      <c r="G33" s="42"/>
      <c r="H33" s="42"/>
      <c r="I33" s="295"/>
      <c r="J33" s="291">
        <f>IF($B33="","",IFERROR(IF(INDEX('07. BIA'!$AA$6:$AA$285,MATCH($B33,'07. BIA'!$F$6:$F$285,0))="","",INDEX('07. BIA'!$AA$6:$AA$285,MATCH($B33,'07. BIA'!$F$6:$F$285,0))),""))</f>
      </c>
      <c r="K33" s="291">
        <f>IF($B33="","",IFERROR(IF(INDEX('07. BIA'!$AD$6:$AD$285,MATCH($B33,'07. BIA'!$F$6:$F$285,0))="","",INDEX('07. BIA'!$AD$6:$AD$285,MATCH($B33,'07. BIA'!$F$6:$F$285,0))),""))</f>
      </c>
      <c r="L33" s="147"/>
    </row>
    <row r="34" spans="1:12" x14ac:dyDescent="0.35">
      <c r="A34" s="145">
        <v>30</v>
      </c>
      <c r="B34" s="296"/>
      <c r="C34" s="44">
        <f>IF(B34="","",IFERROR(VLOOKUP(B34,'04. Products &amp; Services'!$B$5:$E$49,4,FALSE),""))</f>
      </c>
      <c r="D34" s="42"/>
      <c r="E34" s="295"/>
      <c r="F34" s="42"/>
      <c r="G34" s="42"/>
      <c r="H34" s="42"/>
      <c r="I34" s="295"/>
      <c r="J34" s="291">
        <f>IF($B34="","",IFERROR(IF(INDEX('07. BIA'!$AA$6:$AA$285,MATCH($B34,'07. BIA'!$F$6:$F$285,0))="","",INDEX('07. BIA'!$AA$6:$AA$285,MATCH($B34,'07. BIA'!$F$6:$F$285,0))),""))</f>
      </c>
      <c r="K34" s="291">
        <f>IF($B34="","",IFERROR(IF(INDEX('07. BIA'!$AD$6:$AD$285,MATCH($B34,'07. BIA'!$F$6:$F$285,0))="","",INDEX('07. BIA'!$AD$6:$AD$285,MATCH($B34,'07. BIA'!$F$6:$F$285,0))),""))</f>
      </c>
      <c r="L34" s="147"/>
    </row>
    <row r="35" spans="1:12" x14ac:dyDescent="0.35">
      <c r="A35" s="145">
        <v>31</v>
      </c>
      <c r="B35" s="296"/>
      <c r="C35" s="44">
        <f>IF(B35="","",IFERROR(VLOOKUP(B35,'04. Products &amp; Services'!$B$5:$E$49,4,FALSE),""))</f>
      </c>
      <c r="D35" s="42"/>
      <c r="E35" s="295"/>
      <c r="F35" s="42"/>
      <c r="G35" s="42"/>
      <c r="H35" s="42"/>
      <c r="I35" s="295"/>
      <c r="J35" s="291">
        <f>IF($B35="","",IFERROR(IF(INDEX('07. BIA'!$AA$6:$AA$285,MATCH($B35,'07. BIA'!$F$6:$F$285,0))="","",INDEX('07. BIA'!$AA$6:$AA$285,MATCH($B35,'07. BIA'!$F$6:$F$285,0))),""))</f>
      </c>
      <c r="K35" s="291">
        <f>IF($B35="","",IFERROR(IF(INDEX('07. BIA'!$AD$6:$AD$285,MATCH($B35,'07. BIA'!$F$6:$F$285,0))="","",INDEX('07. BIA'!$AD$6:$AD$285,MATCH($B35,'07. BIA'!$F$6:$F$285,0))),""))</f>
      </c>
      <c r="L35" s="147"/>
    </row>
    <row r="36" spans="1:12" x14ac:dyDescent="0.35">
      <c r="A36" s="145">
        <v>32</v>
      </c>
      <c r="B36" s="296"/>
      <c r="C36" s="44">
        <f>IF(B36="","",IFERROR(VLOOKUP(B36,'04. Products &amp; Services'!$B$5:$E$49,4,FALSE),""))</f>
      </c>
      <c r="D36" s="42"/>
      <c r="E36" s="295"/>
      <c r="F36" s="42"/>
      <c r="G36" s="42"/>
      <c r="H36" s="42"/>
      <c r="I36" s="295"/>
      <c r="J36" s="291">
        <f>IF($B36="","",IFERROR(IF(INDEX('07. BIA'!$AA$6:$AA$285,MATCH($B36,'07. BIA'!$F$6:$F$285,0))="","",INDEX('07. BIA'!$AA$6:$AA$285,MATCH($B36,'07. BIA'!$F$6:$F$285,0))),""))</f>
      </c>
      <c r="K36" s="291">
        <f>IF($B36="","",IFERROR(IF(INDEX('07. BIA'!$AD$6:$AD$285,MATCH($B36,'07. BIA'!$F$6:$F$285,0))="","",INDEX('07. BIA'!$AD$6:$AD$285,MATCH($B36,'07. BIA'!$F$6:$F$285,0))),""))</f>
      </c>
      <c r="L36" s="147"/>
    </row>
    <row r="37" spans="1:12" x14ac:dyDescent="0.35">
      <c r="A37" s="145">
        <v>33</v>
      </c>
      <c r="B37" s="296"/>
      <c r="C37" s="44">
        <f>IF(B37="","",IFERROR(VLOOKUP(B37,'04. Products &amp; Services'!$B$5:$E$49,4,FALSE),""))</f>
      </c>
      <c r="D37" s="42"/>
      <c r="E37" s="295"/>
      <c r="F37" s="42"/>
      <c r="G37" s="42"/>
      <c r="H37" s="42"/>
      <c r="I37" s="295"/>
      <c r="J37" s="291">
        <f>IF($B37="","",IFERROR(IF(INDEX('07. BIA'!$AA$6:$AA$285,MATCH($B37,'07. BIA'!$F$6:$F$285,0))="","",INDEX('07. BIA'!$AA$6:$AA$285,MATCH($B37,'07. BIA'!$F$6:$F$285,0))),""))</f>
      </c>
      <c r="K37" s="291">
        <f>IF($B37="","",IFERROR(IF(INDEX('07. BIA'!$AD$6:$AD$285,MATCH($B37,'07. BIA'!$F$6:$F$285,0))="","",INDEX('07. BIA'!$AD$6:$AD$285,MATCH($B37,'07. BIA'!$F$6:$F$285,0))),""))</f>
      </c>
      <c r="L37" s="147"/>
    </row>
    <row r="38" spans="1:12" x14ac:dyDescent="0.35">
      <c r="A38" s="145">
        <v>34</v>
      </c>
      <c r="B38" s="296"/>
      <c r="C38" s="44">
        <f>IF(B38="","",IFERROR(VLOOKUP(B38,'04. Products &amp; Services'!$B$5:$E$49,4,FALSE),""))</f>
      </c>
      <c r="D38" s="42"/>
      <c r="E38" s="295"/>
      <c r="F38" s="42"/>
      <c r="G38" s="42"/>
      <c r="H38" s="42"/>
      <c r="I38" s="295"/>
      <c r="J38" s="291">
        <f>IF($B38="","",IFERROR(IF(INDEX('07. BIA'!$AA$6:$AA$285,MATCH($B38,'07. BIA'!$F$6:$F$285,0))="","",INDEX('07. BIA'!$AA$6:$AA$285,MATCH($B38,'07. BIA'!$F$6:$F$285,0))),""))</f>
      </c>
      <c r="K38" s="291">
        <f>IF($B38="","",IFERROR(IF(INDEX('07. BIA'!$AD$6:$AD$285,MATCH($B38,'07. BIA'!$F$6:$F$285,0))="","",INDEX('07. BIA'!$AD$6:$AD$285,MATCH($B38,'07. BIA'!$F$6:$F$285,0))),""))</f>
      </c>
      <c r="L38" s="147"/>
    </row>
    <row r="39" spans="1:12" x14ac:dyDescent="0.35">
      <c r="A39" s="145">
        <v>35</v>
      </c>
      <c r="B39" s="296"/>
      <c r="C39" s="44">
        <f>IF(B39="","",IFERROR(VLOOKUP(B39,'04. Products &amp; Services'!$B$5:$E$49,4,FALSE),""))</f>
      </c>
      <c r="D39" s="42"/>
      <c r="E39" s="295"/>
      <c r="F39" s="42"/>
      <c r="G39" s="42"/>
      <c r="H39" s="42"/>
      <c r="I39" s="295"/>
      <c r="J39" s="291">
        <f>IF($B39="","",IFERROR(IF(INDEX('07. BIA'!$AA$6:$AA$285,MATCH($B39,'07. BIA'!$F$6:$F$285,0))="","",INDEX('07. BIA'!$AA$6:$AA$285,MATCH($B39,'07. BIA'!$F$6:$F$285,0))),""))</f>
      </c>
      <c r="K39" s="291">
        <f>IF($B39="","",IFERROR(IF(INDEX('07. BIA'!$AD$6:$AD$285,MATCH($B39,'07. BIA'!$F$6:$F$285,0))="","",INDEX('07. BIA'!$AD$6:$AD$285,MATCH($B39,'07. BIA'!$F$6:$F$285,0))),""))</f>
      </c>
      <c r="L39" s="147"/>
    </row>
    <row r="40" spans="1:12" x14ac:dyDescent="0.35">
      <c r="A40" s="145">
        <v>36</v>
      </c>
      <c r="B40" s="296"/>
      <c r="C40" s="44">
        <f>IF(B40="","",IFERROR(VLOOKUP(B40,'04. Products &amp; Services'!$B$5:$E$49,4,FALSE),""))</f>
      </c>
      <c r="D40" s="42"/>
      <c r="E40" s="295"/>
      <c r="F40" s="42"/>
      <c r="G40" s="42"/>
      <c r="H40" s="42"/>
      <c r="I40" s="295"/>
      <c r="J40" s="291">
        <f>IF($B40="","",IFERROR(IF(INDEX('07. BIA'!$AA$6:$AA$285,MATCH($B40,'07. BIA'!$F$6:$F$285,0))="","",INDEX('07. BIA'!$AA$6:$AA$285,MATCH($B40,'07. BIA'!$F$6:$F$285,0))),""))</f>
      </c>
      <c r="K40" s="291">
        <f>IF($B40="","",IFERROR(IF(INDEX('07. BIA'!$AD$6:$AD$285,MATCH($B40,'07. BIA'!$F$6:$F$285,0))="","",INDEX('07. BIA'!$AD$6:$AD$285,MATCH($B40,'07. BIA'!$F$6:$F$285,0))),""))</f>
      </c>
      <c r="L40" s="147"/>
    </row>
    <row r="41" spans="1:12" x14ac:dyDescent="0.35">
      <c r="A41" s="145">
        <v>37</v>
      </c>
      <c r="B41" s="296"/>
      <c r="C41" s="44">
        <f>IF(B41="","",IFERROR(VLOOKUP(B41,'04. Products &amp; Services'!$B$5:$E$49,4,FALSE),""))</f>
      </c>
      <c r="D41" s="42"/>
      <c r="E41" s="295"/>
      <c r="F41" s="42"/>
      <c r="G41" s="42"/>
      <c r="H41" s="42"/>
      <c r="I41" s="295"/>
      <c r="J41" s="291">
        <f>IF($B41="","",IFERROR(IF(INDEX('07. BIA'!$AA$6:$AA$285,MATCH($B41,'07. BIA'!$F$6:$F$285,0))="","",INDEX('07. BIA'!$AA$6:$AA$285,MATCH($B41,'07. BIA'!$F$6:$F$285,0))),""))</f>
      </c>
      <c r="K41" s="291">
        <f>IF($B41="","",IFERROR(IF(INDEX('07. BIA'!$AD$6:$AD$285,MATCH($B41,'07. BIA'!$F$6:$F$285,0))="","",INDEX('07. BIA'!$AD$6:$AD$285,MATCH($B41,'07. BIA'!$F$6:$F$285,0))),""))</f>
      </c>
      <c r="L41" s="147"/>
    </row>
    <row r="42" spans="1:12" x14ac:dyDescent="0.35">
      <c r="A42" s="145">
        <v>38</v>
      </c>
      <c r="B42" s="296"/>
      <c r="C42" s="44">
        <f>IF(B42="","",IFERROR(VLOOKUP(B42,'04. Products &amp; Services'!$B$5:$E$49,4,FALSE),""))</f>
      </c>
      <c r="D42" s="42"/>
      <c r="E42" s="295"/>
      <c r="F42" s="42"/>
      <c r="G42" s="42"/>
      <c r="H42" s="42"/>
      <c r="I42" s="295"/>
      <c r="J42" s="291">
        <f>IF($B42="","",IFERROR(IF(INDEX('07. BIA'!$AA$6:$AA$285,MATCH($B42,'07. BIA'!$F$6:$F$285,0))="","",INDEX('07. BIA'!$AA$6:$AA$285,MATCH($B42,'07. BIA'!$F$6:$F$285,0))),""))</f>
      </c>
      <c r="K42" s="291">
        <f>IF($B42="","",IFERROR(IF(INDEX('07. BIA'!$AD$6:$AD$285,MATCH($B42,'07. BIA'!$F$6:$F$285,0))="","",INDEX('07. BIA'!$AD$6:$AD$285,MATCH($B42,'07. BIA'!$F$6:$F$285,0))),""))</f>
      </c>
      <c r="L42" s="147"/>
    </row>
    <row r="43" spans="1:12" x14ac:dyDescent="0.35">
      <c r="A43" s="145">
        <v>39</v>
      </c>
      <c r="B43" s="296"/>
      <c r="C43" s="44">
        <f>IF(B43="","",IFERROR(VLOOKUP(B43,'04. Products &amp; Services'!$B$5:$E$49,4,FALSE),""))</f>
      </c>
      <c r="D43" s="42"/>
      <c r="E43" s="295"/>
      <c r="F43" s="42"/>
      <c r="G43" s="42"/>
      <c r="H43" s="42"/>
      <c r="I43" s="295"/>
      <c r="J43" s="291">
        <f>IF($B43="","",IFERROR(IF(INDEX('07. BIA'!$AA$6:$AA$285,MATCH($B43,'07. BIA'!$F$6:$F$285,0))="","",INDEX('07. BIA'!$AA$6:$AA$285,MATCH($B43,'07. BIA'!$F$6:$F$285,0))),""))</f>
      </c>
      <c r="K43" s="291">
        <f>IF($B43="","",IFERROR(IF(INDEX('07. BIA'!$AD$6:$AD$285,MATCH($B43,'07. BIA'!$F$6:$F$285,0))="","",INDEX('07. BIA'!$AD$6:$AD$285,MATCH($B43,'07. BIA'!$F$6:$F$285,0))),""))</f>
      </c>
      <c r="L43" s="147"/>
    </row>
    <row r="44" spans="1:12" x14ac:dyDescent="0.35">
      <c r="A44" s="145">
        <v>40</v>
      </c>
      <c r="B44" s="296"/>
      <c r="C44" s="44">
        <f>IF(B44="","",IFERROR(VLOOKUP(B44,'04. Products &amp; Services'!$B$5:$E$49,4,FALSE),""))</f>
      </c>
      <c r="D44" s="42"/>
      <c r="E44" s="295"/>
      <c r="F44" s="42"/>
      <c r="G44" s="42"/>
      <c r="H44" s="42"/>
      <c r="I44" s="295"/>
      <c r="J44" s="291">
        <f>IF($B44="","",IFERROR(IF(INDEX('07. BIA'!$AA$6:$AA$285,MATCH($B44,'07. BIA'!$F$6:$F$285,0))="","",INDEX('07. BIA'!$AA$6:$AA$285,MATCH($B44,'07. BIA'!$F$6:$F$285,0))),""))</f>
      </c>
      <c r="K44" s="291">
        <f>IF($B44="","",IFERROR(IF(INDEX('07. BIA'!$AD$6:$AD$285,MATCH($B44,'07. BIA'!$F$6:$F$285,0))="","",INDEX('07. BIA'!$AD$6:$AD$285,MATCH($B44,'07. BIA'!$F$6:$F$285,0))),""))</f>
      </c>
      <c r="L44" s="147"/>
    </row>
    <row r="45" spans="1:12" x14ac:dyDescent="0.35">
      <c r="A45" s="145">
        <v>41</v>
      </c>
      <c r="B45" s="296"/>
      <c r="C45" s="44">
        <f>IF(B45="","",IFERROR(VLOOKUP(B45,'04. Products &amp; Services'!$B$5:$E$49,4,FALSE),""))</f>
      </c>
      <c r="D45" s="42"/>
      <c r="E45" s="295"/>
      <c r="F45" s="42"/>
      <c r="G45" s="42"/>
      <c r="H45" s="42"/>
      <c r="I45" s="295"/>
      <c r="J45" s="291">
        <f>IF($B45="","",IFERROR(IF(INDEX('07. BIA'!$AA$6:$AA$285,MATCH($B45,'07. BIA'!$F$6:$F$285,0))="","",INDEX('07. BIA'!$AA$6:$AA$285,MATCH($B45,'07. BIA'!$F$6:$F$285,0))),""))</f>
      </c>
      <c r="K45" s="291">
        <f>IF($B45="","",IFERROR(IF(INDEX('07. BIA'!$AD$6:$AD$285,MATCH($B45,'07. BIA'!$F$6:$F$285,0))="","",INDEX('07. BIA'!$AD$6:$AD$285,MATCH($B45,'07. BIA'!$F$6:$F$285,0))),""))</f>
      </c>
      <c r="L45" s="147"/>
    </row>
    <row r="46" spans="1:12" x14ac:dyDescent="0.35">
      <c r="A46" s="145">
        <v>42</v>
      </c>
      <c r="B46" s="296"/>
      <c r="C46" s="44">
        <f>IF(B46="","",IFERROR(VLOOKUP(B46,'04. Products &amp; Services'!$B$5:$E$49,4,FALSE),""))</f>
      </c>
      <c r="D46" s="42"/>
      <c r="E46" s="295"/>
      <c r="F46" s="42"/>
      <c r="G46" s="42"/>
      <c r="H46" s="42"/>
      <c r="I46" s="295"/>
      <c r="J46" s="291">
        <f>IF($B46="","",IFERROR(IF(INDEX('07. BIA'!$AA$6:$AA$285,MATCH($B46,'07. BIA'!$F$6:$F$285,0))="","",INDEX('07. BIA'!$AA$6:$AA$285,MATCH($B46,'07. BIA'!$F$6:$F$285,0))),""))</f>
      </c>
      <c r="K46" s="291">
        <f>IF($B46="","",IFERROR(IF(INDEX('07. BIA'!$AD$6:$AD$285,MATCH($B46,'07. BIA'!$F$6:$F$285,0))="","",INDEX('07. BIA'!$AD$6:$AD$285,MATCH($B46,'07. BIA'!$F$6:$F$285,0))),""))</f>
      </c>
      <c r="L46" s="147"/>
    </row>
    <row r="47" spans="1:12" x14ac:dyDescent="0.35">
      <c r="A47" s="145">
        <v>43</v>
      </c>
      <c r="B47" s="296"/>
      <c r="C47" s="44">
        <f>IF(B47="","",IFERROR(VLOOKUP(B47,'04. Products &amp; Services'!$B$5:$E$49,4,FALSE),""))</f>
      </c>
      <c r="D47" s="42"/>
      <c r="E47" s="295"/>
      <c r="F47" s="42"/>
      <c r="G47" s="42"/>
      <c r="H47" s="42"/>
      <c r="I47" s="295"/>
      <c r="J47" s="291">
        <f>IF($B47="","",IFERROR(IF(INDEX('07. BIA'!$AA$6:$AA$285,MATCH($B47,'07. BIA'!$F$6:$F$285,0))="","",INDEX('07. BIA'!$AA$6:$AA$285,MATCH($B47,'07. BIA'!$F$6:$F$285,0))),""))</f>
      </c>
      <c r="K47" s="291">
        <f>IF($B47="","",IFERROR(IF(INDEX('07. BIA'!$AD$6:$AD$285,MATCH($B47,'07. BIA'!$F$6:$F$285,0))="","",INDEX('07. BIA'!$AD$6:$AD$285,MATCH($B47,'07. BIA'!$F$6:$F$285,0))),""))</f>
      </c>
      <c r="L47" s="147"/>
    </row>
    <row r="48" spans="1:12" x14ac:dyDescent="0.35">
      <c r="A48" s="145">
        <v>44</v>
      </c>
      <c r="B48" s="296"/>
      <c r="C48" s="44">
        <f>IF(B48="","",IFERROR(VLOOKUP(B48,'04. Products &amp; Services'!$B$5:$E$49,4,FALSE),""))</f>
      </c>
      <c r="D48" s="42"/>
      <c r="E48" s="295"/>
      <c r="F48" s="42"/>
      <c r="G48" s="42"/>
      <c r="H48" s="42"/>
      <c r="I48" s="295"/>
      <c r="J48" s="291">
        <f>IF($B48="","",IFERROR(IF(INDEX('07. BIA'!$AA$6:$AA$285,MATCH($B48,'07. BIA'!$F$6:$F$285,0))="","",INDEX('07. BIA'!$AA$6:$AA$285,MATCH($B48,'07. BIA'!$F$6:$F$285,0))),""))</f>
      </c>
      <c r="K48" s="291">
        <f>IF($B48="","",IFERROR(IF(INDEX('07. BIA'!$AD$6:$AD$285,MATCH($B48,'07. BIA'!$F$6:$F$285,0))="","",INDEX('07. BIA'!$AD$6:$AD$285,MATCH($B48,'07. BIA'!$F$6:$F$285,0))),""))</f>
      </c>
      <c r="L48" s="147"/>
    </row>
    <row r="49" spans="1:12" x14ac:dyDescent="0.35">
      <c r="A49" s="145">
        <v>45</v>
      </c>
      <c r="B49" s="296"/>
      <c r="C49" s="44">
        <f>IF(B49="","",IFERROR(VLOOKUP(B49,'04. Products &amp; Services'!$B$5:$E$49,4,FALSE),""))</f>
      </c>
      <c r="D49" s="42"/>
      <c r="E49" s="295"/>
      <c r="F49" s="42"/>
      <c r="G49" s="42"/>
      <c r="H49" s="42"/>
      <c r="I49" s="295"/>
      <c r="J49" s="291">
        <f>IF($B49="","",IFERROR(IF(INDEX('07. BIA'!$AA$6:$AA$285,MATCH($B49,'07. BIA'!$F$6:$F$285,0))="","",INDEX('07. BIA'!$AA$6:$AA$285,MATCH($B49,'07. BIA'!$F$6:$F$285,0))),""))</f>
      </c>
      <c r="K49" s="291">
        <f>IF($B49="","",IFERROR(IF(INDEX('07. BIA'!$AD$6:$AD$285,MATCH($B49,'07. BIA'!$F$6:$F$285,0))="","",INDEX('07. BIA'!$AD$6:$AD$285,MATCH($B49,'07. BIA'!$F$6:$F$285,0))),""))</f>
      </c>
      <c r="L49" s="147"/>
    </row>
    <row r="50" spans="1:12" x14ac:dyDescent="0.35">
      <c r="A50" s="145">
        <v>46</v>
      </c>
      <c r="B50" s="296"/>
      <c r="C50" s="44">
        <f>IF(B50="","",IFERROR(VLOOKUP(B50,'04. Products &amp; Services'!$B$5:$E$49,4,FALSE),""))</f>
      </c>
      <c r="D50" s="42"/>
      <c r="E50" s="295"/>
      <c r="F50" s="42"/>
      <c r="G50" s="42"/>
      <c r="H50" s="42"/>
      <c r="I50" s="295"/>
      <c r="J50" s="291">
        <f>IF($B50="","",IFERROR(IF(INDEX('07. BIA'!$AA$6:$AA$285,MATCH($B50,'07. BIA'!$F$6:$F$285,0))="","",INDEX('07. BIA'!$AA$6:$AA$285,MATCH($B50,'07. BIA'!$F$6:$F$285,0))),""))</f>
      </c>
      <c r="K50" s="291">
        <f>IF($B50="","",IFERROR(IF(INDEX('07. BIA'!$AD$6:$AD$285,MATCH($B50,'07. BIA'!$F$6:$F$285,0))="","",INDEX('07. BIA'!$AD$6:$AD$285,MATCH($B50,'07. BIA'!$F$6:$F$285,0))),""))</f>
      </c>
      <c r="L50" s="147"/>
    </row>
    <row r="51" spans="1:12" x14ac:dyDescent="0.35">
      <c r="A51" s="145">
        <v>47</v>
      </c>
      <c r="B51" s="296"/>
      <c r="C51" s="44">
        <f>IF(B51="","",IFERROR(VLOOKUP(B51,'04. Products &amp; Services'!$B$5:$E$49,4,FALSE),""))</f>
      </c>
      <c r="D51" s="42"/>
      <c r="E51" s="295"/>
      <c r="F51" s="42"/>
      <c r="G51" s="42"/>
      <c r="H51" s="42"/>
      <c r="I51" s="295"/>
      <c r="J51" s="291">
        <f>IF($B51="","",IFERROR(IF(INDEX('07. BIA'!$AA$6:$AA$285,MATCH($B51,'07. BIA'!$F$6:$F$285,0))="","",INDEX('07. BIA'!$AA$6:$AA$285,MATCH($B51,'07. BIA'!$F$6:$F$285,0))),""))</f>
      </c>
      <c r="K51" s="291">
        <f>IF($B51="","",IFERROR(IF(INDEX('07. BIA'!$AD$6:$AD$285,MATCH($B51,'07. BIA'!$F$6:$F$285,0))="","",INDEX('07. BIA'!$AD$6:$AD$285,MATCH($B51,'07. BIA'!$F$6:$F$285,0))),""))</f>
      </c>
      <c r="L51" s="147"/>
    </row>
    <row r="52" spans="1:12" x14ac:dyDescent="0.35">
      <c r="A52" s="145">
        <v>48</v>
      </c>
      <c r="B52" s="296"/>
      <c r="C52" s="44">
        <f>IF(B52="","",IFERROR(VLOOKUP(B52,'04. Products &amp; Services'!$B$5:$E$49,4,FALSE),""))</f>
      </c>
      <c r="D52" s="42"/>
      <c r="E52" s="295"/>
      <c r="F52" s="42"/>
      <c r="G52" s="42"/>
      <c r="H52" s="42"/>
      <c r="I52" s="295"/>
      <c r="J52" s="291">
        <f>IF($B52="","",IFERROR(IF(INDEX('07. BIA'!$AA$6:$AA$285,MATCH($B52,'07. BIA'!$F$6:$F$285,0))="","",INDEX('07. BIA'!$AA$6:$AA$285,MATCH($B52,'07. BIA'!$F$6:$F$285,0))),""))</f>
      </c>
      <c r="K52" s="291">
        <f>IF($B52="","",IFERROR(IF(INDEX('07. BIA'!$AD$6:$AD$285,MATCH($B52,'07. BIA'!$F$6:$F$285,0))="","",INDEX('07. BIA'!$AD$6:$AD$285,MATCH($B52,'07. BIA'!$F$6:$F$285,0))),""))</f>
      </c>
      <c r="L52" s="147"/>
    </row>
    <row r="53" spans="1:12" x14ac:dyDescent="0.35">
      <c r="A53" s="145">
        <v>49</v>
      </c>
      <c r="B53" s="296"/>
      <c r="C53" s="44">
        <f>IF(B53="","",IFERROR(VLOOKUP(B53,'04. Products &amp; Services'!$B$5:$E$49,4,FALSE),""))</f>
      </c>
      <c r="D53" s="42"/>
      <c r="E53" s="295"/>
      <c r="F53" s="42"/>
      <c r="G53" s="42"/>
      <c r="H53" s="42"/>
      <c r="I53" s="295"/>
      <c r="J53" s="291">
        <f>IF($B53="","",IFERROR(IF(INDEX('07. BIA'!$AA$6:$AA$285,MATCH($B53,'07. BIA'!$F$6:$F$285,0))="","",INDEX('07. BIA'!$AA$6:$AA$285,MATCH($B53,'07. BIA'!$F$6:$F$285,0))),""))</f>
      </c>
      <c r="K53" s="291">
        <f>IF($B53="","",IFERROR(IF(INDEX('07. BIA'!$AD$6:$AD$285,MATCH($B53,'07. BIA'!$F$6:$F$285,0))="","",INDEX('07. BIA'!$AD$6:$AD$285,MATCH($B53,'07. BIA'!$F$6:$F$285,0))),""))</f>
      </c>
      <c r="L53" s="147"/>
    </row>
    <row r="54" spans="1:12" x14ac:dyDescent="0.35">
      <c r="A54" s="145">
        <v>50</v>
      </c>
      <c r="B54" s="296"/>
      <c r="C54" s="44">
        <f>IF(B54="","",IFERROR(VLOOKUP(B54,'04. Products &amp; Services'!$B$5:$E$49,4,FALSE),""))</f>
      </c>
      <c r="D54" s="42"/>
      <c r="E54" s="295"/>
      <c r="F54" s="42"/>
      <c r="G54" s="42"/>
      <c r="H54" s="42"/>
      <c r="I54" s="295"/>
      <c r="J54" s="291">
        <f>IF($B54="","",IFERROR(IF(INDEX('07. BIA'!$AA$6:$AA$285,MATCH($B54,'07. BIA'!$F$6:$F$285,0))="","",INDEX('07. BIA'!$AA$6:$AA$285,MATCH($B54,'07. BIA'!$F$6:$F$285,0))),""))</f>
      </c>
      <c r="K54" s="291">
        <f>IF($B54="","",IFERROR(IF(INDEX('07. BIA'!$AD$6:$AD$285,MATCH($B54,'07. BIA'!$F$6:$F$285,0))="","",INDEX('07. BIA'!$AD$6:$AD$285,MATCH($B54,'07. BIA'!$F$6:$F$285,0))),""))</f>
      </c>
      <c r="L54" s="147"/>
    </row>
    <row r="55" spans="1:12" x14ac:dyDescent="0.35">
      <c r="A55" s="145">
        <v>51</v>
      </c>
      <c r="B55" s="296"/>
      <c r="C55" s="44">
        <f>IF(B55="","",IFERROR(VLOOKUP(B55,'04. Products &amp; Services'!$B$5:$E$49,4,FALSE),""))</f>
      </c>
      <c r="D55" s="42"/>
      <c r="E55" s="295"/>
      <c r="F55" s="42"/>
      <c r="G55" s="42"/>
      <c r="H55" s="42"/>
      <c r="I55" s="295"/>
      <c r="J55" s="291">
        <f>IF($B55="","",IFERROR(IF(INDEX('07. BIA'!$AA$6:$AA$285,MATCH($B55,'07. BIA'!$F$6:$F$285,0))="","",INDEX('07. BIA'!$AA$6:$AA$285,MATCH($B55,'07. BIA'!$F$6:$F$285,0))),""))</f>
      </c>
      <c r="K55" s="291">
        <f>IF($B55="","",IFERROR(IF(INDEX('07. BIA'!$AD$6:$AD$285,MATCH($B55,'07. BIA'!$F$6:$F$285,0))="","",INDEX('07. BIA'!$AD$6:$AD$285,MATCH($B55,'07. BIA'!$F$6:$F$285,0))),""))</f>
      </c>
      <c r="L55" s="147"/>
    </row>
    <row r="56" spans="1:12" x14ac:dyDescent="0.35">
      <c r="A56" s="145">
        <v>52</v>
      </c>
      <c r="B56" s="296"/>
      <c r="C56" s="44">
        <f>IF(B56="","",IFERROR(VLOOKUP(B56,'04. Products &amp; Services'!$B$5:$E$49,4,FALSE),""))</f>
      </c>
      <c r="D56" s="42"/>
      <c r="E56" s="295"/>
      <c r="F56" s="42"/>
      <c r="G56" s="42"/>
      <c r="H56" s="42"/>
      <c r="I56" s="295"/>
      <c r="J56" s="291">
        <f>IF($B56="","",IFERROR(IF(INDEX('07. BIA'!$AA$6:$AA$285,MATCH($B56,'07. BIA'!$F$6:$F$285,0))="","",INDEX('07. BIA'!$AA$6:$AA$285,MATCH($B56,'07. BIA'!$F$6:$F$285,0))),""))</f>
      </c>
      <c r="K56" s="291">
        <f>IF($B56="","",IFERROR(IF(INDEX('07. BIA'!$AD$6:$AD$285,MATCH($B56,'07. BIA'!$F$6:$F$285,0))="","",INDEX('07. BIA'!$AD$6:$AD$285,MATCH($B56,'07. BIA'!$F$6:$F$285,0))),""))</f>
      </c>
      <c r="L56" s="147"/>
    </row>
    <row r="57" spans="1:12" x14ac:dyDescent="0.35">
      <c r="A57" s="145">
        <v>53</v>
      </c>
      <c r="B57" s="296"/>
      <c r="C57" s="44">
        <f>IF(B57="","",IFERROR(VLOOKUP(B57,'04. Products &amp; Services'!$B$5:$E$49,4,FALSE),""))</f>
      </c>
      <c r="D57" s="42"/>
      <c r="E57" s="295"/>
      <c r="F57" s="42"/>
      <c r="G57" s="42"/>
      <c r="H57" s="42"/>
      <c r="I57" s="295"/>
      <c r="J57" s="291">
        <f>IF($B57="","",IFERROR(IF(INDEX('07. BIA'!$AA$6:$AA$285,MATCH($B57,'07. BIA'!$F$6:$F$285,0))="","",INDEX('07. BIA'!$AA$6:$AA$285,MATCH($B57,'07. BIA'!$F$6:$F$285,0))),""))</f>
      </c>
      <c r="K57" s="291">
        <f>IF($B57="","",IFERROR(IF(INDEX('07. BIA'!$AD$6:$AD$285,MATCH($B57,'07. BIA'!$F$6:$F$285,0))="","",INDEX('07. BIA'!$AD$6:$AD$285,MATCH($B57,'07. BIA'!$F$6:$F$285,0))),""))</f>
      </c>
      <c r="L57" s="147"/>
    </row>
    <row r="58" spans="1:12" x14ac:dyDescent="0.35">
      <c r="A58" s="145">
        <v>54</v>
      </c>
      <c r="B58" s="296"/>
      <c r="C58" s="44">
        <f>IF(B58="","",IFERROR(VLOOKUP(B58,'04. Products &amp; Services'!$B$5:$E$49,4,FALSE),""))</f>
      </c>
      <c r="D58" s="42"/>
      <c r="E58" s="295"/>
      <c r="F58" s="42"/>
      <c r="G58" s="42"/>
      <c r="H58" s="42"/>
      <c r="I58" s="295"/>
      <c r="J58" s="291">
        <f>IF($B58="","",IFERROR(IF(INDEX('07. BIA'!$AA$6:$AA$285,MATCH($B58,'07. BIA'!$F$6:$F$285,0))="","",INDEX('07. BIA'!$AA$6:$AA$285,MATCH($B58,'07. BIA'!$F$6:$F$285,0))),""))</f>
      </c>
      <c r="K58" s="291">
        <f>IF($B58="","",IFERROR(IF(INDEX('07. BIA'!$AD$6:$AD$285,MATCH($B58,'07. BIA'!$F$6:$F$285,0))="","",INDEX('07. BIA'!$AD$6:$AD$285,MATCH($B58,'07. BIA'!$F$6:$F$285,0))),""))</f>
      </c>
      <c r="L58" s="147"/>
    </row>
    <row r="59" spans="1:12" x14ac:dyDescent="0.35">
      <c r="A59" s="145">
        <v>55</v>
      </c>
      <c r="B59" s="296"/>
      <c r="C59" s="44">
        <f>IF(B59="","",IFERROR(VLOOKUP(B59,'04. Products &amp; Services'!$B$5:$E$49,4,FALSE),""))</f>
      </c>
      <c r="D59" s="42"/>
      <c r="E59" s="295"/>
      <c r="F59" s="42"/>
      <c r="G59" s="42"/>
      <c r="H59" s="42"/>
      <c r="I59" s="295"/>
      <c r="J59" s="291">
        <f>IF($B59="","",IFERROR(IF(INDEX('07. BIA'!$AA$6:$AA$285,MATCH($B59,'07. BIA'!$F$6:$F$285,0))="","",INDEX('07. BIA'!$AA$6:$AA$285,MATCH($B59,'07. BIA'!$F$6:$F$285,0))),""))</f>
      </c>
      <c r="K59" s="291">
        <f>IF($B59="","",IFERROR(IF(INDEX('07. BIA'!$AD$6:$AD$285,MATCH($B59,'07. BIA'!$F$6:$F$285,0))="","",INDEX('07. BIA'!$AD$6:$AD$285,MATCH($B59,'07. BIA'!$F$6:$F$285,0))),""))</f>
      </c>
      <c r="L59" s="147"/>
    </row>
    <row r="60" spans="1:12" x14ac:dyDescent="0.35">
      <c r="A60" s="145">
        <v>56</v>
      </c>
      <c r="B60" s="296"/>
      <c r="C60" s="44">
        <f>IF(B60="","",IFERROR(VLOOKUP(B60,'04. Products &amp; Services'!$B$5:$E$49,4,FALSE),""))</f>
      </c>
      <c r="D60" s="42"/>
      <c r="E60" s="295"/>
      <c r="F60" s="42"/>
      <c r="G60" s="42"/>
      <c r="H60" s="42"/>
      <c r="I60" s="295"/>
      <c r="J60" s="291">
        <f>IF($B60="","",IFERROR(IF(INDEX('07. BIA'!$AA$6:$AA$285,MATCH($B60,'07. BIA'!$F$6:$F$285,0))="","",INDEX('07. BIA'!$AA$6:$AA$285,MATCH($B60,'07. BIA'!$F$6:$F$285,0))),""))</f>
      </c>
      <c r="K60" s="291">
        <f>IF($B60="","",IFERROR(IF(INDEX('07. BIA'!$AD$6:$AD$285,MATCH($B60,'07. BIA'!$F$6:$F$285,0))="","",INDEX('07. BIA'!$AD$6:$AD$285,MATCH($B60,'07. BIA'!$F$6:$F$285,0))),""))</f>
      </c>
      <c r="L60" s="147"/>
    </row>
    <row r="61" spans="1:12" x14ac:dyDescent="0.35">
      <c r="A61" s="145">
        <v>57</v>
      </c>
      <c r="B61" s="296"/>
      <c r="C61" s="44">
        <f>IF(B61="","",IFERROR(VLOOKUP(B61,'04. Products &amp; Services'!$B$5:$E$49,4,FALSE),""))</f>
      </c>
      <c r="D61" s="42"/>
      <c r="E61" s="295"/>
      <c r="F61" s="42"/>
      <c r="G61" s="42"/>
      <c r="H61" s="42"/>
      <c r="I61" s="295"/>
      <c r="J61" s="291">
        <f>IF($B61="","",IFERROR(IF(INDEX('07. BIA'!$AA$6:$AA$285,MATCH($B61,'07. BIA'!$F$6:$F$285,0))="","",INDEX('07. BIA'!$AA$6:$AA$285,MATCH($B61,'07. BIA'!$F$6:$F$285,0))),""))</f>
      </c>
      <c r="K61" s="291">
        <f>IF($B61="","",IFERROR(IF(INDEX('07. BIA'!$AD$6:$AD$285,MATCH($B61,'07. BIA'!$F$6:$F$285,0))="","",INDEX('07. BIA'!$AD$6:$AD$285,MATCH($B61,'07. BIA'!$F$6:$F$285,0))),""))</f>
      </c>
      <c r="L61" s="147"/>
    </row>
    <row r="62" spans="1:12" x14ac:dyDescent="0.35">
      <c r="A62" s="145">
        <v>58</v>
      </c>
      <c r="B62" s="296"/>
      <c r="C62" s="44">
        <f>IF(B62="","",IFERROR(VLOOKUP(B62,'04. Products &amp; Services'!$B$5:$E$49,4,FALSE),""))</f>
      </c>
      <c r="D62" s="42"/>
      <c r="E62" s="295"/>
      <c r="F62" s="42"/>
      <c r="G62" s="42"/>
      <c r="H62" s="42"/>
      <c r="I62" s="295"/>
      <c r="J62" s="291">
        <f>IF($B62="","",IFERROR(IF(INDEX('07. BIA'!$AA$6:$AA$285,MATCH($B62,'07. BIA'!$F$6:$F$285,0))="","",INDEX('07. BIA'!$AA$6:$AA$285,MATCH($B62,'07. BIA'!$F$6:$F$285,0))),""))</f>
      </c>
      <c r="K62" s="291">
        <f>IF($B62="","",IFERROR(IF(INDEX('07. BIA'!$AD$6:$AD$285,MATCH($B62,'07. BIA'!$F$6:$F$285,0))="","",INDEX('07. BIA'!$AD$6:$AD$285,MATCH($B62,'07. BIA'!$F$6:$F$285,0))),""))</f>
      </c>
      <c r="L62" s="147"/>
    </row>
    <row r="63" spans="1:12" x14ac:dyDescent="0.35">
      <c r="A63" s="145">
        <v>59</v>
      </c>
      <c r="B63" s="296"/>
      <c r="C63" s="44">
        <f>IF(B63="","",IFERROR(VLOOKUP(B63,'04. Products &amp; Services'!$B$5:$E$49,4,FALSE),""))</f>
      </c>
      <c r="D63" s="42"/>
      <c r="E63" s="295"/>
      <c r="F63" s="42"/>
      <c r="G63" s="42"/>
      <c r="H63" s="42"/>
      <c r="I63" s="295"/>
      <c r="J63" s="291">
        <f>IF($B63="","",IFERROR(IF(INDEX('07. BIA'!$AA$6:$AA$285,MATCH($B63,'07. BIA'!$F$6:$F$285,0))="","",INDEX('07. BIA'!$AA$6:$AA$285,MATCH($B63,'07. BIA'!$F$6:$F$285,0))),""))</f>
      </c>
      <c r="K63" s="291">
        <f>IF($B63="","",IFERROR(IF(INDEX('07. BIA'!$AD$6:$AD$285,MATCH($B63,'07. BIA'!$F$6:$F$285,0))="","",INDEX('07. BIA'!$AD$6:$AD$285,MATCH($B63,'07. BIA'!$F$6:$F$285,0))),""))</f>
      </c>
      <c r="L63" s="147"/>
    </row>
    <row r="64" spans="1:12" x14ac:dyDescent="0.35">
      <c r="A64" s="145">
        <v>60</v>
      </c>
      <c r="B64" s="296"/>
      <c r="C64" s="44">
        <f>IF(B64="","",IFERROR(VLOOKUP(B64,'04. Products &amp; Services'!$B$5:$E$49,4,FALSE),""))</f>
      </c>
      <c r="D64" s="42"/>
      <c r="E64" s="295"/>
      <c r="F64" s="42"/>
      <c r="G64" s="42"/>
      <c r="H64" s="42"/>
      <c r="I64" s="295"/>
      <c r="J64" s="291">
        <f>IF($B64="","",IFERROR(IF(INDEX('07. BIA'!$AA$6:$AA$285,MATCH($B64,'07. BIA'!$F$6:$F$285,0))="","",INDEX('07. BIA'!$AA$6:$AA$285,MATCH($B64,'07. BIA'!$F$6:$F$285,0))),""))</f>
      </c>
      <c r="K64" s="291">
        <f>IF($B64="","",IFERROR(IF(INDEX('07. BIA'!$AD$6:$AD$285,MATCH($B64,'07. BIA'!$F$6:$F$285,0))="","",INDEX('07. BIA'!$AD$6:$AD$285,MATCH($B64,'07. BIA'!$F$6:$F$285,0))),""))</f>
      </c>
      <c r="L64" s="147"/>
    </row>
    <row r="65" spans="1:12" x14ac:dyDescent="0.35">
      <c r="A65" s="145">
        <v>61</v>
      </c>
      <c r="B65" s="296"/>
      <c r="C65" s="44">
        <f>IF(B65="","",IFERROR(VLOOKUP(B65,'04. Products &amp; Services'!$B$5:$E$49,4,FALSE),""))</f>
      </c>
      <c r="D65" s="42"/>
      <c r="E65" s="295"/>
      <c r="F65" s="42"/>
      <c r="G65" s="42"/>
      <c r="H65" s="42"/>
      <c r="I65" s="295"/>
      <c r="J65" s="291">
        <f>IF($B65="","",IFERROR(IF(INDEX('07. BIA'!$AA$6:$AA$285,MATCH($B65,'07. BIA'!$F$6:$F$285,0))="","",INDEX('07. BIA'!$AA$6:$AA$285,MATCH($B65,'07. BIA'!$F$6:$F$285,0))),""))</f>
      </c>
      <c r="K65" s="291">
        <f>IF($B65="","",IFERROR(IF(INDEX('07. BIA'!$AD$6:$AD$285,MATCH($B65,'07. BIA'!$F$6:$F$285,0))="","",INDEX('07. BIA'!$AD$6:$AD$285,MATCH($B65,'07. BIA'!$F$6:$F$285,0))),""))</f>
      </c>
      <c r="L65" s="147"/>
    </row>
    <row r="66" spans="1:12" x14ac:dyDescent="0.35">
      <c r="A66" s="145">
        <v>62</v>
      </c>
      <c r="B66" s="296"/>
      <c r="C66" s="44">
        <f>IF(B66="","",IFERROR(VLOOKUP(B66,'04. Products &amp; Services'!$B$5:$E$49,4,FALSE),""))</f>
      </c>
      <c r="D66" s="42"/>
      <c r="E66" s="295"/>
      <c r="F66" s="42"/>
      <c r="G66" s="42"/>
      <c r="H66" s="42"/>
      <c r="I66" s="295"/>
      <c r="J66" s="291">
        <f>IF($B66="","",IFERROR(IF(INDEX('07. BIA'!$AA$6:$AA$285,MATCH($B66,'07. BIA'!$F$6:$F$285,0))="","",INDEX('07. BIA'!$AA$6:$AA$285,MATCH($B66,'07. BIA'!$F$6:$F$285,0))),""))</f>
      </c>
      <c r="K66" s="291">
        <f>IF($B66="","",IFERROR(IF(INDEX('07. BIA'!$AD$6:$AD$285,MATCH($B66,'07. BIA'!$F$6:$F$285,0))="","",INDEX('07. BIA'!$AD$6:$AD$285,MATCH($B66,'07. BIA'!$F$6:$F$285,0))),""))</f>
      </c>
      <c r="L66" s="147"/>
    </row>
    <row r="67" spans="1:12" x14ac:dyDescent="0.35">
      <c r="A67" s="145">
        <v>63</v>
      </c>
      <c r="B67" s="296"/>
      <c r="C67" s="44">
        <f>IF(B67="","",IFERROR(VLOOKUP(B67,'04. Products &amp; Services'!$B$5:$E$49,4,FALSE),""))</f>
      </c>
      <c r="D67" s="42"/>
      <c r="E67" s="295"/>
      <c r="F67" s="42"/>
      <c r="G67" s="42"/>
      <c r="H67" s="42"/>
      <c r="I67" s="295"/>
      <c r="J67" s="291">
        <f>IF($B67="","",IFERROR(IF(INDEX('07. BIA'!$AA$6:$AA$285,MATCH($B67,'07. BIA'!$F$6:$F$285,0))="","",INDEX('07. BIA'!$AA$6:$AA$285,MATCH($B67,'07. BIA'!$F$6:$F$285,0))),""))</f>
      </c>
      <c r="K67" s="291">
        <f>IF($B67="","",IFERROR(IF(INDEX('07. BIA'!$AD$6:$AD$285,MATCH($B67,'07. BIA'!$F$6:$F$285,0))="","",INDEX('07. BIA'!$AD$6:$AD$285,MATCH($B67,'07. BIA'!$F$6:$F$285,0))),""))</f>
      </c>
      <c r="L67" s="147"/>
    </row>
    <row r="68" spans="1:12" x14ac:dyDescent="0.35">
      <c r="A68" s="145">
        <v>64</v>
      </c>
      <c r="B68" s="296"/>
      <c r="C68" s="44">
        <f>IF(B68="","",IFERROR(VLOOKUP(B68,'04. Products &amp; Services'!$B$5:$E$49,4,FALSE),""))</f>
      </c>
      <c r="D68" s="42"/>
      <c r="E68" s="295"/>
      <c r="F68" s="42"/>
      <c r="G68" s="42"/>
      <c r="H68" s="42"/>
      <c r="I68" s="295"/>
      <c r="J68" s="291">
        <f>IF($B68="","",IFERROR(IF(INDEX('07. BIA'!$AA$6:$AA$285,MATCH($B68,'07. BIA'!$F$6:$F$285,0))="","",INDEX('07. BIA'!$AA$6:$AA$285,MATCH($B68,'07. BIA'!$F$6:$F$285,0))),""))</f>
      </c>
      <c r="K68" s="291">
        <f>IF($B68="","",IFERROR(IF(INDEX('07. BIA'!$AD$6:$AD$285,MATCH($B68,'07. BIA'!$F$6:$F$285,0))="","",INDEX('07. BIA'!$AD$6:$AD$285,MATCH($B68,'07. BIA'!$F$6:$F$285,0))),""))</f>
      </c>
      <c r="L68" s="147"/>
    </row>
    <row r="69" spans="1:12" x14ac:dyDescent="0.35">
      <c r="A69" s="145">
        <v>65</v>
      </c>
      <c r="B69" s="296"/>
      <c r="C69" s="44">
        <f>IF(B69="","",IFERROR(VLOOKUP(B69,'04. Products &amp; Services'!$B$5:$E$49,4,FALSE),""))</f>
      </c>
      <c r="D69" s="42"/>
      <c r="E69" s="295"/>
      <c r="F69" s="42"/>
      <c r="G69" s="42"/>
      <c r="H69" s="42"/>
      <c r="I69" s="295"/>
      <c r="J69" s="291">
        <f>IF($B69="","",IFERROR(IF(INDEX('07. BIA'!$AA$6:$AA$285,MATCH($B69,'07. BIA'!$F$6:$F$285,0))="","",INDEX('07. BIA'!$AA$6:$AA$285,MATCH($B69,'07. BIA'!$F$6:$F$285,0))),""))</f>
      </c>
      <c r="K69" s="291">
        <f>IF($B69="","",IFERROR(IF(INDEX('07. BIA'!$AD$6:$AD$285,MATCH($B69,'07. BIA'!$F$6:$F$285,0))="","",INDEX('07. BIA'!$AD$6:$AD$285,MATCH($B69,'07. BIA'!$F$6:$F$285,0))),""))</f>
      </c>
      <c r="L69" s="147"/>
    </row>
    <row r="70" spans="1:12" x14ac:dyDescent="0.35">
      <c r="A70" s="145">
        <v>66</v>
      </c>
      <c r="B70" s="296"/>
      <c r="C70" s="44">
        <f>IF(B70="","",IFERROR(VLOOKUP(B70,'04. Products &amp; Services'!$B$5:$E$49,4,FALSE),""))</f>
      </c>
      <c r="D70" s="42"/>
      <c r="E70" s="295"/>
      <c r="F70" s="42"/>
      <c r="G70" s="42"/>
      <c r="H70" s="42"/>
      <c r="I70" s="295"/>
      <c r="J70" s="291">
        <f>IF($B70="","",IFERROR(IF(INDEX('07. BIA'!$AA$6:$AA$285,MATCH($B70,'07. BIA'!$F$6:$F$285,0))="","",INDEX('07. BIA'!$AA$6:$AA$285,MATCH($B70,'07. BIA'!$F$6:$F$285,0))),""))</f>
      </c>
      <c r="K70" s="291">
        <f>IF($B70="","",IFERROR(IF(INDEX('07. BIA'!$AD$6:$AD$285,MATCH($B70,'07. BIA'!$F$6:$F$285,0))="","",INDEX('07. BIA'!$AD$6:$AD$285,MATCH($B70,'07. BIA'!$F$6:$F$285,0))),""))</f>
      </c>
      <c r="L70" s="147"/>
    </row>
    <row r="71" spans="1:12" x14ac:dyDescent="0.35">
      <c r="A71" s="145">
        <v>67</v>
      </c>
      <c r="B71" s="296"/>
      <c r="C71" s="44">
        <f>IF(B71="","",IFERROR(VLOOKUP(B71,'04. Products &amp; Services'!$B$5:$E$49,4,FALSE),""))</f>
      </c>
      <c r="D71" s="42"/>
      <c r="E71" s="295"/>
      <c r="F71" s="42"/>
      <c r="G71" s="42"/>
      <c r="H71" s="42"/>
      <c r="I71" s="295"/>
      <c r="J71" s="291">
        <f>IF($B71="","",IFERROR(IF(INDEX('07. BIA'!$AA$6:$AA$285,MATCH($B71,'07. BIA'!$F$6:$F$285,0))="","",INDEX('07. BIA'!$AA$6:$AA$285,MATCH($B71,'07. BIA'!$F$6:$F$285,0))),""))</f>
      </c>
      <c r="K71" s="291">
        <f>IF($B71="","",IFERROR(IF(INDEX('07. BIA'!$AD$6:$AD$285,MATCH($B71,'07. BIA'!$F$6:$F$285,0))="","",INDEX('07. BIA'!$AD$6:$AD$285,MATCH($B71,'07. BIA'!$F$6:$F$285,0))),""))</f>
      </c>
      <c r="L71" s="147"/>
    </row>
    <row r="72" spans="1:12" x14ac:dyDescent="0.35">
      <c r="A72" s="145">
        <v>68</v>
      </c>
      <c r="B72" s="296"/>
      <c r="C72" s="44">
        <f>IF(B72="","",IFERROR(VLOOKUP(B72,'04. Products &amp; Services'!$B$5:$E$49,4,FALSE),""))</f>
      </c>
      <c r="D72" s="42"/>
      <c r="E72" s="295"/>
      <c r="F72" s="42"/>
      <c r="G72" s="42"/>
      <c r="H72" s="42"/>
      <c r="I72" s="295"/>
      <c r="J72" s="291">
        <f>IF($B72="","",IFERROR(IF(INDEX('07. BIA'!$AA$6:$AA$285,MATCH($B72,'07. BIA'!$F$6:$F$285,0))="","",INDEX('07. BIA'!$AA$6:$AA$285,MATCH($B72,'07. BIA'!$F$6:$F$285,0))),""))</f>
      </c>
      <c r="K72" s="291">
        <f>IF($B72="","",IFERROR(IF(INDEX('07. BIA'!$AD$6:$AD$285,MATCH($B72,'07. BIA'!$F$6:$F$285,0))="","",INDEX('07. BIA'!$AD$6:$AD$285,MATCH($B72,'07. BIA'!$F$6:$F$285,0))),""))</f>
      </c>
      <c r="L72" s="147"/>
    </row>
    <row r="73" spans="1:12" x14ac:dyDescent="0.35">
      <c r="A73" s="145">
        <v>69</v>
      </c>
      <c r="B73" s="296"/>
      <c r="C73" s="44">
        <f>IF(B73="","",IFERROR(VLOOKUP(B73,'04. Products &amp; Services'!$B$5:$E$49,4,FALSE),""))</f>
      </c>
      <c r="D73" s="42"/>
      <c r="E73" s="295"/>
      <c r="F73" s="42"/>
      <c r="G73" s="42"/>
      <c r="H73" s="42"/>
      <c r="I73" s="295"/>
      <c r="J73" s="291">
        <f>IF($B73="","",IFERROR(IF(INDEX('07. BIA'!$AA$6:$AA$285,MATCH($B73,'07. BIA'!$F$6:$F$285,0))="","",INDEX('07. BIA'!$AA$6:$AA$285,MATCH($B73,'07. BIA'!$F$6:$F$285,0))),""))</f>
      </c>
      <c r="K73" s="291">
        <f>IF($B73="","",IFERROR(IF(INDEX('07. BIA'!$AD$6:$AD$285,MATCH($B73,'07. BIA'!$F$6:$F$285,0))="","",INDEX('07. BIA'!$AD$6:$AD$285,MATCH($B73,'07. BIA'!$F$6:$F$285,0))),""))</f>
      </c>
      <c r="L73" s="147"/>
    </row>
    <row r="74" spans="1:12" x14ac:dyDescent="0.35">
      <c r="A74" s="145">
        <v>70</v>
      </c>
      <c r="B74" s="296"/>
      <c r="C74" s="44">
        <f>IF(B74="","",IFERROR(VLOOKUP(B74,'04. Products &amp; Services'!$B$5:$E$49,4,FALSE),""))</f>
      </c>
      <c r="D74" s="42"/>
      <c r="E74" s="295"/>
      <c r="F74" s="42"/>
      <c r="G74" s="42"/>
      <c r="H74" s="42"/>
      <c r="I74" s="295"/>
      <c r="J74" s="291">
        <f>IF($B74="","",IFERROR(IF(INDEX('07. BIA'!$AA$6:$AA$285,MATCH($B74,'07. BIA'!$F$6:$F$285,0))="","",INDEX('07. BIA'!$AA$6:$AA$285,MATCH($B74,'07. BIA'!$F$6:$F$285,0))),""))</f>
      </c>
      <c r="K74" s="291">
        <f>IF($B74="","",IFERROR(IF(INDEX('07. BIA'!$AD$6:$AD$285,MATCH($B74,'07. BIA'!$F$6:$F$285,0))="","",INDEX('07. BIA'!$AD$6:$AD$285,MATCH($B74,'07. BIA'!$F$6:$F$285,0))),""))</f>
      </c>
      <c r="L74" s="147"/>
    </row>
    <row r="75" spans="1:12" x14ac:dyDescent="0.35">
      <c r="A75" s="145">
        <v>71</v>
      </c>
      <c r="B75" s="296"/>
      <c r="C75" s="44">
        <f>IF(B75="","",IFERROR(VLOOKUP(B75,'04. Products &amp; Services'!$B$5:$E$49,4,FALSE),""))</f>
      </c>
      <c r="D75" s="42"/>
      <c r="E75" s="295"/>
      <c r="F75" s="42"/>
      <c r="G75" s="42"/>
      <c r="H75" s="42"/>
      <c r="I75" s="295"/>
      <c r="J75" s="291">
        <f>IF($B75="","",IFERROR(IF(INDEX('07. BIA'!$AA$6:$AA$285,MATCH($B75,'07. BIA'!$F$6:$F$285,0))="","",INDEX('07. BIA'!$AA$6:$AA$285,MATCH($B75,'07. BIA'!$F$6:$F$285,0))),""))</f>
      </c>
      <c r="K75" s="291">
        <f>IF($B75="","",IFERROR(IF(INDEX('07. BIA'!$AD$6:$AD$285,MATCH($B75,'07. BIA'!$F$6:$F$285,0))="","",INDEX('07. BIA'!$AD$6:$AD$285,MATCH($B75,'07. BIA'!$F$6:$F$285,0))),""))</f>
      </c>
      <c r="L75" s="147"/>
    </row>
    <row r="76" spans="1:12" x14ac:dyDescent="0.35">
      <c r="A76" s="145">
        <v>72</v>
      </c>
      <c r="B76" s="296"/>
      <c r="C76" s="44">
        <f>IF(B76="","",IFERROR(VLOOKUP(B76,'04. Products &amp; Services'!$B$5:$E$49,4,FALSE),""))</f>
      </c>
      <c r="D76" s="42"/>
      <c r="E76" s="295"/>
      <c r="F76" s="42"/>
      <c r="G76" s="42"/>
      <c r="H76" s="42"/>
      <c r="I76" s="295"/>
      <c r="J76" s="291">
        <f>IF($B76="","",IFERROR(IF(INDEX('07. BIA'!$AA$6:$AA$285,MATCH($B76,'07. BIA'!$F$6:$F$285,0))="","",INDEX('07. BIA'!$AA$6:$AA$285,MATCH($B76,'07. BIA'!$F$6:$F$285,0))),""))</f>
      </c>
      <c r="K76" s="291">
        <f>IF($B76="","",IFERROR(IF(INDEX('07. BIA'!$AD$6:$AD$285,MATCH($B76,'07. BIA'!$F$6:$F$285,0))="","",INDEX('07. BIA'!$AD$6:$AD$285,MATCH($B76,'07. BIA'!$F$6:$F$285,0))),""))</f>
      </c>
      <c r="L76" s="147"/>
    </row>
    <row r="77" spans="1:12" x14ac:dyDescent="0.35">
      <c r="A77" s="145">
        <v>73</v>
      </c>
      <c r="B77" s="296"/>
      <c r="C77" s="44">
        <f>IF(B77="","",IFERROR(VLOOKUP(B77,'04. Products &amp; Services'!$B$5:$E$49,4,FALSE),""))</f>
      </c>
      <c r="D77" s="42"/>
      <c r="E77" s="295"/>
      <c r="F77" s="42"/>
      <c r="G77" s="42"/>
      <c r="H77" s="42"/>
      <c r="I77" s="295"/>
      <c r="J77" s="291">
        <f>IF($B77="","",IFERROR(IF(INDEX('07. BIA'!$AA$6:$AA$285,MATCH($B77,'07. BIA'!$F$6:$F$285,0))="","",INDEX('07. BIA'!$AA$6:$AA$285,MATCH($B77,'07. BIA'!$F$6:$F$285,0))),""))</f>
      </c>
      <c r="K77" s="291">
        <f>IF($B77="","",IFERROR(IF(INDEX('07. BIA'!$AD$6:$AD$285,MATCH($B77,'07. BIA'!$F$6:$F$285,0))="","",INDEX('07. BIA'!$AD$6:$AD$285,MATCH($B77,'07. BIA'!$F$6:$F$285,0))),""))</f>
      </c>
      <c r="L77" s="147"/>
    </row>
    <row r="78" spans="1:12" x14ac:dyDescent="0.35">
      <c r="A78" s="145">
        <v>74</v>
      </c>
      <c r="B78" s="296"/>
      <c r="C78" s="44">
        <f>IF(B78="","",IFERROR(VLOOKUP(B78,'04. Products &amp; Services'!$B$5:$E$49,4,FALSE),""))</f>
      </c>
      <c r="D78" s="42"/>
      <c r="E78" s="295"/>
      <c r="F78" s="42"/>
      <c r="G78" s="42"/>
      <c r="H78" s="42"/>
      <c r="I78" s="295"/>
      <c r="J78" s="291">
        <f>IF($B78="","",IFERROR(IF(INDEX('07. BIA'!$AA$6:$AA$285,MATCH($B78,'07. BIA'!$F$6:$F$285,0))="","",INDEX('07. BIA'!$AA$6:$AA$285,MATCH($B78,'07. BIA'!$F$6:$F$285,0))),""))</f>
      </c>
      <c r="K78" s="291">
        <f>IF($B78="","",IFERROR(IF(INDEX('07. BIA'!$AD$6:$AD$285,MATCH($B78,'07. BIA'!$F$6:$F$285,0))="","",INDEX('07. BIA'!$AD$6:$AD$285,MATCH($B78,'07. BIA'!$F$6:$F$285,0))),""))</f>
      </c>
      <c r="L78" s="147"/>
    </row>
    <row r="79" spans="1:12" x14ac:dyDescent="0.35">
      <c r="A79" s="145">
        <v>75</v>
      </c>
      <c r="B79" s="296"/>
      <c r="C79" s="44">
        <f>IF(B79="","",IFERROR(VLOOKUP(B79,'04. Products &amp; Services'!$B$5:$E$49,4,FALSE),""))</f>
      </c>
      <c r="D79" s="42"/>
      <c r="E79" s="295"/>
      <c r="F79" s="42"/>
      <c r="G79" s="42"/>
      <c r="H79" s="42"/>
      <c r="I79" s="295"/>
      <c r="J79" s="291">
        <f>IF($B79="","",IFERROR(IF(INDEX('07. BIA'!$AA$6:$AA$285,MATCH($B79,'07. BIA'!$F$6:$F$285,0))="","",INDEX('07. BIA'!$AA$6:$AA$285,MATCH($B79,'07. BIA'!$F$6:$F$285,0))),""))</f>
      </c>
      <c r="K79" s="291">
        <f>IF($B79="","",IFERROR(IF(INDEX('07. BIA'!$AD$6:$AD$285,MATCH($B79,'07. BIA'!$F$6:$F$285,0))="","",INDEX('07. BIA'!$AD$6:$AD$285,MATCH($B79,'07. BIA'!$F$6:$F$285,0))),""))</f>
      </c>
      <c r="L79" s="147"/>
    </row>
    <row r="80" spans="1:12" x14ac:dyDescent="0.35">
      <c r="A80" s="145">
        <v>76</v>
      </c>
      <c r="B80" s="296"/>
      <c r="C80" s="44">
        <f>IF(B80="","",IFERROR(VLOOKUP(B80,'04. Products &amp; Services'!$B$5:$E$49,4,FALSE),""))</f>
      </c>
      <c r="D80" s="42"/>
      <c r="E80" s="295"/>
      <c r="F80" s="42"/>
      <c r="G80" s="42"/>
      <c r="H80" s="42"/>
      <c r="I80" s="295"/>
      <c r="J80" s="291">
        <f>IF($B80="","",IFERROR(IF(INDEX('07. BIA'!$AA$6:$AA$285,MATCH($B80,'07. BIA'!$F$6:$F$285,0))="","",INDEX('07. BIA'!$AA$6:$AA$285,MATCH($B80,'07. BIA'!$F$6:$F$285,0))),""))</f>
      </c>
      <c r="K80" s="291">
        <f>IF($B80="","",IFERROR(IF(INDEX('07. BIA'!$AD$6:$AD$285,MATCH($B80,'07. BIA'!$F$6:$F$285,0))="","",INDEX('07. BIA'!$AD$6:$AD$285,MATCH($B80,'07. BIA'!$F$6:$F$285,0))),""))</f>
      </c>
      <c r="L80" s="147"/>
    </row>
    <row r="81" spans="1:12" x14ac:dyDescent="0.35">
      <c r="A81" s="145">
        <v>77</v>
      </c>
      <c r="B81" s="296"/>
      <c r="C81" s="44">
        <f>IF(B81="","",IFERROR(VLOOKUP(B81,'04. Products &amp; Services'!$B$5:$E$49,4,FALSE),""))</f>
      </c>
      <c r="D81" s="42"/>
      <c r="E81" s="295"/>
      <c r="F81" s="42"/>
      <c r="G81" s="42"/>
      <c r="H81" s="42"/>
      <c r="I81" s="295"/>
      <c r="J81" s="291">
        <f>IF($B81="","",IFERROR(IF(INDEX('07. BIA'!$AA$6:$AA$285,MATCH($B81,'07. BIA'!$F$6:$F$285,0))="","",INDEX('07. BIA'!$AA$6:$AA$285,MATCH($B81,'07. BIA'!$F$6:$F$285,0))),""))</f>
      </c>
      <c r="K81" s="291">
        <f>IF($B81="","",IFERROR(IF(INDEX('07. BIA'!$AD$6:$AD$285,MATCH($B81,'07. BIA'!$F$6:$F$285,0))="","",INDEX('07. BIA'!$AD$6:$AD$285,MATCH($B81,'07. BIA'!$F$6:$F$285,0))),""))</f>
      </c>
      <c r="L81" s="147"/>
    </row>
    <row r="82" spans="1:12" x14ac:dyDescent="0.35">
      <c r="A82" s="145">
        <v>78</v>
      </c>
      <c r="B82" s="296"/>
      <c r="C82" s="44">
        <f>IF(B82="","",IFERROR(VLOOKUP(B82,'04. Products &amp; Services'!$B$5:$E$49,4,FALSE),""))</f>
      </c>
      <c r="D82" s="42"/>
      <c r="E82" s="295"/>
      <c r="F82" s="42"/>
      <c r="G82" s="42"/>
      <c r="H82" s="42"/>
      <c r="I82" s="295"/>
      <c r="J82" s="291">
        <f>IF($B82="","",IFERROR(IF(INDEX('07. BIA'!$AA$6:$AA$285,MATCH($B82,'07. BIA'!$F$6:$F$285,0))="","",INDEX('07. BIA'!$AA$6:$AA$285,MATCH($B82,'07. BIA'!$F$6:$F$285,0))),""))</f>
      </c>
      <c r="K82" s="291">
        <f>IF($B82="","",IFERROR(IF(INDEX('07. BIA'!$AD$6:$AD$285,MATCH($B82,'07. BIA'!$F$6:$F$285,0))="","",INDEX('07. BIA'!$AD$6:$AD$285,MATCH($B82,'07. BIA'!$F$6:$F$285,0))),""))</f>
      </c>
      <c r="L82" s="147"/>
    </row>
    <row r="83" spans="1:12" x14ac:dyDescent="0.35">
      <c r="A83" s="145">
        <v>79</v>
      </c>
      <c r="B83" s="296"/>
      <c r="C83" s="44">
        <f>IF(B83="","",IFERROR(VLOOKUP(B83,'04. Products &amp; Services'!$B$5:$E$49,4,FALSE),""))</f>
      </c>
      <c r="D83" s="42"/>
      <c r="E83" s="295"/>
      <c r="F83" s="42"/>
      <c r="G83" s="42"/>
      <c r="H83" s="42"/>
      <c r="I83" s="295"/>
      <c r="J83" s="291">
        <f>IF($B83="","",IFERROR(IF(INDEX('07. BIA'!$AA$6:$AA$285,MATCH($B83,'07. BIA'!$F$6:$F$285,0))="","",INDEX('07. BIA'!$AA$6:$AA$285,MATCH($B83,'07. BIA'!$F$6:$F$285,0))),""))</f>
      </c>
      <c r="K83" s="291">
        <f>IF($B83="","",IFERROR(IF(INDEX('07. BIA'!$AD$6:$AD$285,MATCH($B83,'07. BIA'!$F$6:$F$285,0))="","",INDEX('07. BIA'!$AD$6:$AD$285,MATCH($B83,'07. BIA'!$F$6:$F$285,0))),""))</f>
      </c>
      <c r="L83" s="147"/>
    </row>
    <row r="84" spans="1:12" x14ac:dyDescent="0.35">
      <c r="A84" s="145">
        <v>80</v>
      </c>
      <c r="B84" s="296"/>
      <c r="C84" s="44">
        <f>IF(B84="","",IFERROR(VLOOKUP(B84,'04. Products &amp; Services'!$B$5:$E$49,4,FALSE),""))</f>
      </c>
      <c r="D84" s="42"/>
      <c r="E84" s="295"/>
      <c r="F84" s="42"/>
      <c r="G84" s="42"/>
      <c r="H84" s="42"/>
      <c r="I84" s="295"/>
      <c r="J84" s="291">
        <f>IF($B84="","",IFERROR(IF(INDEX('07. BIA'!$AA$6:$AA$285,MATCH($B84,'07. BIA'!$F$6:$F$285,0))="","",INDEX('07. BIA'!$AA$6:$AA$285,MATCH($B84,'07. BIA'!$F$6:$F$285,0))),""))</f>
      </c>
      <c r="K84" s="291">
        <f>IF($B84="","",IFERROR(IF(INDEX('07. BIA'!$AD$6:$AD$285,MATCH($B84,'07. BIA'!$F$6:$F$285,0))="","",INDEX('07. BIA'!$AD$6:$AD$285,MATCH($B84,'07. BIA'!$F$6:$F$285,0))),""))</f>
      </c>
      <c r="L84" s="147"/>
    </row>
    <row r="85" spans="1:12" x14ac:dyDescent="0.35">
      <c r="A85" s="145">
        <v>81</v>
      </c>
      <c r="B85" s="296"/>
      <c r="C85" s="44">
        <f>IF(B85="","",IFERROR(VLOOKUP(B85,'04. Products &amp; Services'!$B$5:$E$49,4,FALSE),""))</f>
      </c>
      <c r="D85" s="42"/>
      <c r="E85" s="295"/>
      <c r="F85" s="42"/>
      <c r="G85" s="42"/>
      <c r="H85" s="42"/>
      <c r="I85" s="295"/>
      <c r="J85" s="291">
        <f>IF($B85="","",IFERROR(IF(INDEX('07. BIA'!$AA$6:$AA$285,MATCH($B85,'07. BIA'!$F$6:$F$285,0))="","",INDEX('07. BIA'!$AA$6:$AA$285,MATCH($B85,'07. BIA'!$F$6:$F$285,0))),""))</f>
      </c>
      <c r="K85" s="291">
        <f>IF($B85="","",IFERROR(IF(INDEX('07. BIA'!$AD$6:$AD$285,MATCH($B85,'07. BIA'!$F$6:$F$285,0))="","",INDEX('07. BIA'!$AD$6:$AD$285,MATCH($B85,'07. BIA'!$F$6:$F$285,0))),""))</f>
      </c>
      <c r="L85" s="147"/>
    </row>
    <row r="86" spans="1:12" x14ac:dyDescent="0.35">
      <c r="A86" s="145">
        <v>82</v>
      </c>
      <c r="B86" s="296"/>
      <c r="C86" s="44">
        <f>IF(B86="","",IFERROR(VLOOKUP(B86,'04. Products &amp; Services'!$B$5:$E$49,4,FALSE),""))</f>
      </c>
      <c r="D86" s="42"/>
      <c r="E86" s="295"/>
      <c r="F86" s="42"/>
      <c r="G86" s="42"/>
      <c r="H86" s="42"/>
      <c r="I86" s="295"/>
      <c r="J86" s="291">
        <f>IF($B86="","",IFERROR(IF(INDEX('07. BIA'!$AA$6:$AA$285,MATCH($B86,'07. BIA'!$F$6:$F$285,0))="","",INDEX('07. BIA'!$AA$6:$AA$285,MATCH($B86,'07. BIA'!$F$6:$F$285,0))),""))</f>
      </c>
      <c r="K86" s="291">
        <f>IF($B86="","",IFERROR(IF(INDEX('07. BIA'!$AD$6:$AD$285,MATCH($B86,'07. BIA'!$F$6:$F$285,0))="","",INDEX('07. BIA'!$AD$6:$AD$285,MATCH($B86,'07. BIA'!$F$6:$F$285,0))),""))</f>
      </c>
      <c r="L86" s="147"/>
    </row>
    <row r="87" spans="1:12" x14ac:dyDescent="0.35">
      <c r="A87" s="145">
        <v>83</v>
      </c>
      <c r="B87" s="296"/>
      <c r="C87" s="44">
        <f>IF(B87="","",IFERROR(VLOOKUP(B87,'04. Products &amp; Services'!$B$5:$E$49,4,FALSE),""))</f>
      </c>
      <c r="D87" s="42"/>
      <c r="E87" s="295"/>
      <c r="F87" s="42"/>
      <c r="G87" s="42"/>
      <c r="H87" s="42"/>
      <c r="I87" s="295"/>
      <c r="J87" s="291">
        <f>IF($B87="","",IFERROR(IF(INDEX('07. BIA'!$AA$6:$AA$285,MATCH($B87,'07. BIA'!$F$6:$F$285,0))="","",INDEX('07. BIA'!$AA$6:$AA$285,MATCH($B87,'07. BIA'!$F$6:$F$285,0))),""))</f>
      </c>
      <c r="K87" s="291">
        <f>IF($B87="","",IFERROR(IF(INDEX('07. BIA'!$AD$6:$AD$285,MATCH($B87,'07. BIA'!$F$6:$F$285,0))="","",INDEX('07. BIA'!$AD$6:$AD$285,MATCH($B87,'07. BIA'!$F$6:$F$285,0))),""))</f>
      </c>
      <c r="L87" s="147"/>
    </row>
    <row r="88" spans="1:12" x14ac:dyDescent="0.35">
      <c r="A88" s="145">
        <v>84</v>
      </c>
      <c r="B88" s="296"/>
      <c r="C88" s="44">
        <f>IF(B88="","",IFERROR(VLOOKUP(B88,'04. Products &amp; Services'!$B$5:$E$49,4,FALSE),""))</f>
      </c>
      <c r="D88" s="42"/>
      <c r="E88" s="295"/>
      <c r="F88" s="42"/>
      <c r="G88" s="42"/>
      <c r="H88" s="42"/>
      <c r="I88" s="295"/>
      <c r="J88" s="291">
        <f>IF($B88="","",IFERROR(IF(INDEX('07. BIA'!$AA$6:$AA$285,MATCH($B88,'07. BIA'!$F$6:$F$285,0))="","",INDEX('07. BIA'!$AA$6:$AA$285,MATCH($B88,'07. BIA'!$F$6:$F$285,0))),""))</f>
      </c>
      <c r="K88" s="291">
        <f>IF($B88="","",IFERROR(IF(INDEX('07. BIA'!$AD$6:$AD$285,MATCH($B88,'07. BIA'!$F$6:$F$285,0))="","",INDEX('07. BIA'!$AD$6:$AD$285,MATCH($B88,'07. BIA'!$F$6:$F$285,0))),""))</f>
      </c>
      <c r="L88" s="147"/>
    </row>
    <row r="89" spans="1:12" x14ac:dyDescent="0.35">
      <c r="A89" s="145">
        <v>85</v>
      </c>
      <c r="B89" s="296"/>
      <c r="C89" s="44">
        <f>IF(B89="","",IFERROR(VLOOKUP(B89,'04. Products &amp; Services'!$B$5:$E$49,4,FALSE),""))</f>
      </c>
      <c r="D89" s="42"/>
      <c r="E89" s="295"/>
      <c r="F89" s="42"/>
      <c r="G89" s="42"/>
      <c r="H89" s="42"/>
      <c r="I89" s="295"/>
      <c r="J89" s="291">
        <f>IF($B89="","",IFERROR(IF(INDEX('07. BIA'!$AA$6:$AA$285,MATCH($B89,'07. BIA'!$F$6:$F$285,0))="","",INDEX('07. BIA'!$AA$6:$AA$285,MATCH($B89,'07. BIA'!$F$6:$F$285,0))),""))</f>
      </c>
      <c r="K89" s="291">
        <f>IF($B89="","",IFERROR(IF(INDEX('07. BIA'!$AD$6:$AD$285,MATCH($B89,'07. BIA'!$F$6:$F$285,0))="","",INDEX('07. BIA'!$AD$6:$AD$285,MATCH($B89,'07. BIA'!$F$6:$F$285,0))),""))</f>
      </c>
      <c r="L89" s="147"/>
    </row>
    <row r="90" spans="1:12" x14ac:dyDescent="0.35">
      <c r="A90" s="145">
        <v>86</v>
      </c>
      <c r="B90" s="296"/>
      <c r="C90" s="44">
        <f>IF(B90="","",IFERROR(VLOOKUP(B90,'04. Products &amp; Services'!$B$5:$E$49,4,FALSE),""))</f>
      </c>
      <c r="D90" s="42"/>
      <c r="E90" s="295"/>
      <c r="F90" s="42"/>
      <c r="G90" s="42"/>
      <c r="H90" s="42"/>
      <c r="I90" s="295"/>
      <c r="J90" s="291">
        <f>IF($B90="","",IFERROR(IF(INDEX('07. BIA'!$AA$6:$AA$285,MATCH($B90,'07. BIA'!$F$6:$F$285,0))="","",INDEX('07. BIA'!$AA$6:$AA$285,MATCH($B90,'07. BIA'!$F$6:$F$285,0))),""))</f>
      </c>
      <c r="K90" s="291">
        <f>IF($B90="","",IFERROR(IF(INDEX('07. BIA'!$AD$6:$AD$285,MATCH($B90,'07. BIA'!$F$6:$F$285,0))="","",INDEX('07. BIA'!$AD$6:$AD$285,MATCH($B90,'07. BIA'!$F$6:$F$285,0))),""))</f>
      </c>
      <c r="L90" s="147"/>
    </row>
    <row r="91" spans="1:12" x14ac:dyDescent="0.35">
      <c r="A91" s="145">
        <v>87</v>
      </c>
      <c r="B91" s="296"/>
      <c r="C91" s="44">
        <f>IF(B91="","",IFERROR(VLOOKUP(B91,'04. Products &amp; Services'!$B$5:$E$49,4,FALSE),""))</f>
      </c>
      <c r="D91" s="42"/>
      <c r="E91" s="295"/>
      <c r="F91" s="42"/>
      <c r="G91" s="42"/>
      <c r="H91" s="42"/>
      <c r="I91" s="295"/>
      <c r="J91" s="291">
        <f>IF($B91="","",IFERROR(IF(INDEX('07. BIA'!$AA$6:$AA$285,MATCH($B91,'07. BIA'!$F$6:$F$285,0))="","",INDEX('07. BIA'!$AA$6:$AA$285,MATCH($B91,'07. BIA'!$F$6:$F$285,0))),""))</f>
      </c>
      <c r="K91" s="291">
        <f>IF($B91="","",IFERROR(IF(INDEX('07. BIA'!$AD$6:$AD$285,MATCH($B91,'07. BIA'!$F$6:$F$285,0))="","",INDEX('07. BIA'!$AD$6:$AD$285,MATCH($B91,'07. BIA'!$F$6:$F$285,0))),""))</f>
      </c>
      <c r="L91" s="147"/>
    </row>
    <row r="92" spans="1:12" x14ac:dyDescent="0.35">
      <c r="A92" s="145">
        <v>88</v>
      </c>
      <c r="B92" s="296"/>
      <c r="C92" s="44">
        <f>IF(B92="","",IFERROR(VLOOKUP(B92,'04. Products &amp; Services'!$B$5:$E$49,4,FALSE),""))</f>
      </c>
      <c r="D92" s="42"/>
      <c r="E92" s="295"/>
      <c r="F92" s="42"/>
      <c r="G92" s="42"/>
      <c r="H92" s="42"/>
      <c r="I92" s="295"/>
      <c r="J92" s="291">
        <f>IF($B92="","",IFERROR(IF(INDEX('07. BIA'!$AA$6:$AA$285,MATCH($B92,'07. BIA'!$F$6:$F$285,0))="","",INDEX('07. BIA'!$AA$6:$AA$285,MATCH($B92,'07. BIA'!$F$6:$F$285,0))),""))</f>
      </c>
      <c r="K92" s="291">
        <f>IF($B92="","",IFERROR(IF(INDEX('07. BIA'!$AD$6:$AD$285,MATCH($B92,'07. BIA'!$F$6:$F$285,0))="","",INDEX('07. BIA'!$AD$6:$AD$285,MATCH($B92,'07. BIA'!$F$6:$F$285,0))),""))</f>
      </c>
      <c r="L92" s="147"/>
    </row>
    <row r="93" spans="1:12" x14ac:dyDescent="0.35">
      <c r="A93" s="145">
        <v>89</v>
      </c>
      <c r="B93" s="296"/>
      <c r="C93" s="44">
        <f>IF(B93="","",IFERROR(VLOOKUP(B93,'04. Products &amp; Services'!$B$5:$E$49,4,FALSE),""))</f>
      </c>
      <c r="D93" s="42"/>
      <c r="E93" s="295"/>
      <c r="F93" s="42"/>
      <c r="G93" s="42"/>
      <c r="H93" s="42"/>
      <c r="I93" s="295"/>
      <c r="J93" s="291">
        <f>IF($B93="","",IFERROR(IF(INDEX('07. BIA'!$AA$6:$AA$285,MATCH($B93,'07. BIA'!$F$6:$F$285,0))="","",INDEX('07. BIA'!$AA$6:$AA$285,MATCH($B93,'07. BIA'!$F$6:$F$285,0))),""))</f>
      </c>
      <c r="K93" s="291">
        <f>IF($B93="","",IFERROR(IF(INDEX('07. BIA'!$AD$6:$AD$285,MATCH($B93,'07. BIA'!$F$6:$F$285,0))="","",INDEX('07. BIA'!$AD$6:$AD$285,MATCH($B93,'07. BIA'!$F$6:$F$285,0))),""))</f>
      </c>
      <c r="L93" s="147"/>
    </row>
    <row r="94" spans="1:12" x14ac:dyDescent="0.35">
      <c r="A94" s="145">
        <v>90</v>
      </c>
      <c r="B94" s="296"/>
      <c r="C94" s="44">
        <f>IF(B94="","",IFERROR(VLOOKUP(B94,'04. Products &amp; Services'!$B$5:$E$49,4,FALSE),""))</f>
      </c>
      <c r="D94" s="42"/>
      <c r="E94" s="295"/>
      <c r="F94" s="42"/>
      <c r="G94" s="42"/>
      <c r="H94" s="42"/>
      <c r="I94" s="295"/>
      <c r="J94" s="291">
        <f>IF($B94="","",IFERROR(IF(INDEX('07. BIA'!$AA$6:$AA$285,MATCH($B94,'07. BIA'!$F$6:$F$285,0))="","",INDEX('07. BIA'!$AA$6:$AA$285,MATCH($B94,'07. BIA'!$F$6:$F$285,0))),""))</f>
      </c>
      <c r="K94" s="291">
        <f>IF($B94="","",IFERROR(IF(INDEX('07. BIA'!$AD$6:$AD$285,MATCH($B94,'07. BIA'!$F$6:$F$285,0))="","",INDEX('07. BIA'!$AD$6:$AD$285,MATCH($B94,'07. BIA'!$F$6:$F$285,0))),""))</f>
      </c>
      <c r="L94" s="147"/>
    </row>
    <row r="95" spans="1:12" x14ac:dyDescent="0.35">
      <c r="A95" s="145">
        <v>91</v>
      </c>
      <c r="B95" s="296"/>
      <c r="C95" s="44">
        <f>IF(B95="","",IFERROR(VLOOKUP(B95,'04. Products &amp; Services'!$B$5:$E$49,4,FALSE),""))</f>
      </c>
      <c r="D95" s="42"/>
      <c r="E95" s="295"/>
      <c r="F95" s="42"/>
      <c r="G95" s="42"/>
      <c r="H95" s="42"/>
      <c r="I95" s="295"/>
      <c r="J95" s="291">
        <f>IF($B95="","",IFERROR(IF(INDEX('07. BIA'!$AA$6:$AA$285,MATCH($B95,'07. BIA'!$F$6:$F$285,0))="","",INDEX('07. BIA'!$AA$6:$AA$285,MATCH($B95,'07. BIA'!$F$6:$F$285,0))),""))</f>
      </c>
      <c r="K95" s="291">
        <f>IF($B95="","",IFERROR(IF(INDEX('07. BIA'!$AD$6:$AD$285,MATCH($B95,'07. BIA'!$F$6:$F$285,0))="","",INDEX('07. BIA'!$AD$6:$AD$285,MATCH($B95,'07. BIA'!$F$6:$F$285,0))),""))</f>
      </c>
      <c r="L95" s="147"/>
    </row>
    <row r="96" spans="1:12" x14ac:dyDescent="0.35">
      <c r="A96" s="145">
        <v>92</v>
      </c>
      <c r="B96" s="296"/>
      <c r="C96" s="44">
        <f>IF(B96="","",IFERROR(VLOOKUP(B96,'04. Products &amp; Services'!$B$5:$E$49,4,FALSE),""))</f>
      </c>
      <c r="D96" s="42"/>
      <c r="E96" s="295"/>
      <c r="F96" s="42"/>
      <c r="G96" s="42"/>
      <c r="H96" s="42"/>
      <c r="I96" s="295"/>
      <c r="J96" s="291">
        <f>IF($B96="","",IFERROR(IF(INDEX('07. BIA'!$AA$6:$AA$285,MATCH($B96,'07. BIA'!$F$6:$F$285,0))="","",INDEX('07. BIA'!$AA$6:$AA$285,MATCH($B96,'07. BIA'!$F$6:$F$285,0))),""))</f>
      </c>
      <c r="K96" s="291">
        <f>IF($B96="","",IFERROR(IF(INDEX('07. BIA'!$AD$6:$AD$285,MATCH($B96,'07. BIA'!$F$6:$F$285,0))="","",INDEX('07. BIA'!$AD$6:$AD$285,MATCH($B96,'07. BIA'!$F$6:$F$285,0))),""))</f>
      </c>
      <c r="L96" s="147"/>
    </row>
    <row r="97" spans="1:12" x14ac:dyDescent="0.35">
      <c r="A97" s="145">
        <v>93</v>
      </c>
      <c r="B97" s="296"/>
      <c r="C97" s="44">
        <f>IF(B97="","",IFERROR(VLOOKUP(B97,'04. Products &amp; Services'!$B$5:$E$49,4,FALSE),""))</f>
      </c>
      <c r="D97" s="42"/>
      <c r="E97" s="295"/>
      <c r="F97" s="42"/>
      <c r="G97" s="42"/>
      <c r="H97" s="42"/>
      <c r="I97" s="295"/>
      <c r="J97" s="291">
        <f>IF($B97="","",IFERROR(IF(INDEX('07. BIA'!$AA$6:$AA$285,MATCH($B97,'07. BIA'!$F$6:$F$285,0))="","",INDEX('07. BIA'!$AA$6:$AA$285,MATCH($B97,'07. BIA'!$F$6:$F$285,0))),""))</f>
      </c>
      <c r="K97" s="291">
        <f>IF($B97="","",IFERROR(IF(INDEX('07. BIA'!$AD$6:$AD$285,MATCH($B97,'07. BIA'!$F$6:$F$285,0))="","",INDEX('07. BIA'!$AD$6:$AD$285,MATCH($B97,'07. BIA'!$F$6:$F$285,0))),""))</f>
      </c>
      <c r="L97" s="147"/>
    </row>
    <row r="98" spans="1:12" x14ac:dyDescent="0.35">
      <c r="A98" s="145">
        <v>94</v>
      </c>
      <c r="B98" s="296"/>
      <c r="C98" s="44">
        <f>IF(B98="","",IFERROR(VLOOKUP(B98,'04. Products &amp; Services'!$B$5:$E$49,4,FALSE),""))</f>
      </c>
      <c r="D98" s="42"/>
      <c r="E98" s="295"/>
      <c r="F98" s="42"/>
      <c r="G98" s="42"/>
      <c r="H98" s="42"/>
      <c r="I98" s="295"/>
      <c r="J98" s="291">
        <f>IF($B98="","",IFERROR(IF(INDEX('07. BIA'!$AA$6:$AA$285,MATCH($B98,'07. BIA'!$F$6:$F$285,0))="","",INDEX('07. BIA'!$AA$6:$AA$285,MATCH($B98,'07. BIA'!$F$6:$F$285,0))),""))</f>
      </c>
      <c r="K98" s="291">
        <f>IF($B98="","",IFERROR(IF(INDEX('07. BIA'!$AD$6:$AD$285,MATCH($B98,'07. BIA'!$F$6:$F$285,0))="","",INDEX('07. BIA'!$AD$6:$AD$285,MATCH($B98,'07. BIA'!$F$6:$F$285,0))),""))</f>
      </c>
      <c r="L98" s="147"/>
    </row>
    <row r="99" spans="1:12" x14ac:dyDescent="0.35">
      <c r="A99" s="145">
        <v>95</v>
      </c>
      <c r="B99" s="296"/>
      <c r="C99" s="44">
        <f>IF(B99="","",IFERROR(VLOOKUP(B99,'04. Products &amp; Services'!$B$5:$E$49,4,FALSE),""))</f>
      </c>
      <c r="D99" s="42"/>
      <c r="E99" s="295"/>
      <c r="F99" s="42"/>
      <c r="G99" s="42"/>
      <c r="H99" s="42"/>
      <c r="I99" s="295"/>
      <c r="J99" s="291">
        <f>IF($B99="","",IFERROR(IF(INDEX('07. BIA'!$AA$6:$AA$285,MATCH($B99,'07. BIA'!$F$6:$F$285,0))="","",INDEX('07. BIA'!$AA$6:$AA$285,MATCH($B99,'07. BIA'!$F$6:$F$285,0))),""))</f>
      </c>
      <c r="K99" s="291">
        <f>IF($B99="","",IFERROR(IF(INDEX('07. BIA'!$AD$6:$AD$285,MATCH($B99,'07. BIA'!$F$6:$F$285,0))="","",INDEX('07. BIA'!$AD$6:$AD$285,MATCH($B99,'07. BIA'!$F$6:$F$285,0))),""))</f>
      </c>
      <c r="L99" s="147"/>
    </row>
    <row r="100" spans="1:12" x14ac:dyDescent="0.35">
      <c r="A100" s="145">
        <v>96</v>
      </c>
      <c r="B100" s="296"/>
      <c r="C100" s="44">
        <f>IF(B100="","",IFERROR(VLOOKUP(B100,'04. Products &amp; Services'!$B$5:$E$49,4,FALSE),""))</f>
      </c>
      <c r="D100" s="42"/>
      <c r="E100" s="295"/>
      <c r="F100" s="42"/>
      <c r="G100" s="42"/>
      <c r="H100" s="42"/>
      <c r="I100" s="295"/>
      <c r="J100" s="291">
        <f>IF($B100="","",IFERROR(IF(INDEX('07. BIA'!$AA$6:$AA$285,MATCH($B100,'07. BIA'!$F$6:$F$285,0))="","",INDEX('07. BIA'!$AA$6:$AA$285,MATCH($B100,'07. BIA'!$F$6:$F$285,0))),""))</f>
      </c>
      <c r="K100" s="291">
        <f>IF($B100="","",IFERROR(IF(INDEX('07. BIA'!$AD$6:$AD$285,MATCH($B100,'07. BIA'!$F$6:$F$285,0))="","",INDEX('07. BIA'!$AD$6:$AD$285,MATCH($B100,'07. BIA'!$F$6:$F$285,0))),""))</f>
      </c>
      <c r="L100" s="147"/>
    </row>
    <row r="101" spans="1:12" x14ac:dyDescent="0.35">
      <c r="A101" s="145">
        <v>97</v>
      </c>
      <c r="B101" s="296"/>
      <c r="C101" s="44">
        <f>IF(B101="","",IFERROR(VLOOKUP(B101,'04. Products &amp; Services'!$B$5:$E$49,4,FALSE),""))</f>
      </c>
      <c r="D101" s="42"/>
      <c r="E101" s="295"/>
      <c r="F101" s="42"/>
      <c r="G101" s="42"/>
      <c r="H101" s="42"/>
      <c r="I101" s="295"/>
      <c r="J101" s="291">
        <f>IF($B101="","",IFERROR(IF(INDEX('07. BIA'!$AA$6:$AA$285,MATCH($B101,'07. BIA'!$F$6:$F$285,0))="","",INDEX('07. BIA'!$AA$6:$AA$285,MATCH($B101,'07. BIA'!$F$6:$F$285,0))),""))</f>
      </c>
      <c r="K101" s="291">
        <f>IF($B101="","",IFERROR(IF(INDEX('07. BIA'!$AD$6:$AD$285,MATCH($B101,'07. BIA'!$F$6:$F$285,0))="","",INDEX('07. BIA'!$AD$6:$AD$285,MATCH($B101,'07. BIA'!$F$6:$F$285,0))),""))</f>
      </c>
      <c r="L101" s="147"/>
    </row>
    <row r="102" spans="1:12" x14ac:dyDescent="0.35">
      <c r="A102" s="145">
        <v>98</v>
      </c>
      <c r="B102" s="296"/>
      <c r="C102" s="44">
        <f>IF(B102="","",IFERROR(VLOOKUP(B102,'04. Products &amp; Services'!$B$5:$E$49,4,FALSE),""))</f>
      </c>
      <c r="D102" s="42"/>
      <c r="E102" s="295"/>
      <c r="F102" s="42"/>
      <c r="G102" s="42"/>
      <c r="H102" s="42"/>
      <c r="I102" s="295"/>
      <c r="J102" s="291">
        <f>IF($B102="","",IFERROR(IF(INDEX('07. BIA'!$AA$6:$AA$285,MATCH($B102,'07. BIA'!$F$6:$F$285,0))="","",INDEX('07. BIA'!$AA$6:$AA$285,MATCH($B102,'07. BIA'!$F$6:$F$285,0))),""))</f>
      </c>
      <c r="K102" s="291">
        <f>IF($B102="","",IFERROR(IF(INDEX('07. BIA'!$AD$6:$AD$285,MATCH($B102,'07. BIA'!$F$6:$F$285,0))="","",INDEX('07. BIA'!$AD$6:$AD$285,MATCH($B102,'07. BIA'!$F$6:$F$285,0))),""))</f>
      </c>
      <c r="L102" s="147"/>
    </row>
    <row r="103" spans="1:12" x14ac:dyDescent="0.35">
      <c r="A103" s="145">
        <v>99</v>
      </c>
      <c r="B103" s="296"/>
      <c r="C103" s="44">
        <f>IF(B103="","",IFERROR(VLOOKUP(B103,'04. Products &amp; Services'!$B$5:$E$49,4,FALSE),""))</f>
      </c>
      <c r="D103" s="42"/>
      <c r="E103" s="295"/>
      <c r="F103" s="42"/>
      <c r="G103" s="42"/>
      <c r="H103" s="42"/>
      <c r="I103" s="295"/>
      <c r="J103" s="291">
        <f>IF($B103="","",IFERROR(IF(INDEX('07. BIA'!$AA$6:$AA$285,MATCH($B103,'07. BIA'!$F$6:$F$285,0))="","",INDEX('07. BIA'!$AA$6:$AA$285,MATCH($B103,'07. BIA'!$F$6:$F$285,0))),""))</f>
      </c>
      <c r="K103" s="291">
        <f>IF($B103="","",IFERROR(IF(INDEX('07. BIA'!$AD$6:$AD$285,MATCH($B103,'07. BIA'!$F$6:$F$285,0))="","",INDEX('07. BIA'!$AD$6:$AD$285,MATCH($B103,'07. BIA'!$F$6:$F$285,0))),""))</f>
      </c>
      <c r="L103" s="147"/>
    </row>
    <row r="104" spans="1:12" x14ac:dyDescent="0.35">
      <c r="A104" s="145">
        <v>100</v>
      </c>
      <c r="B104" s="296"/>
      <c r="C104" s="44">
        <f>IF(B104="","",IFERROR(VLOOKUP(B104,'04. Products &amp; Services'!$B$5:$E$49,4,FALSE),""))</f>
      </c>
      <c r="D104" s="42"/>
      <c r="E104" s="295"/>
      <c r="F104" s="42"/>
      <c r="G104" s="42"/>
      <c r="H104" s="42"/>
      <c r="I104" s="295"/>
      <c r="J104" s="291">
        <f>IF($B104="","",IFERROR(IF(INDEX('07. BIA'!$AA$6:$AA$285,MATCH($B104,'07. BIA'!$F$6:$F$285,0))="","",INDEX('07. BIA'!$AA$6:$AA$285,MATCH($B104,'07. BIA'!$F$6:$F$285,0))),""))</f>
      </c>
      <c r="K104" s="291">
        <f>IF($B104="","",IFERROR(IF(INDEX('07. BIA'!$AD$6:$AD$285,MATCH($B104,'07. BIA'!$F$6:$F$285,0))="","",INDEX('07. BIA'!$AD$6:$AD$285,MATCH($B104,'07. BIA'!$F$6:$F$285,0))),""))</f>
      </c>
      <c r="L104" s="147"/>
    </row>
    <row r="105" spans="1:12" x14ac:dyDescent="0.35">
      <c r="A105" s="145">
        <v>101</v>
      </c>
      <c r="B105" s="296"/>
      <c r="C105" s="44">
        <f>IF(B105="","",IFERROR(VLOOKUP(B105,'04. Products &amp; Services'!$B$5:$E$49,4,FALSE),""))</f>
      </c>
      <c r="D105" s="42"/>
      <c r="E105" s="295"/>
      <c r="F105" s="42"/>
      <c r="G105" s="42"/>
      <c r="H105" s="42"/>
      <c r="I105" s="295"/>
      <c r="J105" s="291">
        <f>IF($B105="","",IFERROR(IF(INDEX('07. BIA'!$AA$6:$AA$285,MATCH($B105,'07. BIA'!$F$6:$F$285,0))="","",INDEX('07. BIA'!$AA$6:$AA$285,MATCH($B105,'07. BIA'!$F$6:$F$285,0))),""))</f>
      </c>
      <c r="K105" s="291">
        <f>IF($B105="","",IFERROR(IF(INDEX('07. BIA'!$AD$6:$AD$285,MATCH($B105,'07. BIA'!$F$6:$F$285,0))="","",INDEX('07. BIA'!$AD$6:$AD$285,MATCH($B105,'07. BIA'!$F$6:$F$285,0))),""))</f>
      </c>
      <c r="L105" s="147"/>
    </row>
    <row r="106" spans="1:12" x14ac:dyDescent="0.35">
      <c r="A106" s="145">
        <v>102</v>
      </c>
      <c r="B106" s="296"/>
      <c r="C106" s="44">
        <f>IF(B106="","",IFERROR(VLOOKUP(B106,'04. Products &amp; Services'!$B$5:$E$49,4,FALSE),""))</f>
      </c>
      <c r="D106" s="42"/>
      <c r="E106" s="295"/>
      <c r="F106" s="42"/>
      <c r="G106" s="42"/>
      <c r="H106" s="42"/>
      <c r="I106" s="295"/>
      <c r="J106" s="291">
        <f>IF($B106="","",IFERROR(IF(INDEX('07. BIA'!$AA$6:$AA$285,MATCH($B106,'07. BIA'!$F$6:$F$285,0))="","",INDEX('07. BIA'!$AA$6:$AA$285,MATCH($B106,'07. BIA'!$F$6:$F$285,0))),""))</f>
      </c>
      <c r="K106" s="291">
        <f>IF($B106="","",IFERROR(IF(INDEX('07. BIA'!$AD$6:$AD$285,MATCH($B106,'07. BIA'!$F$6:$F$285,0))="","",INDEX('07. BIA'!$AD$6:$AD$285,MATCH($B106,'07. BIA'!$F$6:$F$285,0))),""))</f>
      </c>
      <c r="L106" s="147"/>
    </row>
    <row r="107" spans="1:12" x14ac:dyDescent="0.35">
      <c r="A107" s="145">
        <v>103</v>
      </c>
      <c r="B107" s="296"/>
      <c r="C107" s="44">
        <f>IF(B107="","",IFERROR(VLOOKUP(B107,'04. Products &amp; Services'!$B$5:$E$49,4,FALSE),""))</f>
      </c>
      <c r="D107" s="42"/>
      <c r="E107" s="295"/>
      <c r="F107" s="42"/>
      <c r="G107" s="42"/>
      <c r="H107" s="42"/>
      <c r="I107" s="295"/>
      <c r="J107" s="291">
        <f>IF($B107="","",IFERROR(IF(INDEX('07. BIA'!$AA$6:$AA$285,MATCH($B107,'07. BIA'!$F$6:$F$285,0))="","",INDEX('07. BIA'!$AA$6:$AA$285,MATCH($B107,'07. BIA'!$F$6:$F$285,0))),""))</f>
      </c>
      <c r="K107" s="291">
        <f>IF($B107="","",IFERROR(IF(INDEX('07. BIA'!$AD$6:$AD$285,MATCH($B107,'07. BIA'!$F$6:$F$285,0))="","",INDEX('07. BIA'!$AD$6:$AD$285,MATCH($B107,'07. BIA'!$F$6:$F$285,0))),""))</f>
      </c>
      <c r="L107" s="147"/>
    </row>
    <row r="108" spans="1:12" x14ac:dyDescent="0.35">
      <c r="A108" s="145">
        <v>104</v>
      </c>
      <c r="B108" s="296"/>
      <c r="C108" s="44">
        <f>IF(B108="","",IFERROR(VLOOKUP(B108,'04. Products &amp; Services'!$B$5:$E$49,4,FALSE),""))</f>
      </c>
      <c r="D108" s="42"/>
      <c r="E108" s="295"/>
      <c r="F108" s="42"/>
      <c r="G108" s="42"/>
      <c r="H108" s="42"/>
      <c r="I108" s="295"/>
      <c r="J108" s="291">
        <f>IF($B108="","",IFERROR(IF(INDEX('07. BIA'!$AA$6:$AA$285,MATCH($B108,'07. BIA'!$F$6:$F$285,0))="","",INDEX('07. BIA'!$AA$6:$AA$285,MATCH($B108,'07. BIA'!$F$6:$F$285,0))),""))</f>
      </c>
      <c r="K108" s="291">
        <f>IF($B108="","",IFERROR(IF(INDEX('07. BIA'!$AD$6:$AD$285,MATCH($B108,'07. BIA'!$F$6:$F$285,0))="","",INDEX('07. BIA'!$AD$6:$AD$285,MATCH($B108,'07. BIA'!$F$6:$F$285,0))),""))</f>
      </c>
      <c r="L108" s="147"/>
    </row>
    <row r="109" spans="1:12" x14ac:dyDescent="0.35">
      <c r="A109" s="145">
        <v>105</v>
      </c>
      <c r="B109" s="296"/>
      <c r="C109" s="44">
        <f>IF(B109="","",IFERROR(VLOOKUP(B109,'04. Products &amp; Services'!$B$5:$E$49,4,FALSE),""))</f>
      </c>
      <c r="D109" s="42"/>
      <c r="E109" s="295"/>
      <c r="F109" s="42"/>
      <c r="G109" s="42"/>
      <c r="H109" s="42"/>
      <c r="I109" s="295"/>
      <c r="J109" s="291">
        <f>IF($B109="","",IFERROR(IF(INDEX('07. BIA'!$AA$6:$AA$285,MATCH($B109,'07. BIA'!$F$6:$F$285,0))="","",INDEX('07. BIA'!$AA$6:$AA$285,MATCH($B109,'07. BIA'!$F$6:$F$285,0))),""))</f>
      </c>
      <c r="K109" s="291">
        <f>IF($B109="","",IFERROR(IF(INDEX('07. BIA'!$AD$6:$AD$285,MATCH($B109,'07. BIA'!$F$6:$F$285,0))="","",INDEX('07. BIA'!$AD$6:$AD$285,MATCH($B109,'07. BIA'!$F$6:$F$285,0))),""))</f>
      </c>
      <c r="L109" s="147"/>
    </row>
    <row r="110" spans="1:12" x14ac:dyDescent="0.35">
      <c r="A110" s="145">
        <v>106</v>
      </c>
      <c r="B110" s="296"/>
      <c r="C110" s="44">
        <f>IF(B110="","",IFERROR(VLOOKUP(B110,'04. Products &amp; Services'!$B$5:$E$49,4,FALSE),""))</f>
      </c>
      <c r="D110" s="42"/>
      <c r="E110" s="295"/>
      <c r="F110" s="42"/>
      <c r="G110" s="42"/>
      <c r="H110" s="42"/>
      <c r="I110" s="295"/>
      <c r="J110" s="291">
        <f>IF($B110="","",IFERROR(IF(INDEX('07. BIA'!$AA$6:$AA$285,MATCH($B110,'07. BIA'!$F$6:$F$285,0))="","",INDEX('07. BIA'!$AA$6:$AA$285,MATCH($B110,'07. BIA'!$F$6:$F$285,0))),""))</f>
      </c>
      <c r="K110" s="291">
        <f>IF($B110="","",IFERROR(IF(INDEX('07. BIA'!$AD$6:$AD$285,MATCH($B110,'07. BIA'!$F$6:$F$285,0))="","",INDEX('07. BIA'!$AD$6:$AD$285,MATCH($B110,'07. BIA'!$F$6:$F$285,0))),""))</f>
      </c>
      <c r="L110" s="147"/>
    </row>
    <row r="111" spans="1:12" x14ac:dyDescent="0.35">
      <c r="A111" s="145">
        <v>107</v>
      </c>
      <c r="B111" s="296"/>
      <c r="C111" s="44">
        <f>IF(B111="","",IFERROR(VLOOKUP(B111,'04. Products &amp; Services'!$B$5:$E$49,4,FALSE),""))</f>
      </c>
      <c r="D111" s="42"/>
      <c r="E111" s="295"/>
      <c r="F111" s="42"/>
      <c r="G111" s="42"/>
      <c r="H111" s="42"/>
      <c r="I111" s="295"/>
      <c r="J111" s="291">
        <f>IF($B111="","",IFERROR(IF(INDEX('07. BIA'!$AA$6:$AA$285,MATCH($B111,'07. BIA'!$F$6:$F$285,0))="","",INDEX('07. BIA'!$AA$6:$AA$285,MATCH($B111,'07. BIA'!$F$6:$F$285,0))),""))</f>
      </c>
      <c r="K111" s="291">
        <f>IF($B111="","",IFERROR(IF(INDEX('07. BIA'!$AD$6:$AD$285,MATCH($B111,'07. BIA'!$F$6:$F$285,0))="","",INDEX('07. BIA'!$AD$6:$AD$285,MATCH($B111,'07. BIA'!$F$6:$F$285,0))),""))</f>
      </c>
      <c r="L111" s="147"/>
    </row>
    <row r="112" spans="1:12" x14ac:dyDescent="0.35">
      <c r="A112" s="145">
        <v>108</v>
      </c>
      <c r="B112" s="296"/>
      <c r="C112" s="44">
        <f>IF(B112="","",IFERROR(VLOOKUP(B112,'04. Products &amp; Services'!$B$5:$E$49,4,FALSE),""))</f>
      </c>
      <c r="D112" s="42"/>
      <c r="E112" s="295"/>
      <c r="F112" s="42"/>
      <c r="G112" s="42"/>
      <c r="H112" s="42"/>
      <c r="I112" s="295"/>
      <c r="J112" s="291">
        <f>IF($B112="","",IFERROR(IF(INDEX('07. BIA'!$AA$6:$AA$285,MATCH($B112,'07. BIA'!$F$6:$F$285,0))="","",INDEX('07. BIA'!$AA$6:$AA$285,MATCH($B112,'07. BIA'!$F$6:$F$285,0))),""))</f>
      </c>
      <c r="K112" s="291">
        <f>IF($B112="","",IFERROR(IF(INDEX('07. BIA'!$AD$6:$AD$285,MATCH($B112,'07. BIA'!$F$6:$F$285,0))="","",INDEX('07. BIA'!$AD$6:$AD$285,MATCH($B112,'07. BIA'!$F$6:$F$285,0))),""))</f>
      </c>
      <c r="L112" s="147"/>
    </row>
    <row r="113" spans="1:12" x14ac:dyDescent="0.35">
      <c r="A113" s="145">
        <v>109</v>
      </c>
      <c r="B113" s="296"/>
      <c r="C113" s="44">
        <f>IF(B113="","",IFERROR(VLOOKUP(B113,'04. Products &amp; Services'!$B$5:$E$49,4,FALSE),""))</f>
      </c>
      <c r="D113" s="42"/>
      <c r="E113" s="295"/>
      <c r="F113" s="42"/>
      <c r="G113" s="42"/>
      <c r="H113" s="42"/>
      <c r="I113" s="295"/>
      <c r="J113" s="291">
        <f>IF($B113="","",IFERROR(IF(INDEX('07. BIA'!$AA$6:$AA$285,MATCH($B113,'07. BIA'!$F$6:$F$285,0))="","",INDEX('07. BIA'!$AA$6:$AA$285,MATCH($B113,'07. BIA'!$F$6:$F$285,0))),""))</f>
      </c>
      <c r="K113" s="291">
        <f>IF($B113="","",IFERROR(IF(INDEX('07. BIA'!$AD$6:$AD$285,MATCH($B113,'07. BIA'!$F$6:$F$285,0))="","",INDEX('07. BIA'!$AD$6:$AD$285,MATCH($B113,'07. BIA'!$F$6:$F$285,0))),""))</f>
      </c>
      <c r="L113" s="147"/>
    </row>
    <row r="114" spans="1:12" x14ac:dyDescent="0.35">
      <c r="A114" s="145">
        <v>110</v>
      </c>
      <c r="B114" s="296"/>
      <c r="C114" s="44">
        <f>IF(B114="","",IFERROR(VLOOKUP(B114,'04. Products &amp; Services'!$B$5:$E$49,4,FALSE),""))</f>
      </c>
      <c r="D114" s="42"/>
      <c r="E114" s="295"/>
      <c r="F114" s="42"/>
      <c r="G114" s="42"/>
      <c r="H114" s="42"/>
      <c r="I114" s="295"/>
      <c r="J114" s="291">
        <f>IF($B114="","",IFERROR(IF(INDEX('07. BIA'!$AA$6:$AA$285,MATCH($B114,'07. BIA'!$F$6:$F$285,0))="","",INDEX('07. BIA'!$AA$6:$AA$285,MATCH($B114,'07. BIA'!$F$6:$F$285,0))),""))</f>
      </c>
      <c r="K114" s="291">
        <f>IF($B114="","",IFERROR(IF(INDEX('07. BIA'!$AD$6:$AD$285,MATCH($B114,'07. BIA'!$F$6:$F$285,0))="","",INDEX('07. BIA'!$AD$6:$AD$285,MATCH($B114,'07. BIA'!$F$6:$F$285,0))),""))</f>
      </c>
      <c r="L114" s="147"/>
    </row>
    <row r="115" spans="1:12" x14ac:dyDescent="0.35">
      <c r="A115" s="145">
        <v>111</v>
      </c>
      <c r="B115" s="296"/>
      <c r="C115" s="44">
        <f>IF(B115="","",IFERROR(VLOOKUP(B115,'04. Products &amp; Services'!$B$5:$E$49,4,FALSE),""))</f>
      </c>
      <c r="D115" s="42"/>
      <c r="E115" s="295"/>
      <c r="F115" s="42"/>
      <c r="G115" s="42"/>
      <c r="H115" s="42"/>
      <c r="I115" s="295"/>
      <c r="J115" s="291">
        <f>IF($B115="","",IFERROR(IF(INDEX('07. BIA'!$AA$6:$AA$285,MATCH($B115,'07. BIA'!$F$6:$F$285,0))="","",INDEX('07. BIA'!$AA$6:$AA$285,MATCH($B115,'07. BIA'!$F$6:$F$285,0))),""))</f>
      </c>
      <c r="K115" s="291">
        <f>IF($B115="","",IFERROR(IF(INDEX('07. BIA'!$AD$6:$AD$285,MATCH($B115,'07. BIA'!$F$6:$F$285,0))="","",INDEX('07. BIA'!$AD$6:$AD$285,MATCH($B115,'07. BIA'!$F$6:$F$285,0))),""))</f>
      </c>
      <c r="L115" s="147"/>
    </row>
    <row r="116" spans="1:12" x14ac:dyDescent="0.35">
      <c r="A116" s="145">
        <v>112</v>
      </c>
      <c r="B116" s="296"/>
      <c r="C116" s="44">
        <f>IF(B116="","",IFERROR(VLOOKUP(B116,'04. Products &amp; Services'!$B$5:$E$49,4,FALSE),""))</f>
      </c>
      <c r="D116" s="42"/>
      <c r="E116" s="295"/>
      <c r="F116" s="42"/>
      <c r="G116" s="42"/>
      <c r="H116" s="42"/>
      <c r="I116" s="295"/>
      <c r="J116" s="291">
        <f>IF($B116="","",IFERROR(IF(INDEX('07. BIA'!$AA$6:$AA$285,MATCH($B116,'07. BIA'!$F$6:$F$285,0))="","",INDEX('07. BIA'!$AA$6:$AA$285,MATCH($B116,'07. BIA'!$F$6:$F$285,0))),""))</f>
      </c>
      <c r="K116" s="291">
        <f>IF($B116="","",IFERROR(IF(INDEX('07. BIA'!$AD$6:$AD$285,MATCH($B116,'07. BIA'!$F$6:$F$285,0))="","",INDEX('07. BIA'!$AD$6:$AD$285,MATCH($B116,'07. BIA'!$F$6:$F$285,0))),""))</f>
      </c>
      <c r="L116" s="147"/>
    </row>
    <row r="117" spans="1:12" x14ac:dyDescent="0.35">
      <c r="A117" s="145">
        <v>113</v>
      </c>
      <c r="B117" s="296"/>
      <c r="C117" s="44">
        <f>IF(B117="","",IFERROR(VLOOKUP(B117,'04. Products &amp; Services'!$B$5:$E$49,4,FALSE),""))</f>
      </c>
      <c r="D117" s="42"/>
      <c r="E117" s="295"/>
      <c r="F117" s="42"/>
      <c r="G117" s="42"/>
      <c r="H117" s="42"/>
      <c r="I117" s="295"/>
      <c r="J117" s="291">
        <f>IF($B117="","",IFERROR(IF(INDEX('07. BIA'!$AA$6:$AA$285,MATCH($B117,'07. BIA'!$F$6:$F$285,0))="","",INDEX('07. BIA'!$AA$6:$AA$285,MATCH($B117,'07. BIA'!$F$6:$F$285,0))),""))</f>
      </c>
      <c r="K117" s="291">
        <f>IF($B117="","",IFERROR(IF(INDEX('07. BIA'!$AD$6:$AD$285,MATCH($B117,'07. BIA'!$F$6:$F$285,0))="","",INDEX('07. BIA'!$AD$6:$AD$285,MATCH($B117,'07. BIA'!$F$6:$F$285,0))),""))</f>
      </c>
      <c r="L117" s="147"/>
    </row>
    <row r="118" spans="1:12" x14ac:dyDescent="0.35">
      <c r="A118" s="145">
        <v>114</v>
      </c>
      <c r="B118" s="296"/>
      <c r="C118" s="44">
        <f>IF(B118="","",IFERROR(VLOOKUP(B118,'04. Products &amp; Services'!$B$5:$E$49,4,FALSE),""))</f>
      </c>
      <c r="D118" s="42"/>
      <c r="E118" s="295"/>
      <c r="F118" s="42"/>
      <c r="G118" s="42"/>
      <c r="H118" s="42"/>
      <c r="I118" s="295"/>
      <c r="J118" s="291">
        <f>IF($B118="","",IFERROR(IF(INDEX('07. BIA'!$AA$6:$AA$285,MATCH($B118,'07. BIA'!$F$6:$F$285,0))="","",INDEX('07. BIA'!$AA$6:$AA$285,MATCH($B118,'07. BIA'!$F$6:$F$285,0))),""))</f>
      </c>
      <c r="K118" s="291">
        <f>IF($B118="","",IFERROR(IF(INDEX('07. BIA'!$AD$6:$AD$285,MATCH($B118,'07. BIA'!$F$6:$F$285,0))="","",INDEX('07. BIA'!$AD$6:$AD$285,MATCH($B118,'07. BIA'!$F$6:$F$285,0))),""))</f>
      </c>
      <c r="L118" s="147"/>
    </row>
    <row r="119" spans="1:12" x14ac:dyDescent="0.35">
      <c r="A119" s="145">
        <v>115</v>
      </c>
      <c r="B119" s="296"/>
      <c r="C119" s="44">
        <f>IF(B119="","",IFERROR(VLOOKUP(B119,'04. Products &amp; Services'!$B$5:$E$49,4,FALSE),""))</f>
      </c>
      <c r="D119" s="42"/>
      <c r="E119" s="295"/>
      <c r="F119" s="42"/>
      <c r="G119" s="42"/>
      <c r="H119" s="42"/>
      <c r="I119" s="295"/>
      <c r="J119" s="291">
        <f>IF($B119="","",IFERROR(IF(INDEX('07. BIA'!$AA$6:$AA$285,MATCH($B119,'07. BIA'!$F$6:$F$285,0))="","",INDEX('07. BIA'!$AA$6:$AA$285,MATCH($B119,'07. BIA'!$F$6:$F$285,0))),""))</f>
      </c>
      <c r="K119" s="291">
        <f>IF($B119="","",IFERROR(IF(INDEX('07. BIA'!$AD$6:$AD$285,MATCH($B119,'07. BIA'!$F$6:$F$285,0))="","",INDEX('07. BIA'!$AD$6:$AD$285,MATCH($B119,'07. BIA'!$F$6:$F$285,0))),""))</f>
      </c>
      <c r="L119" s="147"/>
    </row>
    <row r="120" spans="1:12" x14ac:dyDescent="0.35">
      <c r="A120" s="145">
        <v>116</v>
      </c>
      <c r="B120" s="296"/>
      <c r="C120" s="44">
        <f>IF(B120="","",IFERROR(VLOOKUP(B120,'04. Products &amp; Services'!$B$5:$E$49,4,FALSE),""))</f>
      </c>
      <c r="D120" s="42"/>
      <c r="E120" s="295"/>
      <c r="F120" s="42"/>
      <c r="G120" s="42"/>
      <c r="H120" s="42"/>
      <c r="I120" s="295"/>
      <c r="J120" s="291">
        <f>IF($B120="","",IFERROR(IF(INDEX('07. BIA'!$AA$6:$AA$285,MATCH($B120,'07. BIA'!$F$6:$F$285,0))="","",INDEX('07. BIA'!$AA$6:$AA$285,MATCH($B120,'07. BIA'!$F$6:$F$285,0))),""))</f>
      </c>
      <c r="K120" s="291">
        <f>IF($B120="","",IFERROR(IF(INDEX('07. BIA'!$AD$6:$AD$285,MATCH($B120,'07. BIA'!$F$6:$F$285,0))="","",INDEX('07. BIA'!$AD$6:$AD$285,MATCH($B120,'07. BIA'!$F$6:$F$285,0))),""))</f>
      </c>
      <c r="L120" s="147"/>
    </row>
    <row r="121" spans="1:12" x14ac:dyDescent="0.35">
      <c r="A121" s="145">
        <v>117</v>
      </c>
      <c r="B121" s="296"/>
      <c r="C121" s="44">
        <f>IF(B121="","",IFERROR(VLOOKUP(B121,'04. Products &amp; Services'!$B$5:$E$49,4,FALSE),""))</f>
      </c>
      <c r="D121" s="42"/>
      <c r="E121" s="295"/>
      <c r="F121" s="42"/>
      <c r="G121" s="42"/>
      <c r="H121" s="42"/>
      <c r="I121" s="295"/>
      <c r="J121" s="291">
        <f>IF($B121="","",IFERROR(IF(INDEX('07. BIA'!$AA$6:$AA$285,MATCH($B121,'07. BIA'!$F$6:$F$285,0))="","",INDEX('07. BIA'!$AA$6:$AA$285,MATCH($B121,'07. BIA'!$F$6:$F$285,0))),""))</f>
      </c>
      <c r="K121" s="291">
        <f>IF($B121="","",IFERROR(IF(INDEX('07. BIA'!$AD$6:$AD$285,MATCH($B121,'07. BIA'!$F$6:$F$285,0))="","",INDEX('07. BIA'!$AD$6:$AD$285,MATCH($B121,'07. BIA'!$F$6:$F$285,0))),""))</f>
      </c>
      <c r="L121" s="147"/>
    </row>
    <row r="122" spans="1:12" x14ac:dyDescent="0.35">
      <c r="A122" s="145">
        <v>118</v>
      </c>
      <c r="B122" s="296"/>
      <c r="C122" s="44">
        <f>IF(B122="","",IFERROR(VLOOKUP(B122,'04. Products &amp; Services'!$B$5:$E$49,4,FALSE),""))</f>
      </c>
      <c r="D122" s="42"/>
      <c r="E122" s="295"/>
      <c r="F122" s="42"/>
      <c r="G122" s="42"/>
      <c r="H122" s="42"/>
      <c r="I122" s="295"/>
      <c r="J122" s="291">
        <f>IF($B122="","",IFERROR(IF(INDEX('07. BIA'!$AA$6:$AA$285,MATCH($B122,'07. BIA'!$F$6:$F$285,0))="","",INDEX('07. BIA'!$AA$6:$AA$285,MATCH($B122,'07. BIA'!$F$6:$F$285,0))),""))</f>
      </c>
      <c r="K122" s="291">
        <f>IF($B122="","",IFERROR(IF(INDEX('07. BIA'!$AD$6:$AD$285,MATCH($B122,'07. BIA'!$F$6:$F$285,0))="","",INDEX('07. BIA'!$AD$6:$AD$285,MATCH($B122,'07. BIA'!$F$6:$F$285,0))),""))</f>
      </c>
      <c r="L122" s="147"/>
    </row>
    <row r="123" spans="1:12" x14ac:dyDescent="0.35">
      <c r="A123" s="145">
        <v>119</v>
      </c>
      <c r="B123" s="296"/>
      <c r="C123" s="44">
        <f>IF(B123="","",IFERROR(VLOOKUP(B123,'04. Products &amp; Services'!$B$5:$E$49,4,FALSE),""))</f>
      </c>
      <c r="D123" s="42"/>
      <c r="E123" s="295"/>
      <c r="F123" s="42"/>
      <c r="G123" s="42"/>
      <c r="H123" s="42"/>
      <c r="I123" s="295"/>
      <c r="J123" s="291">
        <f>IF($B123="","",IFERROR(IF(INDEX('07. BIA'!$AA$6:$AA$285,MATCH($B123,'07. BIA'!$F$6:$F$285,0))="","",INDEX('07. BIA'!$AA$6:$AA$285,MATCH($B123,'07. BIA'!$F$6:$F$285,0))),""))</f>
      </c>
      <c r="K123" s="291">
        <f>IF($B123="","",IFERROR(IF(INDEX('07. BIA'!$AD$6:$AD$285,MATCH($B123,'07. BIA'!$F$6:$F$285,0))="","",INDEX('07. BIA'!$AD$6:$AD$285,MATCH($B123,'07. BIA'!$F$6:$F$285,0))),""))</f>
      </c>
      <c r="L123" s="147"/>
    </row>
    <row r="124" spans="1:12" x14ac:dyDescent="0.35">
      <c r="A124" s="145">
        <v>120</v>
      </c>
      <c r="B124" s="296"/>
      <c r="C124" s="44">
        <f>IF(B124="","",IFERROR(VLOOKUP(B124,'04. Products &amp; Services'!$B$5:$E$49,4,FALSE),""))</f>
      </c>
      <c r="D124" s="42"/>
      <c r="E124" s="295"/>
      <c r="F124" s="42"/>
      <c r="G124" s="42"/>
      <c r="H124" s="42"/>
      <c r="I124" s="295"/>
      <c r="J124" s="291">
        <f>IF($B124="","",IFERROR(IF(INDEX('07. BIA'!$AA$6:$AA$285,MATCH($B124,'07. BIA'!$F$6:$F$285,0))="","",INDEX('07. BIA'!$AA$6:$AA$285,MATCH($B124,'07. BIA'!$F$6:$F$285,0))),""))</f>
      </c>
      <c r="K124" s="291">
        <f>IF($B124="","",IFERROR(IF(INDEX('07. BIA'!$AD$6:$AD$285,MATCH($B124,'07. BIA'!$F$6:$F$285,0))="","",INDEX('07. BIA'!$AD$6:$AD$285,MATCH($B124,'07. BIA'!$F$6:$F$285,0))),""))</f>
      </c>
      <c r="L124" s="147"/>
    </row>
    <row r="125" spans="1:12" x14ac:dyDescent="0.35">
      <c r="A125" s="145">
        <v>121</v>
      </c>
      <c r="B125" s="296"/>
      <c r="C125" s="44">
        <f>IF(B125="","",IFERROR(VLOOKUP(B125,'04. Products &amp; Services'!$B$5:$E$49,4,FALSE),""))</f>
      </c>
      <c r="D125" s="42"/>
      <c r="E125" s="295"/>
      <c r="F125" s="42"/>
      <c r="G125" s="42"/>
      <c r="H125" s="42"/>
      <c r="I125" s="295"/>
      <c r="J125" s="291">
        <f>IF($B125="","",IFERROR(IF(INDEX('07. BIA'!$AA$6:$AA$285,MATCH($B125,'07. BIA'!$F$6:$F$285,0))="","",INDEX('07. BIA'!$AA$6:$AA$285,MATCH($B125,'07. BIA'!$F$6:$F$285,0))),""))</f>
      </c>
      <c r="K125" s="291">
        <f>IF($B125="","",IFERROR(IF(INDEX('07. BIA'!$AD$6:$AD$285,MATCH($B125,'07. BIA'!$F$6:$F$285,0))="","",INDEX('07. BIA'!$AD$6:$AD$285,MATCH($B125,'07. BIA'!$F$6:$F$285,0))),""))</f>
      </c>
      <c r="L125" s="147"/>
    </row>
    <row r="126" spans="1:12" x14ac:dyDescent="0.35">
      <c r="A126" s="145">
        <v>122</v>
      </c>
      <c r="B126" s="296"/>
      <c r="C126" s="44">
        <f>IF(B126="","",IFERROR(VLOOKUP(B126,'04. Products &amp; Services'!$B$5:$E$49,4,FALSE),""))</f>
      </c>
      <c r="D126" s="42"/>
      <c r="E126" s="295"/>
      <c r="F126" s="42"/>
      <c r="G126" s="42"/>
      <c r="H126" s="42"/>
      <c r="I126" s="295"/>
      <c r="J126" s="291">
        <f>IF($B126="","",IFERROR(IF(INDEX('07. BIA'!$AA$6:$AA$285,MATCH($B126,'07. BIA'!$F$6:$F$285,0))="","",INDEX('07. BIA'!$AA$6:$AA$285,MATCH($B126,'07. BIA'!$F$6:$F$285,0))),""))</f>
      </c>
      <c r="K126" s="291">
        <f>IF($B126="","",IFERROR(IF(INDEX('07. BIA'!$AD$6:$AD$285,MATCH($B126,'07. BIA'!$F$6:$F$285,0))="","",INDEX('07. BIA'!$AD$6:$AD$285,MATCH($B126,'07. BIA'!$F$6:$F$285,0))),""))</f>
      </c>
      <c r="L126" s="147"/>
    </row>
    <row r="127" spans="1:12" x14ac:dyDescent="0.35">
      <c r="A127" s="145">
        <v>123</v>
      </c>
      <c r="B127" s="296"/>
      <c r="C127" s="44">
        <f>IF(B127="","",IFERROR(VLOOKUP(B127,'04. Products &amp; Services'!$B$5:$E$49,4,FALSE),""))</f>
      </c>
      <c r="D127" s="42"/>
      <c r="E127" s="295"/>
      <c r="F127" s="42"/>
      <c r="G127" s="42"/>
      <c r="H127" s="42"/>
      <c r="I127" s="295"/>
      <c r="J127" s="291">
        <f>IF($B127="","",IFERROR(IF(INDEX('07. BIA'!$AA$6:$AA$285,MATCH($B127,'07. BIA'!$F$6:$F$285,0))="","",INDEX('07. BIA'!$AA$6:$AA$285,MATCH($B127,'07. BIA'!$F$6:$F$285,0))),""))</f>
      </c>
      <c r="K127" s="291">
        <f>IF($B127="","",IFERROR(IF(INDEX('07. BIA'!$AD$6:$AD$285,MATCH($B127,'07. BIA'!$F$6:$F$285,0))="","",INDEX('07. BIA'!$AD$6:$AD$285,MATCH($B127,'07. BIA'!$F$6:$F$285,0))),""))</f>
      </c>
      <c r="L127" s="147"/>
    </row>
    <row r="128" spans="1:12" x14ac:dyDescent="0.35">
      <c r="A128" s="145">
        <v>124</v>
      </c>
      <c r="B128" s="296"/>
      <c r="C128" s="44">
        <f>IF(B128="","",IFERROR(VLOOKUP(B128,'04. Products &amp; Services'!$B$5:$E$49,4,FALSE),""))</f>
      </c>
      <c r="D128" s="42"/>
      <c r="E128" s="295"/>
      <c r="F128" s="42"/>
      <c r="G128" s="42"/>
      <c r="H128" s="42"/>
      <c r="I128" s="295"/>
      <c r="J128" s="291">
        <f>IF($B128="","",IFERROR(IF(INDEX('07. BIA'!$AA$6:$AA$285,MATCH($B128,'07. BIA'!$F$6:$F$285,0))="","",INDEX('07. BIA'!$AA$6:$AA$285,MATCH($B128,'07. BIA'!$F$6:$F$285,0))),""))</f>
      </c>
      <c r="K128" s="291">
        <f>IF($B128="","",IFERROR(IF(INDEX('07. BIA'!$AD$6:$AD$285,MATCH($B128,'07. BIA'!$F$6:$F$285,0))="","",INDEX('07. BIA'!$AD$6:$AD$285,MATCH($B128,'07. BIA'!$F$6:$F$285,0))),""))</f>
      </c>
      <c r="L128" s="147"/>
    </row>
    <row r="129" spans="1:12" x14ac:dyDescent="0.35">
      <c r="A129" s="145">
        <v>125</v>
      </c>
      <c r="B129" s="296"/>
      <c r="C129" s="44">
        <f>IF(B129="","",IFERROR(VLOOKUP(B129,'04. Products &amp; Services'!$B$5:$E$49,4,FALSE),""))</f>
      </c>
      <c r="D129" s="42"/>
      <c r="E129" s="295"/>
      <c r="F129" s="42"/>
      <c r="G129" s="42"/>
      <c r="H129" s="42"/>
      <c r="I129" s="295"/>
      <c r="J129" s="291">
        <f>IF($B129="","",IFERROR(IF(INDEX('07. BIA'!$AA$6:$AA$285,MATCH($B129,'07. BIA'!$F$6:$F$285,0))="","",INDEX('07. BIA'!$AA$6:$AA$285,MATCH($B129,'07. BIA'!$F$6:$F$285,0))),""))</f>
      </c>
      <c r="K129" s="291">
        <f>IF($B129="","",IFERROR(IF(INDEX('07. BIA'!$AD$6:$AD$285,MATCH($B129,'07. BIA'!$F$6:$F$285,0))="","",INDEX('07. BIA'!$AD$6:$AD$285,MATCH($B129,'07. BIA'!$F$6:$F$285,0))),""))</f>
      </c>
      <c r="L129" s="147"/>
    </row>
    <row r="130" spans="1:12" x14ac:dyDescent="0.35">
      <c r="A130" s="145">
        <v>126</v>
      </c>
      <c r="B130" s="296"/>
      <c r="C130" s="44">
        <f>IF(B130="","",IFERROR(VLOOKUP(B130,'04. Products &amp; Services'!$B$5:$E$49,4,FALSE),""))</f>
      </c>
      <c r="D130" s="42"/>
      <c r="E130" s="295"/>
      <c r="F130" s="42"/>
      <c r="G130" s="42"/>
      <c r="H130" s="42"/>
      <c r="I130" s="295"/>
      <c r="J130" s="291">
        <f>IF($B130="","",IFERROR(IF(INDEX('07. BIA'!$AA$6:$AA$285,MATCH($B130,'07. BIA'!$F$6:$F$285,0))="","",INDEX('07. BIA'!$AA$6:$AA$285,MATCH($B130,'07. BIA'!$F$6:$F$285,0))),""))</f>
      </c>
      <c r="K130" s="291">
        <f>IF($B130="","",IFERROR(IF(INDEX('07. BIA'!$AD$6:$AD$285,MATCH($B130,'07. BIA'!$F$6:$F$285,0))="","",INDEX('07. BIA'!$AD$6:$AD$285,MATCH($B130,'07. BIA'!$F$6:$F$285,0))),""))</f>
      </c>
      <c r="L130" s="147"/>
    </row>
    <row r="131" spans="1:12" x14ac:dyDescent="0.35">
      <c r="A131" s="145">
        <v>127</v>
      </c>
      <c r="B131" s="296"/>
      <c r="C131" s="44">
        <f>IF(B131="","",IFERROR(VLOOKUP(B131,'04. Products &amp; Services'!$B$5:$E$49,4,FALSE),""))</f>
      </c>
      <c r="D131" s="42"/>
      <c r="E131" s="295"/>
      <c r="F131" s="42"/>
      <c r="G131" s="42"/>
      <c r="H131" s="42"/>
      <c r="I131" s="295"/>
      <c r="J131" s="291">
        <f>IF($B131="","",IFERROR(IF(INDEX('07. BIA'!$AA$6:$AA$285,MATCH($B131,'07. BIA'!$F$6:$F$285,0))="","",INDEX('07. BIA'!$AA$6:$AA$285,MATCH($B131,'07. BIA'!$F$6:$F$285,0))),""))</f>
      </c>
      <c r="K131" s="291">
        <f>IF($B131="","",IFERROR(IF(INDEX('07. BIA'!$AD$6:$AD$285,MATCH($B131,'07. BIA'!$F$6:$F$285,0))="","",INDEX('07. BIA'!$AD$6:$AD$285,MATCH($B131,'07. BIA'!$F$6:$F$285,0))),""))</f>
      </c>
      <c r="L131" s="147"/>
    </row>
    <row r="132" spans="1:12" x14ac:dyDescent="0.35">
      <c r="A132" s="145">
        <v>128</v>
      </c>
      <c r="B132" s="296"/>
      <c r="C132" s="44">
        <f>IF(B132="","",IFERROR(VLOOKUP(B132,'04. Products &amp; Services'!$B$5:$E$49,4,FALSE),""))</f>
      </c>
      <c r="D132" s="42"/>
      <c r="E132" s="295"/>
      <c r="F132" s="42"/>
      <c r="G132" s="42"/>
      <c r="H132" s="42"/>
      <c r="I132" s="295"/>
      <c r="J132" s="291">
        <f>IF($B132="","",IFERROR(IF(INDEX('07. BIA'!$AA$6:$AA$285,MATCH($B132,'07. BIA'!$F$6:$F$285,0))="","",INDEX('07. BIA'!$AA$6:$AA$285,MATCH($B132,'07. BIA'!$F$6:$F$285,0))),""))</f>
      </c>
      <c r="K132" s="291">
        <f>IF($B132="","",IFERROR(IF(INDEX('07. BIA'!$AD$6:$AD$285,MATCH($B132,'07. BIA'!$F$6:$F$285,0))="","",INDEX('07. BIA'!$AD$6:$AD$285,MATCH($B132,'07. BIA'!$F$6:$F$285,0))),""))</f>
      </c>
      <c r="L132" s="147"/>
    </row>
    <row r="133" spans="1:12" x14ac:dyDescent="0.35">
      <c r="A133" s="145">
        <v>129</v>
      </c>
      <c r="B133" s="296"/>
      <c r="C133" s="44">
        <f>IF(B133="","",IFERROR(VLOOKUP(B133,'04. Products &amp; Services'!$B$5:$E$49,4,FALSE),""))</f>
      </c>
      <c r="D133" s="42"/>
      <c r="E133" s="295"/>
      <c r="F133" s="42"/>
      <c r="G133" s="42"/>
      <c r="H133" s="42"/>
      <c r="I133" s="295"/>
      <c r="J133" s="291">
        <f>IF($B133="","",IFERROR(IF(INDEX('07. BIA'!$AA$6:$AA$285,MATCH($B133,'07. BIA'!$F$6:$F$285,0))="","",INDEX('07. BIA'!$AA$6:$AA$285,MATCH($B133,'07. BIA'!$F$6:$F$285,0))),""))</f>
      </c>
      <c r="K133" s="291">
        <f>IF($B133="","",IFERROR(IF(INDEX('07. BIA'!$AD$6:$AD$285,MATCH($B133,'07. BIA'!$F$6:$F$285,0))="","",INDEX('07. BIA'!$AD$6:$AD$285,MATCH($B133,'07. BIA'!$F$6:$F$285,0))),""))</f>
      </c>
      <c r="L133" s="147"/>
    </row>
    <row r="134" spans="1:12" x14ac:dyDescent="0.35">
      <c r="A134" s="145">
        <v>130</v>
      </c>
      <c r="B134" s="296"/>
      <c r="C134" s="44">
        <f>IF(B134="","",IFERROR(VLOOKUP(B134,'04. Products &amp; Services'!$B$5:$E$49,4,FALSE),""))</f>
      </c>
      <c r="D134" s="42"/>
      <c r="E134" s="295"/>
      <c r="F134" s="42"/>
      <c r="G134" s="42"/>
      <c r="H134" s="42"/>
      <c r="I134" s="295"/>
      <c r="J134" s="291">
        <f>IF($B134="","",IFERROR(IF(INDEX('07. BIA'!$AA$6:$AA$285,MATCH($B134,'07. BIA'!$F$6:$F$285,0))="","",INDEX('07. BIA'!$AA$6:$AA$285,MATCH($B134,'07. BIA'!$F$6:$F$285,0))),""))</f>
      </c>
      <c r="K134" s="291">
        <f>IF($B134="","",IFERROR(IF(INDEX('07. BIA'!$AD$6:$AD$285,MATCH($B134,'07. BIA'!$F$6:$F$285,0))="","",INDEX('07. BIA'!$AD$6:$AD$285,MATCH($B134,'07. BIA'!$F$6:$F$285,0))),""))</f>
      </c>
      <c r="L134" s="147"/>
    </row>
    <row r="135" spans="1:12" x14ac:dyDescent="0.35">
      <c r="A135" s="145">
        <v>131</v>
      </c>
      <c r="B135" s="296"/>
      <c r="C135" s="44">
        <f>IF(B135="","",IFERROR(VLOOKUP(B135,'04. Products &amp; Services'!$B$5:$E$49,4,FALSE),""))</f>
      </c>
      <c r="D135" s="42"/>
      <c r="E135" s="295"/>
      <c r="F135" s="42"/>
      <c r="G135" s="42"/>
      <c r="H135" s="42"/>
      <c r="I135" s="295"/>
      <c r="J135" s="291">
        <f>IF($B135="","",IFERROR(IF(INDEX('07. BIA'!$AA$6:$AA$285,MATCH($B135,'07. BIA'!$F$6:$F$285,0))="","",INDEX('07. BIA'!$AA$6:$AA$285,MATCH($B135,'07. BIA'!$F$6:$F$285,0))),""))</f>
      </c>
      <c r="K135" s="291">
        <f>IF($B135="","",IFERROR(IF(INDEX('07. BIA'!$AD$6:$AD$285,MATCH($B135,'07. BIA'!$F$6:$F$285,0))="","",INDEX('07. BIA'!$AD$6:$AD$285,MATCH($B135,'07. BIA'!$F$6:$F$285,0))),""))</f>
      </c>
      <c r="L135" s="147"/>
    </row>
    <row r="136" spans="1:12" x14ac:dyDescent="0.35">
      <c r="A136" s="145">
        <v>132</v>
      </c>
      <c r="B136" s="296"/>
      <c r="C136" s="44">
        <f>IF(B136="","",IFERROR(VLOOKUP(B136,'04. Products &amp; Services'!$B$5:$E$49,4,FALSE),""))</f>
      </c>
      <c r="D136" s="42"/>
      <c r="E136" s="295"/>
      <c r="F136" s="42"/>
      <c r="G136" s="42"/>
      <c r="H136" s="42"/>
      <c r="I136" s="295"/>
      <c r="J136" s="291">
        <f>IF($B136="","",IFERROR(IF(INDEX('07. BIA'!$AA$6:$AA$285,MATCH($B136,'07. BIA'!$F$6:$F$285,0))="","",INDEX('07. BIA'!$AA$6:$AA$285,MATCH($B136,'07. BIA'!$F$6:$F$285,0))),""))</f>
      </c>
      <c r="K136" s="291">
        <f>IF($B136="","",IFERROR(IF(INDEX('07. BIA'!$AD$6:$AD$285,MATCH($B136,'07. BIA'!$F$6:$F$285,0))="","",INDEX('07. BIA'!$AD$6:$AD$285,MATCH($B136,'07. BIA'!$F$6:$F$285,0))),""))</f>
      </c>
      <c r="L136" s="147"/>
    </row>
    <row r="137" spans="1:12" x14ac:dyDescent="0.35">
      <c r="A137" s="145">
        <v>133</v>
      </c>
      <c r="B137" s="296"/>
      <c r="C137" s="44">
        <f>IF(B137="","",IFERROR(VLOOKUP(B137,'04. Products &amp; Services'!$B$5:$E$49,4,FALSE),""))</f>
      </c>
      <c r="D137" s="42"/>
      <c r="E137" s="295"/>
      <c r="F137" s="42"/>
      <c r="G137" s="42"/>
      <c r="H137" s="42"/>
      <c r="I137" s="295"/>
      <c r="J137" s="291">
        <f>IF($B137="","",IFERROR(IF(INDEX('07. BIA'!$AA$6:$AA$285,MATCH($B137,'07. BIA'!$F$6:$F$285,0))="","",INDEX('07. BIA'!$AA$6:$AA$285,MATCH($B137,'07. BIA'!$F$6:$F$285,0))),""))</f>
      </c>
      <c r="K137" s="291">
        <f>IF($B137="","",IFERROR(IF(INDEX('07. BIA'!$AD$6:$AD$285,MATCH($B137,'07. BIA'!$F$6:$F$285,0))="","",INDEX('07. BIA'!$AD$6:$AD$285,MATCH($B137,'07. BIA'!$F$6:$F$285,0))),""))</f>
      </c>
      <c r="L137" s="147"/>
    </row>
    <row r="138" spans="1:12" x14ac:dyDescent="0.35">
      <c r="A138" s="145">
        <v>134</v>
      </c>
      <c r="B138" s="296"/>
      <c r="C138" s="44">
        <f>IF(B138="","",IFERROR(VLOOKUP(B138,'04. Products &amp; Services'!$B$5:$E$49,4,FALSE),""))</f>
      </c>
      <c r="D138" s="42"/>
      <c r="E138" s="295"/>
      <c r="F138" s="42"/>
      <c r="G138" s="42"/>
      <c r="H138" s="42"/>
      <c r="I138" s="295"/>
      <c r="J138" s="291">
        <f>IF($B138="","",IFERROR(IF(INDEX('07. BIA'!$AA$6:$AA$285,MATCH($B138,'07. BIA'!$F$6:$F$285,0))="","",INDEX('07. BIA'!$AA$6:$AA$285,MATCH($B138,'07. BIA'!$F$6:$F$285,0))),""))</f>
      </c>
      <c r="K138" s="291">
        <f>IF($B138="","",IFERROR(IF(INDEX('07. BIA'!$AD$6:$AD$285,MATCH($B138,'07. BIA'!$F$6:$F$285,0))="","",INDEX('07. BIA'!$AD$6:$AD$285,MATCH($B138,'07. BIA'!$F$6:$F$285,0))),""))</f>
      </c>
      <c r="L138" s="147"/>
    </row>
    <row r="139" spans="1:12" x14ac:dyDescent="0.35">
      <c r="A139" s="145">
        <v>135</v>
      </c>
      <c r="B139" s="296"/>
      <c r="C139" s="44">
        <f>IF(B139="","",IFERROR(VLOOKUP(B139,'04. Products &amp; Services'!$B$5:$E$49,4,FALSE),""))</f>
      </c>
      <c r="D139" s="42"/>
      <c r="E139" s="295"/>
      <c r="F139" s="42"/>
      <c r="G139" s="42"/>
      <c r="H139" s="42"/>
      <c r="I139" s="295"/>
      <c r="J139" s="291">
        <f>IF($B139="","",IFERROR(IF(INDEX('07. BIA'!$AA$6:$AA$285,MATCH($B139,'07. BIA'!$F$6:$F$285,0))="","",INDEX('07. BIA'!$AA$6:$AA$285,MATCH($B139,'07. BIA'!$F$6:$F$285,0))),""))</f>
      </c>
      <c r="K139" s="291">
        <f>IF($B139="","",IFERROR(IF(INDEX('07. BIA'!$AD$6:$AD$285,MATCH($B139,'07. BIA'!$F$6:$F$285,0))="","",INDEX('07. BIA'!$AD$6:$AD$285,MATCH($B139,'07. BIA'!$F$6:$F$285,0))),""))</f>
      </c>
      <c r="L139" s="147"/>
    </row>
    <row r="140" spans="1:12" x14ac:dyDescent="0.35">
      <c r="A140" s="145">
        <v>136</v>
      </c>
      <c r="B140" s="296"/>
      <c r="C140" s="44">
        <f>IF(B140="","",IFERROR(VLOOKUP(B140,'04. Products &amp; Services'!$B$5:$E$49,4,FALSE),""))</f>
      </c>
      <c r="D140" s="42"/>
      <c r="E140" s="295"/>
      <c r="F140" s="42"/>
      <c r="G140" s="42"/>
      <c r="H140" s="42"/>
      <c r="I140" s="295"/>
      <c r="J140" s="291">
        <f>IF($B140="","",IFERROR(IF(INDEX('07. BIA'!$AA$6:$AA$285,MATCH($B140,'07. BIA'!$F$6:$F$285,0))="","",INDEX('07. BIA'!$AA$6:$AA$285,MATCH($B140,'07. BIA'!$F$6:$F$285,0))),""))</f>
      </c>
      <c r="K140" s="291">
        <f>IF($B140="","",IFERROR(IF(INDEX('07. BIA'!$AD$6:$AD$285,MATCH($B140,'07. BIA'!$F$6:$F$285,0))="","",INDEX('07. BIA'!$AD$6:$AD$285,MATCH($B140,'07. BIA'!$F$6:$F$285,0))),""))</f>
      </c>
      <c r="L140" s="147"/>
    </row>
    <row r="141" spans="1:12" x14ac:dyDescent="0.35">
      <c r="A141" s="145">
        <v>137</v>
      </c>
      <c r="B141" s="296"/>
      <c r="C141" s="44">
        <f>IF(B141="","",IFERROR(VLOOKUP(B141,'04. Products &amp; Services'!$B$5:$E$49,4,FALSE),""))</f>
      </c>
      <c r="D141" s="42"/>
      <c r="E141" s="295"/>
      <c r="F141" s="42"/>
      <c r="G141" s="42"/>
      <c r="H141" s="42"/>
      <c r="I141" s="295"/>
      <c r="J141" s="291">
        <f>IF($B141="","",IFERROR(IF(INDEX('07. BIA'!$AA$6:$AA$285,MATCH($B141,'07. BIA'!$F$6:$F$285,0))="","",INDEX('07. BIA'!$AA$6:$AA$285,MATCH($B141,'07. BIA'!$F$6:$F$285,0))),""))</f>
      </c>
      <c r="K141" s="291">
        <f>IF($B141="","",IFERROR(IF(INDEX('07. BIA'!$AD$6:$AD$285,MATCH($B141,'07. BIA'!$F$6:$F$285,0))="","",INDEX('07. BIA'!$AD$6:$AD$285,MATCH($B141,'07. BIA'!$F$6:$F$285,0))),""))</f>
      </c>
      <c r="L141" s="147"/>
    </row>
    <row r="142" spans="1:12" x14ac:dyDescent="0.35">
      <c r="A142" s="145">
        <v>138</v>
      </c>
      <c r="B142" s="296"/>
      <c r="C142" s="44">
        <f>IF(B142="","",IFERROR(VLOOKUP(B142,'04. Products &amp; Services'!$B$5:$E$49,4,FALSE),""))</f>
      </c>
      <c r="D142" s="42"/>
      <c r="E142" s="295"/>
      <c r="F142" s="42"/>
      <c r="G142" s="42"/>
      <c r="H142" s="42"/>
      <c r="I142" s="295"/>
      <c r="J142" s="291">
        <f>IF($B142="","",IFERROR(IF(INDEX('07. BIA'!$AA$6:$AA$285,MATCH($B142,'07. BIA'!$F$6:$F$285,0))="","",INDEX('07. BIA'!$AA$6:$AA$285,MATCH($B142,'07. BIA'!$F$6:$F$285,0))),""))</f>
      </c>
      <c r="K142" s="291">
        <f>IF($B142="","",IFERROR(IF(INDEX('07. BIA'!$AD$6:$AD$285,MATCH($B142,'07. BIA'!$F$6:$F$285,0))="","",INDEX('07. BIA'!$AD$6:$AD$285,MATCH($B142,'07. BIA'!$F$6:$F$285,0))),""))</f>
      </c>
      <c r="L142" s="147"/>
    </row>
    <row r="143" spans="1:12" x14ac:dyDescent="0.35">
      <c r="A143" s="145">
        <v>139</v>
      </c>
      <c r="B143" s="296"/>
      <c r="C143" s="44">
        <f>IF(B143="","",IFERROR(VLOOKUP(B143,'04. Products &amp; Services'!$B$5:$E$49,4,FALSE),""))</f>
      </c>
      <c r="D143" s="42"/>
      <c r="E143" s="295"/>
      <c r="F143" s="42"/>
      <c r="G143" s="42"/>
      <c r="H143" s="42"/>
      <c r="I143" s="295"/>
      <c r="J143" s="291">
        <f>IF($B143="","",IFERROR(IF(INDEX('07. BIA'!$AA$6:$AA$285,MATCH($B143,'07. BIA'!$F$6:$F$285,0))="","",INDEX('07. BIA'!$AA$6:$AA$285,MATCH($B143,'07. BIA'!$F$6:$F$285,0))),""))</f>
      </c>
      <c r="K143" s="291">
        <f>IF($B143="","",IFERROR(IF(INDEX('07. BIA'!$AD$6:$AD$285,MATCH($B143,'07. BIA'!$F$6:$F$285,0))="","",INDEX('07. BIA'!$AD$6:$AD$285,MATCH($B143,'07. BIA'!$F$6:$F$285,0))),""))</f>
      </c>
      <c r="L143" s="147"/>
    </row>
    <row r="144" spans="1:12" x14ac:dyDescent="0.35">
      <c r="A144" s="145">
        <v>140</v>
      </c>
      <c r="B144" s="296"/>
      <c r="C144" s="44">
        <f>IF(B144="","",IFERROR(VLOOKUP(B144,'04. Products &amp; Services'!$B$5:$E$49,4,FALSE),""))</f>
      </c>
      <c r="D144" s="42"/>
      <c r="E144" s="295"/>
      <c r="F144" s="42"/>
      <c r="G144" s="42"/>
      <c r="H144" s="42"/>
      <c r="I144" s="295"/>
      <c r="J144" s="291">
        <f>IF($B144="","",IFERROR(IF(INDEX('07. BIA'!$AA$6:$AA$285,MATCH($B144,'07. BIA'!$F$6:$F$285,0))="","",INDEX('07. BIA'!$AA$6:$AA$285,MATCH($B144,'07. BIA'!$F$6:$F$285,0))),""))</f>
      </c>
      <c r="K144" s="291">
        <f>IF($B144="","",IFERROR(IF(INDEX('07. BIA'!$AD$6:$AD$285,MATCH($B144,'07. BIA'!$F$6:$F$285,0))="","",INDEX('07. BIA'!$AD$6:$AD$285,MATCH($B144,'07. BIA'!$F$6:$F$285,0))),""))</f>
      </c>
      <c r="L144" s="147"/>
    </row>
    <row r="145" spans="1:12" x14ac:dyDescent="0.35">
      <c r="A145" s="145">
        <v>141</v>
      </c>
      <c r="B145" s="296"/>
      <c r="C145" s="44">
        <f>IF(B145="","",IFERROR(VLOOKUP(B145,'04. Products &amp; Services'!$B$5:$E$49,4,FALSE),""))</f>
      </c>
      <c r="D145" s="42"/>
      <c r="E145" s="295"/>
      <c r="F145" s="42"/>
      <c r="G145" s="42"/>
      <c r="H145" s="42"/>
      <c r="I145" s="295"/>
      <c r="J145" s="291">
        <f>IF($B145="","",IFERROR(IF(INDEX('07. BIA'!$AA$6:$AA$285,MATCH($B145,'07. BIA'!$F$6:$F$285,0))="","",INDEX('07. BIA'!$AA$6:$AA$285,MATCH($B145,'07. BIA'!$F$6:$F$285,0))),""))</f>
      </c>
      <c r="K145" s="291">
        <f>IF($B145="","",IFERROR(IF(INDEX('07. BIA'!$AD$6:$AD$285,MATCH($B145,'07. BIA'!$F$6:$F$285,0))="","",INDEX('07. BIA'!$AD$6:$AD$285,MATCH($B145,'07. BIA'!$F$6:$F$285,0))),""))</f>
      </c>
      <c r="L145" s="147"/>
    </row>
    <row r="146" spans="1:12" x14ac:dyDescent="0.35">
      <c r="A146" s="145">
        <v>142</v>
      </c>
      <c r="B146" s="296"/>
      <c r="C146" s="44">
        <f>IF(B146="","",IFERROR(VLOOKUP(B146,'04. Products &amp; Services'!$B$5:$E$49,4,FALSE),""))</f>
      </c>
      <c r="D146" s="42"/>
      <c r="E146" s="295"/>
      <c r="F146" s="42"/>
      <c r="G146" s="42"/>
      <c r="H146" s="42"/>
      <c r="I146" s="295"/>
      <c r="J146" s="291">
        <f>IF($B146="","",IFERROR(IF(INDEX('07. BIA'!$AA$6:$AA$285,MATCH($B146,'07. BIA'!$F$6:$F$285,0))="","",INDEX('07. BIA'!$AA$6:$AA$285,MATCH($B146,'07. BIA'!$F$6:$F$285,0))),""))</f>
      </c>
      <c r="K146" s="291">
        <f>IF($B146="","",IFERROR(IF(INDEX('07. BIA'!$AD$6:$AD$285,MATCH($B146,'07. BIA'!$F$6:$F$285,0))="","",INDEX('07. BIA'!$AD$6:$AD$285,MATCH($B146,'07. BIA'!$F$6:$F$285,0))),""))</f>
      </c>
      <c r="L146" s="147"/>
    </row>
    <row r="147" spans="1:12" x14ac:dyDescent="0.35">
      <c r="A147" s="145">
        <v>143</v>
      </c>
      <c r="B147" s="296"/>
      <c r="C147" s="44">
        <f>IF(B147="","",IFERROR(VLOOKUP(B147,'04. Products &amp; Services'!$B$5:$E$49,4,FALSE),""))</f>
      </c>
      <c r="D147" s="42"/>
      <c r="E147" s="295"/>
      <c r="F147" s="42"/>
      <c r="G147" s="42"/>
      <c r="H147" s="42"/>
      <c r="I147" s="295"/>
      <c r="J147" s="291">
        <f>IF($B147="","",IFERROR(IF(INDEX('07. BIA'!$AA$6:$AA$285,MATCH($B147,'07. BIA'!$F$6:$F$285,0))="","",INDEX('07. BIA'!$AA$6:$AA$285,MATCH($B147,'07. BIA'!$F$6:$F$285,0))),""))</f>
      </c>
      <c r="K147" s="291">
        <f>IF($B147="","",IFERROR(IF(INDEX('07. BIA'!$AD$6:$AD$285,MATCH($B147,'07. BIA'!$F$6:$F$285,0))="","",INDEX('07. BIA'!$AD$6:$AD$285,MATCH($B147,'07. BIA'!$F$6:$F$285,0))),""))</f>
      </c>
      <c r="L147" s="147"/>
    </row>
    <row r="148" spans="1:12" x14ac:dyDescent="0.35">
      <c r="A148" s="145">
        <v>144</v>
      </c>
      <c r="B148" s="296"/>
      <c r="C148" s="44">
        <f>IF(B148="","",IFERROR(VLOOKUP(B148,'04. Products &amp; Services'!$B$5:$E$49,4,FALSE),""))</f>
      </c>
      <c r="D148" s="42"/>
      <c r="E148" s="295"/>
      <c r="F148" s="42"/>
      <c r="G148" s="42"/>
      <c r="H148" s="42"/>
      <c r="I148" s="295"/>
      <c r="J148" s="291">
        <f>IF($B148="","",IFERROR(IF(INDEX('07. BIA'!$AA$6:$AA$285,MATCH($B148,'07. BIA'!$F$6:$F$285,0))="","",INDEX('07. BIA'!$AA$6:$AA$285,MATCH($B148,'07. BIA'!$F$6:$F$285,0))),""))</f>
      </c>
      <c r="K148" s="291">
        <f>IF($B148="","",IFERROR(IF(INDEX('07. BIA'!$AD$6:$AD$285,MATCH($B148,'07. BIA'!$F$6:$F$285,0))="","",INDEX('07. BIA'!$AD$6:$AD$285,MATCH($B148,'07. BIA'!$F$6:$F$285,0))),""))</f>
      </c>
      <c r="L148" s="147"/>
    </row>
    <row r="149" spans="1:12" x14ac:dyDescent="0.35">
      <c r="A149" s="145">
        <v>145</v>
      </c>
      <c r="B149" s="296"/>
      <c r="C149" s="44">
        <f>IF(B149="","",IFERROR(VLOOKUP(B149,'04. Products &amp; Services'!$B$5:$E$49,4,FALSE),""))</f>
      </c>
      <c r="D149" s="42"/>
      <c r="E149" s="295"/>
      <c r="F149" s="42"/>
      <c r="G149" s="42"/>
      <c r="H149" s="42"/>
      <c r="I149" s="295"/>
      <c r="J149" s="291">
        <f>IF($B149="","",IFERROR(IF(INDEX('07. BIA'!$AA$6:$AA$285,MATCH($B149,'07. BIA'!$F$6:$F$285,0))="","",INDEX('07. BIA'!$AA$6:$AA$285,MATCH($B149,'07. BIA'!$F$6:$F$285,0))),""))</f>
      </c>
      <c r="K149" s="291">
        <f>IF($B149="","",IFERROR(IF(INDEX('07. BIA'!$AD$6:$AD$285,MATCH($B149,'07. BIA'!$F$6:$F$285,0))="","",INDEX('07. BIA'!$AD$6:$AD$285,MATCH($B149,'07. BIA'!$F$6:$F$285,0))),""))</f>
      </c>
      <c r="L149" s="147"/>
    </row>
    <row r="150" spans="1:12" x14ac:dyDescent="0.35">
      <c r="A150" s="145">
        <v>146</v>
      </c>
      <c r="B150" s="296"/>
      <c r="C150" s="44">
        <f>IF(B150="","",IFERROR(VLOOKUP(B150,'04. Products &amp; Services'!$B$5:$E$49,4,FALSE),""))</f>
      </c>
      <c r="D150" s="42"/>
      <c r="E150" s="295"/>
      <c r="F150" s="42"/>
      <c r="G150" s="42"/>
      <c r="H150" s="42"/>
      <c r="I150" s="295"/>
      <c r="J150" s="291">
        <f>IF($B150="","",IFERROR(IF(INDEX('07. BIA'!$AA$6:$AA$285,MATCH($B150,'07. BIA'!$F$6:$F$285,0))="","",INDEX('07. BIA'!$AA$6:$AA$285,MATCH($B150,'07. BIA'!$F$6:$F$285,0))),""))</f>
      </c>
      <c r="K150" s="291">
        <f>IF($B150="","",IFERROR(IF(INDEX('07. BIA'!$AD$6:$AD$285,MATCH($B150,'07. BIA'!$F$6:$F$285,0))="","",INDEX('07. BIA'!$AD$6:$AD$285,MATCH($B150,'07. BIA'!$F$6:$F$285,0))),""))</f>
      </c>
      <c r="L150" s="147"/>
    </row>
    <row r="151" spans="1:12" x14ac:dyDescent="0.35">
      <c r="A151" s="145">
        <v>147</v>
      </c>
      <c r="B151" s="296"/>
      <c r="C151" s="44">
        <f>IF(B151="","",IFERROR(VLOOKUP(B151,'04. Products &amp; Services'!$B$5:$E$49,4,FALSE),""))</f>
      </c>
      <c r="D151" s="42"/>
      <c r="E151" s="295"/>
      <c r="F151" s="42"/>
      <c r="G151" s="42"/>
      <c r="H151" s="42"/>
      <c r="I151" s="295"/>
      <c r="J151" s="291">
        <f>IF($B151="","",IFERROR(IF(INDEX('07. BIA'!$AA$6:$AA$285,MATCH($B151,'07. BIA'!$F$6:$F$285,0))="","",INDEX('07. BIA'!$AA$6:$AA$285,MATCH($B151,'07. BIA'!$F$6:$F$285,0))),""))</f>
      </c>
      <c r="K151" s="291">
        <f>IF($B151="","",IFERROR(IF(INDEX('07. BIA'!$AD$6:$AD$285,MATCH($B151,'07. BIA'!$F$6:$F$285,0))="","",INDEX('07. BIA'!$AD$6:$AD$285,MATCH($B151,'07. BIA'!$F$6:$F$285,0))),""))</f>
      </c>
      <c r="L151" s="147"/>
    </row>
    <row r="152" spans="1:12" x14ac:dyDescent="0.35">
      <c r="A152" s="145">
        <v>148</v>
      </c>
      <c r="B152" s="296"/>
      <c r="C152" s="44">
        <f>IF(B152="","",IFERROR(VLOOKUP(B152,'04. Products &amp; Services'!$B$5:$E$49,4,FALSE),""))</f>
      </c>
      <c r="D152" s="42"/>
      <c r="E152" s="295"/>
      <c r="F152" s="42"/>
      <c r="G152" s="42"/>
      <c r="H152" s="42"/>
      <c r="I152" s="295"/>
      <c r="J152" s="291">
        <f>IF($B152="","",IFERROR(IF(INDEX('07. BIA'!$AA$6:$AA$285,MATCH($B152,'07. BIA'!$F$6:$F$285,0))="","",INDEX('07. BIA'!$AA$6:$AA$285,MATCH($B152,'07. BIA'!$F$6:$F$285,0))),""))</f>
      </c>
      <c r="K152" s="291">
        <f>IF($B152="","",IFERROR(IF(INDEX('07. BIA'!$AD$6:$AD$285,MATCH($B152,'07. BIA'!$F$6:$F$285,0))="","",INDEX('07. BIA'!$AD$6:$AD$285,MATCH($B152,'07. BIA'!$F$6:$F$285,0))),""))</f>
      </c>
      <c r="L152" s="147"/>
    </row>
    <row r="153" spans="1:12" x14ac:dyDescent="0.35">
      <c r="A153" s="145">
        <v>149</v>
      </c>
      <c r="B153" s="296"/>
      <c r="C153" s="44">
        <f>IF(B153="","",IFERROR(VLOOKUP(B153,'04. Products &amp; Services'!$B$5:$E$49,4,FALSE),""))</f>
      </c>
      <c r="D153" s="42"/>
      <c r="E153" s="295"/>
      <c r="F153" s="42"/>
      <c r="G153" s="42"/>
      <c r="H153" s="42"/>
      <c r="I153" s="295"/>
      <c r="J153" s="291">
        <f>IF($B153="","",IFERROR(IF(INDEX('07. BIA'!$AA$6:$AA$285,MATCH($B153,'07. BIA'!$F$6:$F$285,0))="","",INDEX('07. BIA'!$AA$6:$AA$285,MATCH($B153,'07. BIA'!$F$6:$F$285,0))),""))</f>
      </c>
      <c r="K153" s="291">
        <f>IF($B153="","",IFERROR(IF(INDEX('07. BIA'!$AD$6:$AD$285,MATCH($B153,'07. BIA'!$F$6:$F$285,0))="","",INDEX('07. BIA'!$AD$6:$AD$285,MATCH($B153,'07. BIA'!$F$6:$F$285,0))),""))</f>
      </c>
      <c r="L153" s="147"/>
    </row>
    <row r="154" spans="1:12" x14ac:dyDescent="0.35">
      <c r="A154" s="145">
        <v>150</v>
      </c>
      <c r="B154" s="296"/>
      <c r="C154" s="44">
        <f>IF(B154="","",IFERROR(VLOOKUP(B154,'04. Products &amp; Services'!$B$5:$E$49,4,FALSE),""))</f>
      </c>
      <c r="D154" s="42"/>
      <c r="E154" s="295"/>
      <c r="F154" s="42"/>
      <c r="G154" s="42"/>
      <c r="H154" s="42"/>
      <c r="I154" s="295"/>
      <c r="J154" s="291">
        <f>IF($B154="","",IFERROR(IF(INDEX('07. BIA'!$AA$6:$AA$285,MATCH($B154,'07. BIA'!$F$6:$F$285,0))="","",INDEX('07. BIA'!$AA$6:$AA$285,MATCH($B154,'07. BIA'!$F$6:$F$285,0))),""))</f>
      </c>
      <c r="K154" s="291">
        <f>IF($B154="","",IFERROR(IF(INDEX('07. BIA'!$AD$6:$AD$285,MATCH($B154,'07. BIA'!$F$6:$F$285,0))="","",INDEX('07. BIA'!$AD$6:$AD$285,MATCH($B154,'07. BIA'!$F$6:$F$285,0))),""))</f>
      </c>
      <c r="L154" s="147"/>
    </row>
    <row r="155" spans="1:12" x14ac:dyDescent="0.35">
      <c r="A155" s="145">
        <v>151</v>
      </c>
      <c r="B155" s="296"/>
      <c r="C155" s="44">
        <f>IF(B155="","",IFERROR(VLOOKUP(B155,'04. Products &amp; Services'!$B$5:$E$49,4,FALSE),""))</f>
      </c>
      <c r="D155" s="42"/>
      <c r="E155" s="295"/>
      <c r="F155" s="42"/>
      <c r="G155" s="42"/>
      <c r="H155" s="42"/>
      <c r="I155" s="295"/>
      <c r="J155" s="291">
        <f>IF($B155="","",IFERROR(IF(INDEX('07. BIA'!$AA$6:$AA$285,MATCH($B155,'07. BIA'!$F$6:$F$285,0))="","",INDEX('07. BIA'!$AA$6:$AA$285,MATCH($B155,'07. BIA'!$F$6:$F$285,0))),""))</f>
      </c>
      <c r="K155" s="291">
        <f>IF($B155="","",IFERROR(IF(INDEX('07. BIA'!$AD$6:$AD$285,MATCH($B155,'07. BIA'!$F$6:$F$285,0))="","",INDEX('07. BIA'!$AD$6:$AD$285,MATCH($B155,'07. BIA'!$F$6:$F$285,0))),""))</f>
      </c>
      <c r="L155" s="147"/>
    </row>
    <row r="156" spans="1:12" x14ac:dyDescent="0.35">
      <c r="A156" s="145">
        <v>152</v>
      </c>
      <c r="B156" s="296"/>
      <c r="C156" s="44">
        <f>IF(B156="","",IFERROR(VLOOKUP(B156,'04. Products &amp; Services'!$B$5:$E$49,4,FALSE),""))</f>
      </c>
      <c r="D156" s="42"/>
      <c r="E156" s="295"/>
      <c r="F156" s="42"/>
      <c r="G156" s="42"/>
      <c r="H156" s="42"/>
      <c r="I156" s="295"/>
      <c r="J156" s="291">
        <f>IF($B156="","",IFERROR(IF(INDEX('07. BIA'!$AA$6:$AA$285,MATCH($B156,'07. BIA'!$F$6:$F$285,0))="","",INDEX('07. BIA'!$AA$6:$AA$285,MATCH($B156,'07. BIA'!$F$6:$F$285,0))),""))</f>
      </c>
      <c r="K156" s="291">
        <f>IF($B156="","",IFERROR(IF(INDEX('07. BIA'!$AD$6:$AD$285,MATCH($B156,'07. BIA'!$F$6:$F$285,0))="","",INDEX('07. BIA'!$AD$6:$AD$285,MATCH($B156,'07. BIA'!$F$6:$F$285,0))),""))</f>
      </c>
      <c r="L156" s="147"/>
    </row>
    <row r="157" spans="1:12" x14ac:dyDescent="0.35">
      <c r="A157" s="145">
        <v>153</v>
      </c>
      <c r="B157" s="296"/>
      <c r="C157" s="44">
        <f>IF(B157="","",IFERROR(VLOOKUP(B157,'04. Products &amp; Services'!$B$5:$E$49,4,FALSE),""))</f>
      </c>
      <c r="D157" s="42"/>
      <c r="E157" s="295"/>
      <c r="F157" s="42"/>
      <c r="G157" s="42"/>
      <c r="H157" s="42"/>
      <c r="I157" s="295"/>
      <c r="J157" s="291">
        <f>IF($B157="","",IFERROR(IF(INDEX('07. BIA'!$AA$6:$AA$285,MATCH($B157,'07. BIA'!$F$6:$F$285,0))="","",INDEX('07. BIA'!$AA$6:$AA$285,MATCH($B157,'07. BIA'!$F$6:$F$285,0))),""))</f>
      </c>
      <c r="K157" s="291">
        <f>IF($B157="","",IFERROR(IF(INDEX('07. BIA'!$AD$6:$AD$285,MATCH($B157,'07. BIA'!$F$6:$F$285,0))="","",INDEX('07. BIA'!$AD$6:$AD$285,MATCH($B157,'07. BIA'!$F$6:$F$285,0))),""))</f>
      </c>
      <c r="L157" s="147"/>
    </row>
    <row r="158" spans="1:12" x14ac:dyDescent="0.35">
      <c r="A158" s="145">
        <v>154</v>
      </c>
      <c r="B158" s="296"/>
      <c r="C158" s="44">
        <f>IF(B158="","",IFERROR(VLOOKUP(B158,'04. Products &amp; Services'!$B$5:$E$49,4,FALSE),""))</f>
      </c>
      <c r="D158" s="42"/>
      <c r="E158" s="295"/>
      <c r="F158" s="42"/>
      <c r="G158" s="42"/>
      <c r="H158" s="42"/>
      <c r="I158" s="295"/>
      <c r="J158" s="291">
        <f>IF($B158="","",IFERROR(IF(INDEX('07. BIA'!$AA$6:$AA$285,MATCH($B158,'07. BIA'!$F$6:$F$285,0))="","",INDEX('07. BIA'!$AA$6:$AA$285,MATCH($B158,'07. BIA'!$F$6:$F$285,0))),""))</f>
      </c>
      <c r="K158" s="291">
        <f>IF($B158="","",IFERROR(IF(INDEX('07. BIA'!$AD$6:$AD$285,MATCH($B158,'07. BIA'!$F$6:$F$285,0))="","",INDEX('07. BIA'!$AD$6:$AD$285,MATCH($B158,'07. BIA'!$F$6:$F$285,0))),""))</f>
      </c>
      <c r="L158" s="147"/>
    </row>
    <row r="159" spans="1:12" x14ac:dyDescent="0.35">
      <c r="A159" s="145">
        <v>155</v>
      </c>
      <c r="B159" s="296"/>
      <c r="C159" s="44">
        <f>IF(B159="","",IFERROR(VLOOKUP(B159,'04. Products &amp; Services'!$B$5:$E$49,4,FALSE),""))</f>
      </c>
      <c r="D159" s="42"/>
      <c r="E159" s="295"/>
      <c r="F159" s="42"/>
      <c r="G159" s="42"/>
      <c r="H159" s="42"/>
      <c r="I159" s="295"/>
      <c r="J159" s="291">
        <f>IF($B159="","",IFERROR(IF(INDEX('07. BIA'!$AA$6:$AA$285,MATCH($B159,'07. BIA'!$F$6:$F$285,0))="","",INDEX('07. BIA'!$AA$6:$AA$285,MATCH($B159,'07. BIA'!$F$6:$F$285,0))),""))</f>
      </c>
      <c r="K159" s="291">
        <f>IF($B159="","",IFERROR(IF(INDEX('07. BIA'!$AD$6:$AD$285,MATCH($B159,'07. BIA'!$F$6:$F$285,0))="","",INDEX('07. BIA'!$AD$6:$AD$285,MATCH($B159,'07. BIA'!$F$6:$F$285,0))),""))</f>
      </c>
      <c r="L159" s="147"/>
    </row>
    <row r="160" spans="1:12" x14ac:dyDescent="0.35">
      <c r="A160" s="145">
        <v>156</v>
      </c>
      <c r="B160" s="296"/>
      <c r="C160" s="44">
        <f>IF(B160="","",IFERROR(VLOOKUP(B160,'04. Products &amp; Services'!$B$5:$E$49,4,FALSE),""))</f>
      </c>
      <c r="D160" s="42"/>
      <c r="E160" s="295"/>
      <c r="F160" s="42"/>
      <c r="G160" s="42"/>
      <c r="H160" s="42"/>
      <c r="I160" s="295"/>
      <c r="J160" s="291">
        <f>IF($B160="","",IFERROR(IF(INDEX('07. BIA'!$AA$6:$AA$285,MATCH($B160,'07. BIA'!$F$6:$F$285,0))="","",INDEX('07. BIA'!$AA$6:$AA$285,MATCH($B160,'07. BIA'!$F$6:$F$285,0))),""))</f>
      </c>
      <c r="K160" s="291">
        <f>IF($B160="","",IFERROR(IF(INDEX('07. BIA'!$AD$6:$AD$285,MATCH($B160,'07. BIA'!$F$6:$F$285,0))="","",INDEX('07. BIA'!$AD$6:$AD$285,MATCH($B160,'07. BIA'!$F$6:$F$285,0))),""))</f>
      </c>
      <c r="L160" s="147"/>
    </row>
    <row r="161" spans="1:12" x14ac:dyDescent="0.35">
      <c r="A161" s="145">
        <v>157</v>
      </c>
      <c r="B161" s="296"/>
      <c r="C161" s="44">
        <f>IF(B161="","",IFERROR(VLOOKUP(B161,'04. Products &amp; Services'!$B$5:$E$49,4,FALSE),""))</f>
      </c>
      <c r="D161" s="42"/>
      <c r="E161" s="295"/>
      <c r="F161" s="42"/>
      <c r="G161" s="42"/>
      <c r="H161" s="42"/>
      <c r="I161" s="295"/>
      <c r="J161" s="291">
        <f>IF($B161="","",IFERROR(IF(INDEX('07. BIA'!$AA$6:$AA$285,MATCH($B161,'07. BIA'!$F$6:$F$285,0))="","",INDEX('07. BIA'!$AA$6:$AA$285,MATCH($B161,'07. BIA'!$F$6:$F$285,0))),""))</f>
      </c>
      <c r="K161" s="291">
        <f>IF($B161="","",IFERROR(IF(INDEX('07. BIA'!$AD$6:$AD$285,MATCH($B161,'07. BIA'!$F$6:$F$285,0))="","",INDEX('07. BIA'!$AD$6:$AD$285,MATCH($B161,'07. BIA'!$F$6:$F$285,0))),""))</f>
      </c>
      <c r="L161" s="147"/>
    </row>
    <row r="162" spans="1:12" x14ac:dyDescent="0.35">
      <c r="A162" s="145">
        <v>158</v>
      </c>
      <c r="B162" s="296"/>
      <c r="C162" s="44">
        <f>IF(B162="","",IFERROR(VLOOKUP(B162,'04. Products &amp; Services'!$B$5:$E$49,4,FALSE),""))</f>
      </c>
      <c r="D162" s="42"/>
      <c r="E162" s="295"/>
      <c r="F162" s="42"/>
      <c r="G162" s="42"/>
      <c r="H162" s="42"/>
      <c r="I162" s="295"/>
      <c r="J162" s="291">
        <f>IF($B162="","",IFERROR(IF(INDEX('07. BIA'!$AA$6:$AA$285,MATCH($B162,'07. BIA'!$F$6:$F$285,0))="","",INDEX('07. BIA'!$AA$6:$AA$285,MATCH($B162,'07. BIA'!$F$6:$F$285,0))),""))</f>
      </c>
      <c r="K162" s="291">
        <f>IF($B162="","",IFERROR(IF(INDEX('07. BIA'!$AD$6:$AD$285,MATCH($B162,'07. BIA'!$F$6:$F$285,0))="","",INDEX('07. BIA'!$AD$6:$AD$285,MATCH($B162,'07. BIA'!$F$6:$F$285,0))),""))</f>
      </c>
      <c r="L162" s="147"/>
    </row>
    <row r="163" spans="1:12" x14ac:dyDescent="0.35">
      <c r="A163" s="145">
        <v>159</v>
      </c>
      <c r="B163" s="296"/>
      <c r="C163" s="44">
        <f>IF(B163="","",IFERROR(VLOOKUP(B163,'04. Products &amp; Services'!$B$5:$E$49,4,FALSE),""))</f>
      </c>
      <c r="D163" s="42"/>
      <c r="E163" s="295"/>
      <c r="F163" s="42"/>
      <c r="G163" s="42"/>
      <c r="H163" s="42"/>
      <c r="I163" s="295"/>
      <c r="J163" s="291">
        <f>IF($B163="","",IFERROR(IF(INDEX('07. BIA'!$AA$6:$AA$285,MATCH($B163,'07. BIA'!$F$6:$F$285,0))="","",INDEX('07. BIA'!$AA$6:$AA$285,MATCH($B163,'07. BIA'!$F$6:$F$285,0))),""))</f>
      </c>
      <c r="K163" s="291">
        <f>IF($B163="","",IFERROR(IF(INDEX('07. BIA'!$AD$6:$AD$285,MATCH($B163,'07. BIA'!$F$6:$F$285,0))="","",INDEX('07. BIA'!$AD$6:$AD$285,MATCH($B163,'07. BIA'!$F$6:$F$285,0))),""))</f>
      </c>
      <c r="L163" s="147"/>
    </row>
    <row r="164" spans="1:12" x14ac:dyDescent="0.35">
      <c r="A164" s="145">
        <v>160</v>
      </c>
      <c r="B164" s="296"/>
      <c r="C164" s="44">
        <f>IF(B164="","",IFERROR(VLOOKUP(B164,'04. Products &amp; Services'!$B$5:$E$49,4,FALSE),""))</f>
      </c>
      <c r="D164" s="42"/>
      <c r="E164" s="295"/>
      <c r="F164" s="42"/>
      <c r="G164" s="42"/>
      <c r="H164" s="42"/>
      <c r="I164" s="295"/>
      <c r="J164" s="291">
        <f>IF($B164="","",IFERROR(IF(INDEX('07. BIA'!$AA$6:$AA$285,MATCH($B164,'07. BIA'!$F$6:$F$285,0))="","",INDEX('07. BIA'!$AA$6:$AA$285,MATCH($B164,'07. BIA'!$F$6:$F$285,0))),""))</f>
      </c>
      <c r="K164" s="291">
        <f>IF($B164="","",IFERROR(IF(INDEX('07. BIA'!$AD$6:$AD$285,MATCH($B164,'07. BIA'!$F$6:$F$285,0))="","",INDEX('07. BIA'!$AD$6:$AD$285,MATCH($B164,'07. BIA'!$F$6:$F$285,0))),""))</f>
      </c>
      <c r="L164" s="147"/>
    </row>
    <row r="165" spans="1:12" x14ac:dyDescent="0.35">
      <c r="A165" s="145">
        <v>161</v>
      </c>
      <c r="B165" s="296"/>
      <c r="C165" s="44">
        <f>IF(B165="","",IFERROR(VLOOKUP(B165,'04. Products &amp; Services'!$B$5:$E$49,4,FALSE),""))</f>
      </c>
      <c r="D165" s="42"/>
      <c r="E165" s="295"/>
      <c r="F165" s="42"/>
      <c r="G165" s="42"/>
      <c r="H165" s="42"/>
      <c r="I165" s="295"/>
      <c r="J165" s="291">
        <f>IF($B165="","",IFERROR(IF(INDEX('07. BIA'!$AA$6:$AA$285,MATCH($B165,'07. BIA'!$F$6:$F$285,0))="","",INDEX('07. BIA'!$AA$6:$AA$285,MATCH($B165,'07. BIA'!$F$6:$F$285,0))),""))</f>
      </c>
      <c r="K165" s="291">
        <f>IF($B165="","",IFERROR(IF(INDEX('07. BIA'!$AD$6:$AD$285,MATCH($B165,'07. BIA'!$F$6:$F$285,0))="","",INDEX('07. BIA'!$AD$6:$AD$285,MATCH($B165,'07. BIA'!$F$6:$F$285,0))),""))</f>
      </c>
      <c r="L165" s="147"/>
    </row>
    <row r="166" spans="1:12" x14ac:dyDescent="0.35">
      <c r="A166" s="145">
        <v>162</v>
      </c>
      <c r="B166" s="296"/>
      <c r="C166" s="44">
        <f>IF(B166="","",IFERROR(VLOOKUP(B166,'04. Products &amp; Services'!$B$5:$E$49,4,FALSE),""))</f>
      </c>
      <c r="D166" s="42"/>
      <c r="E166" s="295"/>
      <c r="F166" s="42"/>
      <c r="G166" s="42"/>
      <c r="H166" s="42"/>
      <c r="I166" s="295"/>
      <c r="J166" s="291">
        <f>IF($B166="","",IFERROR(IF(INDEX('07. BIA'!$AA$6:$AA$285,MATCH($B166,'07. BIA'!$F$6:$F$285,0))="","",INDEX('07. BIA'!$AA$6:$AA$285,MATCH($B166,'07. BIA'!$F$6:$F$285,0))),""))</f>
      </c>
      <c r="K166" s="291">
        <f>IF($B166="","",IFERROR(IF(INDEX('07. BIA'!$AD$6:$AD$285,MATCH($B166,'07. BIA'!$F$6:$F$285,0))="","",INDEX('07. BIA'!$AD$6:$AD$285,MATCH($B166,'07. BIA'!$F$6:$F$285,0))),""))</f>
      </c>
      <c r="L166" s="147"/>
    </row>
    <row r="167" spans="1:12" x14ac:dyDescent="0.35">
      <c r="A167" s="145">
        <v>163</v>
      </c>
      <c r="B167" s="296"/>
      <c r="C167" s="44">
        <f>IF(B167="","",IFERROR(VLOOKUP(B167,'04. Products &amp; Services'!$B$5:$E$49,4,FALSE),""))</f>
      </c>
      <c r="D167" s="42"/>
      <c r="E167" s="295"/>
      <c r="F167" s="42"/>
      <c r="G167" s="42"/>
      <c r="H167" s="42"/>
      <c r="I167" s="295"/>
      <c r="J167" s="291">
        <f>IF($B167="","",IFERROR(IF(INDEX('07. BIA'!$AA$6:$AA$285,MATCH($B167,'07. BIA'!$F$6:$F$285,0))="","",INDEX('07. BIA'!$AA$6:$AA$285,MATCH($B167,'07. BIA'!$F$6:$F$285,0))),""))</f>
      </c>
      <c r="K167" s="291">
        <f>IF($B167="","",IFERROR(IF(INDEX('07. BIA'!$AD$6:$AD$285,MATCH($B167,'07. BIA'!$F$6:$F$285,0))="","",INDEX('07. BIA'!$AD$6:$AD$285,MATCH($B167,'07. BIA'!$F$6:$F$285,0))),""))</f>
      </c>
      <c r="L167" s="147"/>
    </row>
    <row r="168" spans="1:12" x14ac:dyDescent="0.35">
      <c r="A168" s="145">
        <v>164</v>
      </c>
      <c r="B168" s="296"/>
      <c r="C168" s="44">
        <f>IF(B168="","",IFERROR(VLOOKUP(B168,'04. Products &amp; Services'!$B$5:$E$49,4,FALSE),""))</f>
      </c>
      <c r="D168" s="42"/>
      <c r="E168" s="295"/>
      <c r="F168" s="42"/>
      <c r="G168" s="42"/>
      <c r="H168" s="42"/>
      <c r="I168" s="295"/>
      <c r="J168" s="291">
        <f>IF($B168="","",IFERROR(IF(INDEX('07. BIA'!$AA$6:$AA$285,MATCH($B168,'07. BIA'!$F$6:$F$285,0))="","",INDEX('07. BIA'!$AA$6:$AA$285,MATCH($B168,'07. BIA'!$F$6:$F$285,0))),""))</f>
      </c>
      <c r="K168" s="291">
        <f>IF($B168="","",IFERROR(IF(INDEX('07. BIA'!$AD$6:$AD$285,MATCH($B168,'07. BIA'!$F$6:$F$285,0))="","",INDEX('07. BIA'!$AD$6:$AD$285,MATCH($B168,'07. BIA'!$F$6:$F$285,0))),""))</f>
      </c>
      <c r="L168" s="147"/>
    </row>
    <row r="169" spans="1:12" x14ac:dyDescent="0.35">
      <c r="A169" s="145">
        <v>165</v>
      </c>
      <c r="B169" s="296"/>
      <c r="C169" s="44">
        <f>IF(B169="","",IFERROR(VLOOKUP(B169,'04. Products &amp; Services'!$B$5:$E$49,4,FALSE),""))</f>
      </c>
      <c r="D169" s="42"/>
      <c r="E169" s="295"/>
      <c r="F169" s="42"/>
      <c r="G169" s="42"/>
      <c r="H169" s="42"/>
      <c r="I169" s="295"/>
      <c r="J169" s="291">
        <f>IF($B169="","",IFERROR(IF(INDEX('07. BIA'!$AA$6:$AA$285,MATCH($B169,'07. BIA'!$F$6:$F$285,0))="","",INDEX('07. BIA'!$AA$6:$AA$285,MATCH($B169,'07. BIA'!$F$6:$F$285,0))),""))</f>
      </c>
      <c r="K169" s="291">
        <f>IF($B169="","",IFERROR(IF(INDEX('07. BIA'!$AD$6:$AD$285,MATCH($B169,'07. BIA'!$F$6:$F$285,0))="","",INDEX('07. BIA'!$AD$6:$AD$285,MATCH($B169,'07. BIA'!$F$6:$F$285,0))),""))</f>
      </c>
      <c r="L169" s="147"/>
    </row>
    <row r="170" spans="1:12" x14ac:dyDescent="0.35">
      <c r="A170" s="145">
        <v>166</v>
      </c>
      <c r="B170" s="296"/>
      <c r="C170" s="44">
        <f>IF(B170="","",IFERROR(VLOOKUP(B170,'04. Products &amp; Services'!$B$5:$E$49,4,FALSE),""))</f>
      </c>
      <c r="D170" s="42"/>
      <c r="E170" s="295"/>
      <c r="F170" s="42"/>
      <c r="G170" s="42"/>
      <c r="H170" s="42"/>
      <c r="I170" s="295"/>
      <c r="J170" s="291">
        <f>IF($B170="","",IFERROR(IF(INDEX('07. BIA'!$AA$6:$AA$285,MATCH($B170,'07. BIA'!$F$6:$F$285,0))="","",INDEX('07. BIA'!$AA$6:$AA$285,MATCH($B170,'07. BIA'!$F$6:$F$285,0))),""))</f>
      </c>
      <c r="K170" s="291">
        <f>IF($B170="","",IFERROR(IF(INDEX('07. BIA'!$AD$6:$AD$285,MATCH($B170,'07. BIA'!$F$6:$F$285,0))="","",INDEX('07. BIA'!$AD$6:$AD$285,MATCH($B170,'07. BIA'!$F$6:$F$285,0))),""))</f>
      </c>
      <c r="L170" s="147"/>
    </row>
    <row r="171" spans="1:12" x14ac:dyDescent="0.35">
      <c r="A171" s="145">
        <v>167</v>
      </c>
      <c r="B171" s="296"/>
      <c r="C171" s="44">
        <f>IF(B171="","",IFERROR(VLOOKUP(B171,'04. Products &amp; Services'!$B$5:$E$49,4,FALSE),""))</f>
      </c>
      <c r="D171" s="42"/>
      <c r="E171" s="295"/>
      <c r="F171" s="42"/>
      <c r="G171" s="42"/>
      <c r="H171" s="42"/>
      <c r="I171" s="295"/>
      <c r="J171" s="291">
        <f>IF($B171="","",IFERROR(IF(INDEX('07. BIA'!$AA$6:$AA$285,MATCH($B171,'07. BIA'!$F$6:$F$285,0))="","",INDEX('07. BIA'!$AA$6:$AA$285,MATCH($B171,'07. BIA'!$F$6:$F$285,0))),""))</f>
      </c>
      <c r="K171" s="291">
        <f>IF($B171="","",IFERROR(IF(INDEX('07. BIA'!$AD$6:$AD$285,MATCH($B171,'07. BIA'!$F$6:$F$285,0))="","",INDEX('07. BIA'!$AD$6:$AD$285,MATCH($B171,'07. BIA'!$F$6:$F$285,0))),""))</f>
      </c>
      <c r="L171" s="147"/>
    </row>
    <row r="172" spans="1:12" x14ac:dyDescent="0.35">
      <c r="A172" s="145">
        <v>168</v>
      </c>
      <c r="B172" s="296"/>
      <c r="C172" s="44">
        <f>IF(B172="","",IFERROR(VLOOKUP(B172,'04. Products &amp; Services'!$B$5:$E$49,4,FALSE),""))</f>
      </c>
      <c r="D172" s="42"/>
      <c r="E172" s="295"/>
      <c r="F172" s="42"/>
      <c r="G172" s="42"/>
      <c r="H172" s="42"/>
      <c r="I172" s="295"/>
      <c r="J172" s="291">
        <f>IF($B172="","",IFERROR(IF(INDEX('07. BIA'!$AA$6:$AA$285,MATCH($B172,'07. BIA'!$F$6:$F$285,0))="","",INDEX('07. BIA'!$AA$6:$AA$285,MATCH($B172,'07. BIA'!$F$6:$F$285,0))),""))</f>
      </c>
      <c r="K172" s="291">
        <f>IF($B172="","",IFERROR(IF(INDEX('07. BIA'!$AD$6:$AD$285,MATCH($B172,'07. BIA'!$F$6:$F$285,0))="","",INDEX('07. BIA'!$AD$6:$AD$285,MATCH($B172,'07. BIA'!$F$6:$F$285,0))),""))</f>
      </c>
      <c r="L172" s="147"/>
    </row>
    <row r="173" spans="1:12" x14ac:dyDescent="0.35">
      <c r="A173" s="145">
        <v>169</v>
      </c>
      <c r="B173" s="296"/>
      <c r="C173" s="44">
        <f>IF(B173="","",IFERROR(VLOOKUP(B173,'04. Products &amp; Services'!$B$5:$E$49,4,FALSE),""))</f>
      </c>
      <c r="D173" s="42"/>
      <c r="E173" s="295"/>
      <c r="F173" s="42"/>
      <c r="G173" s="42"/>
      <c r="H173" s="42"/>
      <c r="I173" s="295"/>
      <c r="J173" s="291">
        <f>IF($B173="","",IFERROR(IF(INDEX('07. BIA'!$AA$6:$AA$285,MATCH($B173,'07. BIA'!$F$6:$F$285,0))="","",INDEX('07. BIA'!$AA$6:$AA$285,MATCH($B173,'07. BIA'!$F$6:$F$285,0))),""))</f>
      </c>
      <c r="K173" s="291">
        <f>IF($B173="","",IFERROR(IF(INDEX('07. BIA'!$AD$6:$AD$285,MATCH($B173,'07. BIA'!$F$6:$F$285,0))="","",INDEX('07. BIA'!$AD$6:$AD$285,MATCH($B173,'07. BIA'!$F$6:$F$285,0))),""))</f>
      </c>
      <c r="L173" s="147"/>
    </row>
    <row r="174" spans="1:12" x14ac:dyDescent="0.35">
      <c r="A174" s="145">
        <v>170</v>
      </c>
      <c r="B174" s="296"/>
      <c r="C174" s="44">
        <f>IF(B174="","",IFERROR(VLOOKUP(B174,'04. Products &amp; Services'!$B$5:$E$49,4,FALSE),""))</f>
      </c>
      <c r="D174" s="42"/>
      <c r="E174" s="295"/>
      <c r="F174" s="42"/>
      <c r="G174" s="42"/>
      <c r="H174" s="42"/>
      <c r="I174" s="295"/>
      <c r="J174" s="291">
        <f>IF($B174="","",IFERROR(IF(INDEX('07. BIA'!$AA$6:$AA$285,MATCH($B174,'07. BIA'!$F$6:$F$285,0))="","",INDEX('07. BIA'!$AA$6:$AA$285,MATCH($B174,'07. BIA'!$F$6:$F$285,0))),""))</f>
      </c>
      <c r="K174" s="291">
        <f>IF($B174="","",IFERROR(IF(INDEX('07. BIA'!$AD$6:$AD$285,MATCH($B174,'07. BIA'!$F$6:$F$285,0))="","",INDEX('07. BIA'!$AD$6:$AD$285,MATCH($B174,'07. BIA'!$F$6:$F$285,0))),""))</f>
      </c>
      <c r="L174" s="147"/>
    </row>
    <row r="175" spans="1:12" x14ac:dyDescent="0.35">
      <c r="A175" s="145">
        <v>171</v>
      </c>
      <c r="B175" s="296"/>
      <c r="C175" s="44">
        <f>IF(B175="","",IFERROR(VLOOKUP(B175,'04. Products &amp; Services'!$B$5:$E$49,4,FALSE),""))</f>
      </c>
      <c r="D175" s="42"/>
      <c r="E175" s="295"/>
      <c r="F175" s="42"/>
      <c r="G175" s="42"/>
      <c r="H175" s="42"/>
      <c r="I175" s="295"/>
      <c r="J175" s="291">
        <f>IF($B175="","",IFERROR(IF(INDEX('07. BIA'!$AA$6:$AA$285,MATCH($B175,'07. BIA'!$F$6:$F$285,0))="","",INDEX('07. BIA'!$AA$6:$AA$285,MATCH($B175,'07. BIA'!$F$6:$F$285,0))),""))</f>
      </c>
      <c r="K175" s="291">
        <f>IF($B175="","",IFERROR(IF(INDEX('07. BIA'!$AD$6:$AD$285,MATCH($B175,'07. BIA'!$F$6:$F$285,0))="","",INDEX('07. BIA'!$AD$6:$AD$285,MATCH($B175,'07. BIA'!$F$6:$F$285,0))),""))</f>
      </c>
      <c r="L175" s="147"/>
    </row>
    <row r="176" spans="1:12" x14ac:dyDescent="0.35">
      <c r="A176" s="145">
        <v>172</v>
      </c>
      <c r="B176" s="296"/>
      <c r="C176" s="44">
        <f>IF(B176="","",IFERROR(VLOOKUP(B176,'04. Products &amp; Services'!$B$5:$E$49,4,FALSE),""))</f>
      </c>
      <c r="D176" s="42"/>
      <c r="E176" s="295"/>
      <c r="F176" s="42"/>
      <c r="G176" s="42"/>
      <c r="H176" s="42"/>
      <c r="I176" s="295"/>
      <c r="J176" s="291">
        <f>IF($B176="","",IFERROR(IF(INDEX('07. BIA'!$AA$6:$AA$285,MATCH($B176,'07. BIA'!$F$6:$F$285,0))="","",INDEX('07. BIA'!$AA$6:$AA$285,MATCH($B176,'07. BIA'!$F$6:$F$285,0))),""))</f>
      </c>
      <c r="K176" s="291">
        <f>IF($B176="","",IFERROR(IF(INDEX('07. BIA'!$AD$6:$AD$285,MATCH($B176,'07. BIA'!$F$6:$F$285,0))="","",INDEX('07. BIA'!$AD$6:$AD$285,MATCH($B176,'07. BIA'!$F$6:$F$285,0))),""))</f>
      </c>
      <c r="L176" s="147"/>
    </row>
    <row r="177" spans="1:12" x14ac:dyDescent="0.35">
      <c r="A177" s="145">
        <v>173</v>
      </c>
      <c r="B177" s="296"/>
      <c r="C177" s="44">
        <f>IF(B177="","",IFERROR(VLOOKUP(B177,'04. Products &amp; Services'!$B$5:$E$49,4,FALSE),""))</f>
      </c>
      <c r="D177" s="42"/>
      <c r="E177" s="295"/>
      <c r="F177" s="42"/>
      <c r="G177" s="42"/>
      <c r="H177" s="42"/>
      <c r="I177" s="295"/>
      <c r="J177" s="291">
        <f>IF($B177="","",IFERROR(IF(INDEX('07. BIA'!$AA$6:$AA$285,MATCH($B177,'07. BIA'!$F$6:$F$285,0))="","",INDEX('07. BIA'!$AA$6:$AA$285,MATCH($B177,'07. BIA'!$F$6:$F$285,0))),""))</f>
      </c>
      <c r="K177" s="291">
        <f>IF($B177="","",IFERROR(IF(INDEX('07. BIA'!$AD$6:$AD$285,MATCH($B177,'07. BIA'!$F$6:$F$285,0))="","",INDEX('07. BIA'!$AD$6:$AD$285,MATCH($B177,'07. BIA'!$F$6:$F$285,0))),""))</f>
      </c>
      <c r="L177" s="147"/>
    </row>
    <row r="178" spans="1:12" x14ac:dyDescent="0.35">
      <c r="A178" s="145">
        <v>174</v>
      </c>
      <c r="B178" s="296"/>
      <c r="C178" s="44">
        <f>IF(B178="","",IFERROR(VLOOKUP(B178,'04. Products &amp; Services'!$B$5:$E$49,4,FALSE),""))</f>
      </c>
      <c r="D178" s="42"/>
      <c r="E178" s="295"/>
      <c r="F178" s="42"/>
      <c r="G178" s="42"/>
      <c r="H178" s="42"/>
      <c r="I178" s="295"/>
      <c r="J178" s="291">
        <f>IF($B178="","",IFERROR(IF(INDEX('07. BIA'!$AA$6:$AA$285,MATCH($B178,'07. BIA'!$F$6:$F$285,0))="","",INDEX('07. BIA'!$AA$6:$AA$285,MATCH($B178,'07. BIA'!$F$6:$F$285,0))),""))</f>
      </c>
      <c r="K178" s="291">
        <f>IF($B178="","",IFERROR(IF(INDEX('07. BIA'!$AD$6:$AD$285,MATCH($B178,'07. BIA'!$F$6:$F$285,0))="","",INDEX('07. BIA'!$AD$6:$AD$285,MATCH($B178,'07. BIA'!$F$6:$F$285,0))),""))</f>
      </c>
      <c r="L178" s="147"/>
    </row>
    <row r="179" spans="1:12" x14ac:dyDescent="0.35">
      <c r="A179" s="145">
        <v>175</v>
      </c>
      <c r="B179" s="296"/>
      <c r="C179" s="44">
        <f>IF(B179="","",IFERROR(VLOOKUP(B179,'04. Products &amp; Services'!$B$5:$E$49,4,FALSE),""))</f>
      </c>
      <c r="D179" s="42"/>
      <c r="E179" s="295"/>
      <c r="F179" s="42"/>
      <c r="G179" s="42"/>
      <c r="H179" s="42"/>
      <c r="I179" s="295"/>
      <c r="J179" s="291">
        <f>IF($B179="","",IFERROR(IF(INDEX('07. BIA'!$AA$6:$AA$285,MATCH($B179,'07. BIA'!$F$6:$F$285,0))="","",INDEX('07. BIA'!$AA$6:$AA$285,MATCH($B179,'07. BIA'!$F$6:$F$285,0))),""))</f>
      </c>
      <c r="K179" s="291">
        <f>IF($B179="","",IFERROR(IF(INDEX('07. BIA'!$AD$6:$AD$285,MATCH($B179,'07. BIA'!$F$6:$F$285,0))="","",INDEX('07. BIA'!$AD$6:$AD$285,MATCH($B179,'07. BIA'!$F$6:$F$285,0))),""))</f>
      </c>
      <c r="L179" s="147"/>
    </row>
    <row r="180" spans="1:12" x14ac:dyDescent="0.35">
      <c r="A180" s="145">
        <v>176</v>
      </c>
      <c r="B180" s="296"/>
      <c r="C180" s="44">
        <f>IF(B180="","",IFERROR(VLOOKUP(B180,'04. Products &amp; Services'!$B$5:$E$49,4,FALSE),""))</f>
      </c>
      <c r="D180" s="42"/>
      <c r="E180" s="295"/>
      <c r="F180" s="42"/>
      <c r="G180" s="42"/>
      <c r="H180" s="42"/>
      <c r="I180" s="295"/>
      <c r="J180" s="291">
        <f>IF($B180="","",IFERROR(IF(INDEX('07. BIA'!$AA$6:$AA$285,MATCH($B180,'07. BIA'!$F$6:$F$285,0))="","",INDEX('07. BIA'!$AA$6:$AA$285,MATCH($B180,'07. BIA'!$F$6:$F$285,0))),""))</f>
      </c>
      <c r="K180" s="291">
        <f>IF($B180="","",IFERROR(IF(INDEX('07. BIA'!$AD$6:$AD$285,MATCH($B180,'07. BIA'!$F$6:$F$285,0))="","",INDEX('07. BIA'!$AD$6:$AD$285,MATCH($B180,'07. BIA'!$F$6:$F$285,0))),""))</f>
      </c>
      <c r="L180" s="147"/>
    </row>
    <row r="181" spans="1:12" x14ac:dyDescent="0.35">
      <c r="A181" s="145">
        <v>177</v>
      </c>
      <c r="B181" s="296"/>
      <c r="C181" s="44">
        <f>IF(B181="","",IFERROR(VLOOKUP(B181,'04. Products &amp; Services'!$B$5:$E$49,4,FALSE),""))</f>
      </c>
      <c r="D181" s="42"/>
      <c r="E181" s="295"/>
      <c r="F181" s="42"/>
      <c r="G181" s="42"/>
      <c r="H181" s="42"/>
      <c r="I181" s="295"/>
      <c r="J181" s="291">
        <f>IF($B181="","",IFERROR(IF(INDEX('07. BIA'!$AA$6:$AA$285,MATCH($B181,'07. BIA'!$F$6:$F$285,0))="","",INDEX('07. BIA'!$AA$6:$AA$285,MATCH($B181,'07. BIA'!$F$6:$F$285,0))),""))</f>
      </c>
      <c r="K181" s="291">
        <f>IF($B181="","",IFERROR(IF(INDEX('07. BIA'!$AD$6:$AD$285,MATCH($B181,'07. BIA'!$F$6:$F$285,0))="","",INDEX('07. BIA'!$AD$6:$AD$285,MATCH($B181,'07. BIA'!$F$6:$F$285,0))),""))</f>
      </c>
      <c r="L181" s="147"/>
    </row>
    <row r="182" spans="1:12" x14ac:dyDescent="0.35">
      <c r="A182" s="145">
        <v>178</v>
      </c>
      <c r="B182" s="296"/>
      <c r="C182" s="44">
        <f>IF(B182="","",IFERROR(VLOOKUP(B182,'04. Products &amp; Services'!$B$5:$E$49,4,FALSE),""))</f>
      </c>
      <c r="D182" s="42"/>
      <c r="E182" s="295"/>
      <c r="F182" s="42"/>
      <c r="G182" s="42"/>
      <c r="H182" s="42"/>
      <c r="I182" s="295"/>
      <c r="J182" s="291">
        <f>IF($B182="","",IFERROR(IF(INDEX('07. BIA'!$AA$6:$AA$285,MATCH($B182,'07. BIA'!$F$6:$F$285,0))="","",INDEX('07. BIA'!$AA$6:$AA$285,MATCH($B182,'07. BIA'!$F$6:$F$285,0))),""))</f>
      </c>
      <c r="K182" s="291">
        <f>IF($B182="","",IFERROR(IF(INDEX('07. BIA'!$AD$6:$AD$285,MATCH($B182,'07. BIA'!$F$6:$F$285,0))="","",INDEX('07. BIA'!$AD$6:$AD$285,MATCH($B182,'07. BIA'!$F$6:$F$285,0))),""))</f>
      </c>
      <c r="L182" s="147"/>
    </row>
    <row r="183" spans="1:12" x14ac:dyDescent="0.35">
      <c r="A183" s="145">
        <v>179</v>
      </c>
      <c r="B183" s="296"/>
      <c r="C183" s="44">
        <f>IF(B183="","",IFERROR(VLOOKUP(B183,'04. Products &amp; Services'!$B$5:$E$49,4,FALSE),""))</f>
      </c>
      <c r="D183" s="42"/>
      <c r="E183" s="295"/>
      <c r="F183" s="42"/>
      <c r="G183" s="42"/>
      <c r="H183" s="42"/>
      <c r="I183" s="295"/>
      <c r="J183" s="291">
        <f>IF($B183="","",IFERROR(IF(INDEX('07. BIA'!$AA$6:$AA$285,MATCH($B183,'07. BIA'!$F$6:$F$285,0))="","",INDEX('07. BIA'!$AA$6:$AA$285,MATCH($B183,'07. BIA'!$F$6:$F$285,0))),""))</f>
      </c>
      <c r="K183" s="291">
        <f>IF($B183="","",IFERROR(IF(INDEX('07. BIA'!$AD$6:$AD$285,MATCH($B183,'07. BIA'!$F$6:$F$285,0))="","",INDEX('07. BIA'!$AD$6:$AD$285,MATCH($B183,'07. BIA'!$F$6:$F$285,0))),""))</f>
      </c>
      <c r="L183" s="147"/>
    </row>
    <row r="184" spans="1:12" x14ac:dyDescent="0.35">
      <c r="A184" s="145">
        <v>180</v>
      </c>
      <c r="B184" s="296"/>
      <c r="C184" s="44">
        <f>IF(B184="","",IFERROR(VLOOKUP(B184,'04. Products &amp; Services'!$B$5:$E$49,4,FALSE),""))</f>
      </c>
      <c r="D184" s="42"/>
      <c r="E184" s="295"/>
      <c r="F184" s="42"/>
      <c r="G184" s="42"/>
      <c r="H184" s="42"/>
      <c r="I184" s="295"/>
      <c r="J184" s="291">
        <f>IF($B184="","",IFERROR(IF(INDEX('07. BIA'!$AA$6:$AA$285,MATCH($B184,'07. BIA'!$F$6:$F$285,0))="","",INDEX('07. BIA'!$AA$6:$AA$285,MATCH($B184,'07. BIA'!$F$6:$F$285,0))),""))</f>
      </c>
      <c r="K184" s="291">
        <f>IF($B184="","",IFERROR(IF(INDEX('07. BIA'!$AD$6:$AD$285,MATCH($B184,'07. BIA'!$F$6:$F$285,0))="","",INDEX('07. BIA'!$AD$6:$AD$285,MATCH($B184,'07. BIA'!$F$6:$F$285,0))),""))</f>
      </c>
      <c r="L184" s="147"/>
    </row>
    <row r="185" spans="1:12" x14ac:dyDescent="0.35">
      <c r="A185" s="145">
        <v>181</v>
      </c>
      <c r="B185" s="296"/>
      <c r="C185" s="44">
        <f>IF(B185="","",IFERROR(VLOOKUP(B185,'04. Products &amp; Services'!$B$5:$E$49,4,FALSE),""))</f>
      </c>
      <c r="D185" s="42"/>
      <c r="E185" s="295"/>
      <c r="F185" s="42"/>
      <c r="G185" s="42"/>
      <c r="H185" s="42"/>
      <c r="I185" s="295"/>
      <c r="J185" s="291">
        <f>IF($B185="","",IFERROR(IF(INDEX('07. BIA'!$AA$6:$AA$285,MATCH($B185,'07. BIA'!$F$6:$F$285,0))="","",INDEX('07. BIA'!$AA$6:$AA$285,MATCH($B185,'07. BIA'!$F$6:$F$285,0))),""))</f>
      </c>
      <c r="K185" s="291">
        <f>IF($B185="","",IFERROR(IF(INDEX('07. BIA'!$AD$6:$AD$285,MATCH($B185,'07. BIA'!$F$6:$F$285,0))="","",INDEX('07. BIA'!$AD$6:$AD$285,MATCH($B185,'07. BIA'!$F$6:$F$285,0))),""))</f>
      </c>
      <c r="L185" s="147"/>
    </row>
    <row r="186" spans="1:12" x14ac:dyDescent="0.35">
      <c r="A186" s="145">
        <v>182</v>
      </c>
      <c r="B186" s="296"/>
      <c r="C186" s="44">
        <f>IF(B186="","",IFERROR(VLOOKUP(B186,'04. Products &amp; Services'!$B$5:$E$49,4,FALSE),""))</f>
      </c>
      <c r="D186" s="42"/>
      <c r="E186" s="295"/>
      <c r="F186" s="42"/>
      <c r="G186" s="42"/>
      <c r="H186" s="42"/>
      <c r="I186" s="295"/>
      <c r="J186" s="291">
        <f>IF($B186="","",IFERROR(IF(INDEX('07. BIA'!$AA$6:$AA$285,MATCH($B186,'07. BIA'!$F$6:$F$285,0))="","",INDEX('07. BIA'!$AA$6:$AA$285,MATCH($B186,'07. BIA'!$F$6:$F$285,0))),""))</f>
      </c>
      <c r="K186" s="291">
        <f>IF($B186="","",IFERROR(IF(INDEX('07. BIA'!$AD$6:$AD$285,MATCH($B186,'07. BIA'!$F$6:$F$285,0))="","",INDEX('07. BIA'!$AD$6:$AD$285,MATCH($B186,'07. BIA'!$F$6:$F$285,0))),""))</f>
      </c>
      <c r="L186" s="147"/>
    </row>
    <row r="187" spans="1:12" x14ac:dyDescent="0.35">
      <c r="A187" s="145">
        <v>183</v>
      </c>
      <c r="B187" s="296"/>
      <c r="C187" s="44">
        <f>IF(B187="","",IFERROR(VLOOKUP(B187,'04. Products &amp; Services'!$B$5:$E$49,4,FALSE),""))</f>
      </c>
      <c r="D187" s="42"/>
      <c r="E187" s="295"/>
      <c r="F187" s="42"/>
      <c r="G187" s="42"/>
      <c r="H187" s="42"/>
      <c r="I187" s="295"/>
      <c r="J187" s="291">
        <f>IF($B187="","",IFERROR(IF(INDEX('07. BIA'!$AA$6:$AA$285,MATCH($B187,'07. BIA'!$F$6:$F$285,0))="","",INDEX('07. BIA'!$AA$6:$AA$285,MATCH($B187,'07. BIA'!$F$6:$F$285,0))),""))</f>
      </c>
      <c r="K187" s="291">
        <f>IF($B187="","",IFERROR(IF(INDEX('07. BIA'!$AD$6:$AD$285,MATCH($B187,'07. BIA'!$F$6:$F$285,0))="","",INDEX('07. BIA'!$AD$6:$AD$285,MATCH($B187,'07. BIA'!$F$6:$F$285,0))),""))</f>
      </c>
      <c r="L187" s="147"/>
    </row>
    <row r="188" spans="1:12" x14ac:dyDescent="0.35">
      <c r="A188" s="145">
        <v>184</v>
      </c>
      <c r="B188" s="296"/>
      <c r="C188" s="44">
        <f>IF(B188="","",IFERROR(VLOOKUP(B188,'04. Products &amp; Services'!$B$5:$E$49,4,FALSE),""))</f>
      </c>
      <c r="D188" s="42"/>
      <c r="E188" s="295"/>
      <c r="F188" s="42"/>
      <c r="G188" s="42"/>
      <c r="H188" s="42"/>
      <c r="I188" s="295"/>
      <c r="J188" s="291">
        <f>IF($B188="","",IFERROR(IF(INDEX('07. BIA'!$AA$6:$AA$285,MATCH($B188,'07. BIA'!$F$6:$F$285,0))="","",INDEX('07. BIA'!$AA$6:$AA$285,MATCH($B188,'07. BIA'!$F$6:$F$285,0))),""))</f>
      </c>
      <c r="K188" s="291">
        <f>IF($B188="","",IFERROR(IF(INDEX('07. BIA'!$AD$6:$AD$285,MATCH($B188,'07. BIA'!$F$6:$F$285,0))="","",INDEX('07. BIA'!$AD$6:$AD$285,MATCH($B188,'07. BIA'!$F$6:$F$285,0))),""))</f>
      </c>
      <c r="L188" s="147"/>
    </row>
    <row r="189" spans="1:12" x14ac:dyDescent="0.35">
      <c r="A189" s="145">
        <v>185</v>
      </c>
      <c r="B189" s="296"/>
      <c r="C189" s="44">
        <f>IF(B189="","",IFERROR(VLOOKUP(B189,'04. Products &amp; Services'!$B$5:$E$49,4,FALSE),""))</f>
      </c>
      <c r="D189" s="42"/>
      <c r="E189" s="295"/>
      <c r="F189" s="42"/>
      <c r="G189" s="42"/>
      <c r="H189" s="42"/>
      <c r="I189" s="295"/>
      <c r="J189" s="291">
        <f>IF($B189="","",IFERROR(IF(INDEX('07. BIA'!$AA$6:$AA$285,MATCH($B189,'07. BIA'!$F$6:$F$285,0))="","",INDEX('07. BIA'!$AA$6:$AA$285,MATCH($B189,'07. BIA'!$F$6:$F$285,0))),""))</f>
      </c>
      <c r="K189" s="291">
        <f>IF($B189="","",IFERROR(IF(INDEX('07. BIA'!$AD$6:$AD$285,MATCH($B189,'07. BIA'!$F$6:$F$285,0))="","",INDEX('07. BIA'!$AD$6:$AD$285,MATCH($B189,'07. BIA'!$F$6:$F$285,0))),""))</f>
      </c>
      <c r="L189" s="147"/>
    </row>
    <row r="190" spans="1:12" x14ac:dyDescent="0.35">
      <c r="A190" s="145">
        <v>186</v>
      </c>
      <c r="B190" s="296"/>
      <c r="C190" s="44">
        <f>IF(B190="","",IFERROR(VLOOKUP(B190,'04. Products &amp; Services'!$B$5:$E$49,4,FALSE),""))</f>
      </c>
      <c r="D190" s="42"/>
      <c r="E190" s="295"/>
      <c r="F190" s="42"/>
      <c r="G190" s="42"/>
      <c r="H190" s="42"/>
      <c r="I190" s="295"/>
      <c r="J190" s="291">
        <f>IF($B190="","",IFERROR(IF(INDEX('07. BIA'!$AA$6:$AA$285,MATCH($B190,'07. BIA'!$F$6:$F$285,0))="","",INDEX('07. BIA'!$AA$6:$AA$285,MATCH($B190,'07. BIA'!$F$6:$F$285,0))),""))</f>
      </c>
      <c r="K190" s="291">
        <f>IF($B190="","",IFERROR(IF(INDEX('07. BIA'!$AD$6:$AD$285,MATCH($B190,'07. BIA'!$F$6:$F$285,0))="","",INDEX('07. BIA'!$AD$6:$AD$285,MATCH($B190,'07. BIA'!$F$6:$F$285,0))),""))</f>
      </c>
      <c r="L190" s="147"/>
    </row>
    <row r="191" spans="1:12" x14ac:dyDescent="0.35">
      <c r="A191" s="145">
        <v>187</v>
      </c>
      <c r="B191" s="296"/>
      <c r="C191" s="44">
        <f>IF(B191="","",IFERROR(VLOOKUP(B191,'04. Products &amp; Services'!$B$5:$E$49,4,FALSE),""))</f>
      </c>
      <c r="D191" s="42"/>
      <c r="E191" s="295"/>
      <c r="F191" s="42"/>
      <c r="G191" s="42"/>
      <c r="H191" s="42"/>
      <c r="I191" s="295"/>
      <c r="J191" s="291">
        <f>IF($B191="","",IFERROR(IF(INDEX('07. BIA'!$AA$6:$AA$285,MATCH($B191,'07. BIA'!$F$6:$F$285,0))="","",INDEX('07. BIA'!$AA$6:$AA$285,MATCH($B191,'07. BIA'!$F$6:$F$285,0))),""))</f>
      </c>
      <c r="K191" s="291">
        <f>IF($B191="","",IFERROR(IF(INDEX('07. BIA'!$AD$6:$AD$285,MATCH($B191,'07. BIA'!$F$6:$F$285,0))="","",INDEX('07. BIA'!$AD$6:$AD$285,MATCH($B191,'07. BIA'!$F$6:$F$285,0))),""))</f>
      </c>
      <c r="L191" s="147"/>
    </row>
    <row r="192" spans="1:12" x14ac:dyDescent="0.35">
      <c r="A192" s="145">
        <v>188</v>
      </c>
      <c r="B192" s="296"/>
      <c r="C192" s="44">
        <f>IF(B192="","",IFERROR(VLOOKUP(B192,'04. Products &amp; Services'!$B$5:$E$49,4,FALSE),""))</f>
      </c>
      <c r="D192" s="42"/>
      <c r="E192" s="295"/>
      <c r="F192" s="42"/>
      <c r="G192" s="42"/>
      <c r="H192" s="42"/>
      <c r="I192" s="295"/>
      <c r="J192" s="291">
        <f>IF($B192="","",IFERROR(IF(INDEX('07. BIA'!$AA$6:$AA$285,MATCH($B192,'07. BIA'!$F$6:$F$285,0))="","",INDEX('07. BIA'!$AA$6:$AA$285,MATCH($B192,'07. BIA'!$F$6:$F$285,0))),""))</f>
      </c>
      <c r="K192" s="291">
        <f>IF($B192="","",IFERROR(IF(INDEX('07. BIA'!$AD$6:$AD$285,MATCH($B192,'07. BIA'!$F$6:$F$285,0))="","",INDEX('07. BIA'!$AD$6:$AD$285,MATCH($B192,'07. BIA'!$F$6:$F$285,0))),""))</f>
      </c>
      <c r="L192" s="147"/>
    </row>
    <row r="193" spans="1:12" x14ac:dyDescent="0.35">
      <c r="A193" s="145">
        <v>189</v>
      </c>
      <c r="B193" s="296"/>
      <c r="C193" s="44">
        <f>IF(B193="","",IFERROR(VLOOKUP(B193,'04. Products &amp; Services'!$B$5:$E$49,4,FALSE),""))</f>
      </c>
      <c r="D193" s="42"/>
      <c r="E193" s="295"/>
      <c r="F193" s="42"/>
      <c r="G193" s="42"/>
      <c r="H193" s="42"/>
      <c r="I193" s="295"/>
      <c r="J193" s="291">
        <f>IF($B193="","",IFERROR(IF(INDEX('07. BIA'!$AA$6:$AA$285,MATCH($B193,'07. BIA'!$F$6:$F$285,0))="","",INDEX('07. BIA'!$AA$6:$AA$285,MATCH($B193,'07. BIA'!$F$6:$F$285,0))),""))</f>
      </c>
      <c r="K193" s="291">
        <f>IF($B193="","",IFERROR(IF(INDEX('07. BIA'!$AD$6:$AD$285,MATCH($B193,'07. BIA'!$F$6:$F$285,0))="","",INDEX('07. BIA'!$AD$6:$AD$285,MATCH($B193,'07. BIA'!$F$6:$F$285,0))),""))</f>
      </c>
      <c r="L193" s="147"/>
    </row>
    <row r="194" spans="1:12" x14ac:dyDescent="0.35">
      <c r="A194" s="145">
        <v>190</v>
      </c>
      <c r="B194" s="296"/>
      <c r="C194" s="44">
        <f>IF(B194="","",IFERROR(VLOOKUP(B194,'04. Products &amp; Services'!$B$5:$E$49,4,FALSE),""))</f>
      </c>
      <c r="D194" s="42"/>
      <c r="E194" s="295"/>
      <c r="F194" s="42"/>
      <c r="G194" s="42"/>
      <c r="H194" s="42"/>
      <c r="I194" s="295"/>
      <c r="J194" s="291">
        <f>IF($B194="","",IFERROR(IF(INDEX('07. BIA'!$AA$6:$AA$285,MATCH($B194,'07. BIA'!$F$6:$F$285,0))="","",INDEX('07. BIA'!$AA$6:$AA$285,MATCH($B194,'07. BIA'!$F$6:$F$285,0))),""))</f>
      </c>
      <c r="K194" s="291">
        <f>IF($B194="","",IFERROR(IF(INDEX('07. BIA'!$AD$6:$AD$285,MATCH($B194,'07. BIA'!$F$6:$F$285,0))="","",INDEX('07. BIA'!$AD$6:$AD$285,MATCH($B194,'07. BIA'!$F$6:$F$285,0))),""))</f>
      </c>
      <c r="L194" s="147"/>
    </row>
    <row r="195" spans="1:12" x14ac:dyDescent="0.35">
      <c r="A195" s="145">
        <v>191</v>
      </c>
      <c r="B195" s="296"/>
      <c r="C195" s="44">
        <f>IF(B195="","",IFERROR(VLOOKUP(B195,'04. Products &amp; Services'!$B$5:$E$49,4,FALSE),""))</f>
      </c>
      <c r="D195" s="42"/>
      <c r="E195" s="295"/>
      <c r="F195" s="42"/>
      <c r="G195" s="42"/>
      <c r="H195" s="42"/>
      <c r="I195" s="295"/>
      <c r="J195" s="291">
        <f>IF($B195="","",IFERROR(IF(INDEX('07. BIA'!$AA$6:$AA$285,MATCH($B195,'07. BIA'!$F$6:$F$285,0))="","",INDEX('07. BIA'!$AA$6:$AA$285,MATCH($B195,'07. BIA'!$F$6:$F$285,0))),""))</f>
      </c>
      <c r="K195" s="291">
        <f>IF($B195="","",IFERROR(IF(INDEX('07. BIA'!$AD$6:$AD$285,MATCH($B195,'07. BIA'!$F$6:$F$285,0))="","",INDEX('07. BIA'!$AD$6:$AD$285,MATCH($B195,'07. BIA'!$F$6:$F$285,0))),""))</f>
      </c>
      <c r="L195" s="147"/>
    </row>
    <row r="196" spans="1:12" x14ac:dyDescent="0.35">
      <c r="A196" s="145">
        <v>192</v>
      </c>
      <c r="B196" s="296"/>
      <c r="C196" s="44">
        <f>IF(B196="","",IFERROR(VLOOKUP(B196,'04. Products &amp; Services'!$B$5:$E$49,4,FALSE),""))</f>
      </c>
      <c r="D196" s="42"/>
      <c r="E196" s="295"/>
      <c r="F196" s="42"/>
      <c r="G196" s="42"/>
      <c r="H196" s="42"/>
      <c r="I196" s="295"/>
      <c r="J196" s="291">
        <f>IF($B196="","",IFERROR(IF(INDEX('07. BIA'!$AA$6:$AA$285,MATCH($B196,'07. BIA'!$F$6:$F$285,0))="","",INDEX('07. BIA'!$AA$6:$AA$285,MATCH($B196,'07. BIA'!$F$6:$F$285,0))),""))</f>
      </c>
      <c r="K196" s="291">
        <f>IF($B196="","",IFERROR(IF(INDEX('07. BIA'!$AD$6:$AD$285,MATCH($B196,'07. BIA'!$F$6:$F$285,0))="","",INDEX('07. BIA'!$AD$6:$AD$285,MATCH($B196,'07. BIA'!$F$6:$F$285,0))),""))</f>
      </c>
      <c r="L196" s="147"/>
    </row>
    <row r="197" spans="1:12" x14ac:dyDescent="0.35">
      <c r="A197" s="145">
        <v>193</v>
      </c>
      <c r="B197" s="296"/>
      <c r="C197" s="44">
        <f>IF(B197="","",IFERROR(VLOOKUP(B197,'04. Products &amp; Services'!$B$5:$E$49,4,FALSE),""))</f>
      </c>
      <c r="D197" s="42"/>
      <c r="E197" s="295"/>
      <c r="F197" s="42"/>
      <c r="G197" s="42"/>
      <c r="H197" s="42"/>
      <c r="I197" s="295"/>
      <c r="J197" s="291">
        <f>IF($B197="","",IFERROR(IF(INDEX('07. BIA'!$AA$6:$AA$285,MATCH($B197,'07. BIA'!$F$6:$F$285,0))="","",INDEX('07. BIA'!$AA$6:$AA$285,MATCH($B197,'07. BIA'!$F$6:$F$285,0))),""))</f>
      </c>
      <c r="K197" s="291">
        <f>IF($B197="","",IFERROR(IF(INDEX('07. BIA'!$AD$6:$AD$285,MATCH($B197,'07. BIA'!$F$6:$F$285,0))="","",INDEX('07. BIA'!$AD$6:$AD$285,MATCH($B197,'07. BIA'!$F$6:$F$285,0))),""))</f>
      </c>
      <c r="L197" s="147"/>
    </row>
    <row r="198" spans="1:12" x14ac:dyDescent="0.35">
      <c r="A198" s="145">
        <v>194</v>
      </c>
      <c r="B198" s="296"/>
      <c r="C198" s="44">
        <f>IF(B198="","",IFERROR(VLOOKUP(B198,'04. Products &amp; Services'!$B$5:$E$49,4,FALSE),""))</f>
      </c>
      <c r="D198" s="42"/>
      <c r="E198" s="295"/>
      <c r="F198" s="42"/>
      <c r="G198" s="42"/>
      <c r="H198" s="42"/>
      <c r="I198" s="295"/>
      <c r="J198" s="291">
        <f>IF($B198="","",IFERROR(IF(INDEX('07. BIA'!$AA$6:$AA$285,MATCH($B198,'07. BIA'!$F$6:$F$285,0))="","",INDEX('07. BIA'!$AA$6:$AA$285,MATCH($B198,'07. BIA'!$F$6:$F$285,0))),""))</f>
      </c>
      <c r="K198" s="291">
        <f>IF($B198="","",IFERROR(IF(INDEX('07. BIA'!$AD$6:$AD$285,MATCH($B198,'07. BIA'!$F$6:$F$285,0))="","",INDEX('07. BIA'!$AD$6:$AD$285,MATCH($B198,'07. BIA'!$F$6:$F$285,0))),""))</f>
      </c>
      <c r="L198" s="147"/>
    </row>
    <row r="199" spans="1:12" x14ac:dyDescent="0.35">
      <c r="A199" s="145">
        <v>195</v>
      </c>
      <c r="B199" s="296"/>
      <c r="C199" s="44">
        <f>IF(B199="","",IFERROR(VLOOKUP(B199,'04. Products &amp; Services'!$B$5:$E$49,4,FALSE),""))</f>
      </c>
      <c r="D199" s="42"/>
      <c r="E199" s="295"/>
      <c r="F199" s="42"/>
      <c r="G199" s="42"/>
      <c r="H199" s="42"/>
      <c r="I199" s="295"/>
      <c r="J199" s="291">
        <f>IF($B199="","",IFERROR(IF(INDEX('07. BIA'!$AA$6:$AA$285,MATCH($B199,'07. BIA'!$F$6:$F$285,0))="","",INDEX('07. BIA'!$AA$6:$AA$285,MATCH($B199,'07. BIA'!$F$6:$F$285,0))),""))</f>
      </c>
      <c r="K199" s="291">
        <f>IF($B199="","",IFERROR(IF(INDEX('07. BIA'!$AD$6:$AD$285,MATCH($B199,'07. BIA'!$F$6:$F$285,0))="","",INDEX('07. BIA'!$AD$6:$AD$285,MATCH($B199,'07. BIA'!$F$6:$F$285,0))),""))</f>
      </c>
      <c r="L199" s="147"/>
    </row>
    <row r="200" spans="1:12" x14ac:dyDescent="0.35">
      <c r="A200" s="145">
        <v>196</v>
      </c>
      <c r="B200" s="296"/>
      <c r="C200" s="44">
        <f>IF(B200="","",IFERROR(VLOOKUP(B200,'04. Products &amp; Services'!$B$5:$E$49,4,FALSE),""))</f>
      </c>
      <c r="D200" s="42"/>
      <c r="E200" s="295"/>
      <c r="F200" s="42"/>
      <c r="G200" s="42"/>
      <c r="H200" s="42"/>
      <c r="I200" s="295"/>
      <c r="J200" s="291">
        <f>IF($B200="","",IFERROR(IF(INDEX('07. BIA'!$AA$6:$AA$285,MATCH($B200,'07. BIA'!$F$6:$F$285,0))="","",INDEX('07. BIA'!$AA$6:$AA$285,MATCH($B200,'07. BIA'!$F$6:$F$285,0))),""))</f>
      </c>
      <c r="K200" s="291">
        <f>IF($B200="","",IFERROR(IF(INDEX('07. BIA'!$AD$6:$AD$285,MATCH($B200,'07. BIA'!$F$6:$F$285,0))="","",INDEX('07. BIA'!$AD$6:$AD$285,MATCH($B200,'07. BIA'!$F$6:$F$285,0))),""))</f>
      </c>
      <c r="L200" s="147"/>
    </row>
    <row r="201" spans="1:12" x14ac:dyDescent="0.35">
      <c r="A201" s="145">
        <v>197</v>
      </c>
      <c r="B201" s="296"/>
      <c r="C201" s="44">
        <f>IF(B201="","",IFERROR(VLOOKUP(B201,'04. Products &amp; Services'!$B$5:$E$49,4,FALSE),""))</f>
      </c>
      <c r="D201" s="42"/>
      <c r="E201" s="295"/>
      <c r="F201" s="42"/>
      <c r="G201" s="42"/>
      <c r="H201" s="42"/>
      <c r="I201" s="295"/>
      <c r="J201" s="291">
        <f>IF($B201="","",IFERROR(IF(INDEX('07. BIA'!$AA$6:$AA$285,MATCH($B201,'07. BIA'!$F$6:$F$285,0))="","",INDEX('07. BIA'!$AA$6:$AA$285,MATCH($B201,'07. BIA'!$F$6:$F$285,0))),""))</f>
      </c>
      <c r="K201" s="291">
        <f>IF($B201="","",IFERROR(IF(INDEX('07. BIA'!$AD$6:$AD$285,MATCH($B201,'07. BIA'!$F$6:$F$285,0))="","",INDEX('07. BIA'!$AD$6:$AD$285,MATCH($B201,'07. BIA'!$F$6:$F$285,0))),""))</f>
      </c>
      <c r="L201" s="147"/>
    </row>
    <row r="202" spans="1:12" x14ac:dyDescent="0.35">
      <c r="A202" s="145">
        <v>198</v>
      </c>
      <c r="B202" s="296"/>
      <c r="C202" s="44">
        <f>IF(B202="","",IFERROR(VLOOKUP(B202,'04. Products &amp; Services'!$B$5:$E$49,4,FALSE),""))</f>
      </c>
      <c r="D202" s="42"/>
      <c r="E202" s="295"/>
      <c r="F202" s="42"/>
      <c r="G202" s="42"/>
      <c r="H202" s="42"/>
      <c r="I202" s="295"/>
      <c r="J202" s="291">
        <f>IF($B202="","",IFERROR(IF(INDEX('07. BIA'!$AA$6:$AA$285,MATCH($B202,'07. BIA'!$F$6:$F$285,0))="","",INDEX('07. BIA'!$AA$6:$AA$285,MATCH($B202,'07. BIA'!$F$6:$F$285,0))),""))</f>
      </c>
      <c r="K202" s="291">
        <f>IF($B202="","",IFERROR(IF(INDEX('07. BIA'!$AD$6:$AD$285,MATCH($B202,'07. BIA'!$F$6:$F$285,0))="","",INDEX('07. BIA'!$AD$6:$AD$285,MATCH($B202,'07. BIA'!$F$6:$F$285,0))),""))</f>
      </c>
      <c r="L202" s="147"/>
    </row>
    <row r="203" spans="1:12" x14ac:dyDescent="0.35">
      <c r="A203" s="145">
        <v>199</v>
      </c>
      <c r="B203" s="296"/>
      <c r="C203" s="44">
        <f>IF(B203="","",IFERROR(VLOOKUP(B203,'04. Products &amp; Services'!$B$5:$E$49,4,FALSE),""))</f>
      </c>
      <c r="D203" s="42"/>
      <c r="E203" s="295"/>
      <c r="F203" s="42"/>
      <c r="G203" s="42"/>
      <c r="H203" s="42"/>
      <c r="I203" s="295"/>
      <c r="J203" s="291">
        <f>IF($B203="","",IFERROR(IF(INDEX('07. BIA'!$AA$6:$AA$285,MATCH($B203,'07. BIA'!$F$6:$F$285,0))="","",INDEX('07. BIA'!$AA$6:$AA$285,MATCH($B203,'07. BIA'!$F$6:$F$285,0))),""))</f>
      </c>
      <c r="K203" s="291">
        <f>IF($B203="","",IFERROR(IF(INDEX('07. BIA'!$AD$6:$AD$285,MATCH($B203,'07. BIA'!$F$6:$F$285,0))="","",INDEX('07. BIA'!$AD$6:$AD$285,MATCH($B203,'07. BIA'!$F$6:$F$285,0))),""))</f>
      </c>
      <c r="L203" s="147"/>
    </row>
    <row r="204" spans="1:12" x14ac:dyDescent="0.35">
      <c r="A204" s="145">
        <v>200</v>
      </c>
      <c r="B204" s="296"/>
      <c r="C204" s="44">
        <f>IF(B204="","",IFERROR(VLOOKUP(B204,'04. Products &amp; Services'!$B$5:$E$49,4,FALSE),""))</f>
      </c>
      <c r="D204" s="42"/>
      <c r="E204" s="295"/>
      <c r="F204" s="42"/>
      <c r="G204" s="42"/>
      <c r="H204" s="42"/>
      <c r="I204" s="295"/>
      <c r="J204" s="291">
        <f>IF($B204="","",IFERROR(IF(INDEX('07. BIA'!$AA$6:$AA$285,MATCH($B204,'07. BIA'!$F$6:$F$285,0))="","",INDEX('07. BIA'!$AA$6:$AA$285,MATCH($B204,'07. BIA'!$F$6:$F$285,0))),""))</f>
      </c>
      <c r="K204" s="291">
        <f>IF($B204="","",IFERROR(IF(INDEX('07. BIA'!$AD$6:$AD$285,MATCH($B204,'07. BIA'!$F$6:$F$285,0))="","",INDEX('07. BIA'!$AD$6:$AD$285,MATCH($B204,'07. BIA'!$F$6:$F$285,0))),""))</f>
      </c>
      <c r="L204" s="147"/>
    </row>
    <row r="205" spans="1:12" x14ac:dyDescent="0.35">
      <c r="A205" s="145">
        <v>201</v>
      </c>
      <c r="B205" s="296"/>
      <c r="C205" s="44">
        <f>IF(B205="","",IFERROR(VLOOKUP(B205,'04. Products &amp; Services'!$B$5:$E$49,4,FALSE),""))</f>
      </c>
      <c r="D205" s="42"/>
      <c r="E205" s="295"/>
      <c r="F205" s="42"/>
      <c r="G205" s="42"/>
      <c r="H205" s="42"/>
      <c r="I205" s="295"/>
      <c r="J205" s="291">
        <f>IF($B205="","",IFERROR(IF(INDEX('07. BIA'!$AA$6:$AA$285,MATCH($B205,'07. BIA'!$F$6:$F$285,0))="","",INDEX('07. BIA'!$AA$6:$AA$285,MATCH($B205,'07. BIA'!$F$6:$F$285,0))),""))</f>
      </c>
      <c r="K205" s="291">
        <f>IF($B205="","",IFERROR(IF(INDEX('07. BIA'!$AD$6:$AD$285,MATCH($B205,'07. BIA'!$F$6:$F$285,0))="","",INDEX('07. BIA'!$AD$6:$AD$285,MATCH($B205,'07. BIA'!$F$6:$F$285,0))),""))</f>
      </c>
      <c r="L205" s="147"/>
    </row>
    <row r="206" spans="1:12" x14ac:dyDescent="0.35">
      <c r="A206" s="145">
        <v>202</v>
      </c>
      <c r="B206" s="296"/>
      <c r="C206" s="44">
        <f>IF(B206="","",IFERROR(VLOOKUP(B206,'04. Products &amp; Services'!$B$5:$E$49,4,FALSE),""))</f>
      </c>
      <c r="D206" s="42"/>
      <c r="E206" s="295"/>
      <c r="F206" s="42"/>
      <c r="G206" s="42"/>
      <c r="H206" s="42"/>
      <c r="I206" s="295"/>
      <c r="J206" s="291">
        <f>IF($B206="","",IFERROR(IF(INDEX('07. BIA'!$AA$6:$AA$285,MATCH($B206,'07. BIA'!$F$6:$F$285,0))="","",INDEX('07. BIA'!$AA$6:$AA$285,MATCH($B206,'07. BIA'!$F$6:$F$285,0))),""))</f>
      </c>
      <c r="K206" s="291">
        <f>IF($B206="","",IFERROR(IF(INDEX('07. BIA'!$AD$6:$AD$285,MATCH($B206,'07. BIA'!$F$6:$F$285,0))="","",INDEX('07. BIA'!$AD$6:$AD$285,MATCH($B206,'07. BIA'!$F$6:$F$285,0))),""))</f>
      </c>
      <c r="L206" s="147"/>
    </row>
    <row r="207" spans="1:12" x14ac:dyDescent="0.35">
      <c r="A207" s="145">
        <v>203</v>
      </c>
      <c r="B207" s="296"/>
      <c r="C207" s="44">
        <f>IF(B207="","",IFERROR(VLOOKUP(B207,'04. Products &amp; Services'!$B$5:$E$49,4,FALSE),""))</f>
      </c>
      <c r="D207" s="42"/>
      <c r="E207" s="295"/>
      <c r="F207" s="42"/>
      <c r="G207" s="42"/>
      <c r="H207" s="42"/>
      <c r="I207" s="295"/>
      <c r="J207" s="291">
        <f>IF($B207="","",IFERROR(IF(INDEX('07. BIA'!$AA$6:$AA$285,MATCH($B207,'07. BIA'!$F$6:$F$285,0))="","",INDEX('07. BIA'!$AA$6:$AA$285,MATCH($B207,'07. BIA'!$F$6:$F$285,0))),""))</f>
      </c>
      <c r="K207" s="291">
        <f>IF($B207="","",IFERROR(IF(INDEX('07. BIA'!$AD$6:$AD$285,MATCH($B207,'07. BIA'!$F$6:$F$285,0))="","",INDEX('07. BIA'!$AD$6:$AD$285,MATCH($B207,'07. BIA'!$F$6:$F$285,0))),""))</f>
      </c>
      <c r="L207" s="147"/>
    </row>
    <row r="208" spans="1:12" x14ac:dyDescent="0.35">
      <c r="A208" s="145">
        <v>204</v>
      </c>
      <c r="B208" s="296"/>
      <c r="C208" s="44">
        <f>IF(B208="","",IFERROR(VLOOKUP(B208,'04. Products &amp; Services'!$B$5:$E$49,4,FALSE),""))</f>
      </c>
      <c r="D208" s="42"/>
      <c r="E208" s="295"/>
      <c r="F208" s="42"/>
      <c r="G208" s="42"/>
      <c r="H208" s="42"/>
      <c r="I208" s="295"/>
      <c r="J208" s="291">
        <f>IF($B208="","",IFERROR(IF(INDEX('07. BIA'!$AA$6:$AA$285,MATCH($B208,'07. BIA'!$F$6:$F$285,0))="","",INDEX('07. BIA'!$AA$6:$AA$285,MATCH($B208,'07. BIA'!$F$6:$F$285,0))),""))</f>
      </c>
      <c r="K208" s="291">
        <f>IF($B208="","",IFERROR(IF(INDEX('07. BIA'!$AD$6:$AD$285,MATCH($B208,'07. BIA'!$F$6:$F$285,0))="","",INDEX('07. BIA'!$AD$6:$AD$285,MATCH($B208,'07. BIA'!$F$6:$F$285,0))),""))</f>
      </c>
      <c r="L208" s="147"/>
    </row>
    <row r="209" spans="1:12" x14ac:dyDescent="0.35">
      <c r="A209" s="145">
        <v>205</v>
      </c>
      <c r="B209" s="296"/>
      <c r="C209" s="44">
        <f>IF(B209="","",IFERROR(VLOOKUP(B209,'04. Products &amp; Services'!$B$5:$E$49,4,FALSE),""))</f>
      </c>
      <c r="D209" s="42"/>
      <c r="E209" s="295"/>
      <c r="F209" s="42"/>
      <c r="G209" s="42"/>
      <c r="H209" s="42"/>
      <c r="I209" s="295"/>
      <c r="J209" s="291">
        <f>IF($B209="","",IFERROR(IF(INDEX('07. BIA'!$AA$6:$AA$285,MATCH($B209,'07. BIA'!$F$6:$F$285,0))="","",INDEX('07. BIA'!$AA$6:$AA$285,MATCH($B209,'07. BIA'!$F$6:$F$285,0))),""))</f>
      </c>
      <c r="K209" s="291">
        <f>IF($B209="","",IFERROR(IF(INDEX('07. BIA'!$AD$6:$AD$285,MATCH($B209,'07. BIA'!$F$6:$F$285,0))="","",INDEX('07. BIA'!$AD$6:$AD$285,MATCH($B209,'07. BIA'!$F$6:$F$285,0))),""))</f>
      </c>
      <c r="L209" s="147"/>
    </row>
    <row r="210" spans="1:12" x14ac:dyDescent="0.35">
      <c r="A210" s="145">
        <v>206</v>
      </c>
      <c r="B210" s="296"/>
      <c r="C210" s="44">
        <f>IF(B210="","",IFERROR(VLOOKUP(B210,'04. Products &amp; Services'!$B$5:$E$49,4,FALSE),""))</f>
      </c>
      <c r="D210" s="42"/>
      <c r="E210" s="295"/>
      <c r="F210" s="42"/>
      <c r="G210" s="42"/>
      <c r="H210" s="42"/>
      <c r="I210" s="295"/>
      <c r="J210" s="291">
        <f>IF($B210="","",IFERROR(IF(INDEX('07. BIA'!$AA$6:$AA$285,MATCH($B210,'07. BIA'!$F$6:$F$285,0))="","",INDEX('07. BIA'!$AA$6:$AA$285,MATCH($B210,'07. BIA'!$F$6:$F$285,0))),""))</f>
      </c>
      <c r="K210" s="291">
        <f>IF($B210="","",IFERROR(IF(INDEX('07. BIA'!$AD$6:$AD$285,MATCH($B210,'07. BIA'!$F$6:$F$285,0))="","",INDEX('07. BIA'!$AD$6:$AD$285,MATCH($B210,'07. BIA'!$F$6:$F$285,0))),""))</f>
      </c>
      <c r="L210" s="147"/>
    </row>
    <row r="211" spans="1:12" x14ac:dyDescent="0.35">
      <c r="A211" s="151">
        <v>207</v>
      </c>
      <c r="B211" s="297"/>
      <c r="C211" s="153">
        <f>IF(B211="","",IFERROR(VLOOKUP(B211,'04. Products &amp; Services'!$B$5:$E$49,4,FALSE),""))</f>
      </c>
      <c r="D211" s="154"/>
      <c r="E211" s="295"/>
      <c r="F211" s="154"/>
      <c r="G211" s="154"/>
      <c r="H211" s="154"/>
      <c r="I211" s="295"/>
      <c r="J211" s="292">
        <f>IF($B211="","",IFERROR(IF(INDEX('07. BIA'!$AA$6:$AA$285,MATCH($B211,'07. BIA'!$F$6:$F$285,0))="","",INDEX('07. BIA'!$AA$6:$AA$285,MATCH($B211,'07. BIA'!$F$6:$F$285,0))),""))</f>
      </c>
      <c r="K211" s="292">
        <f>IF($B211="","",IFERROR(IF(INDEX('07. BIA'!$AD$6:$AD$285,MATCH($B211,'07. BIA'!$F$6:$F$285,0))="","",INDEX('07. BIA'!$AD$6:$AD$285,MATCH($B211,'07. BIA'!$F$6:$F$285,0))),""))</f>
      </c>
      <c r="L211" s="155"/>
    </row>
    <row r="217" spans="1:12" x14ac:dyDescent="0.35">
      <c r="D217" s="12"/>
    </row>
    <row r="218" spans="1:12" x14ac:dyDescent="0.35">
      <c r="D218" s="12"/>
    </row>
    <row r="219" spans="1:12" x14ac:dyDescent="0.35">
      <c r="D219" s="12"/>
    </row>
  </sheetData>
  <mergeCells count="2">
    <mergeCell ref="A2:L2"/>
    <mergeCell ref="A1:L1"/>
  </mergeCells>
  <conditionalFormatting sqref="D5:E211 H5:I211">
    <cfRule type="expression" dxfId="250" priority="1">
      <formula>AND($B5&lt;&gt;"",D5="")</formula>
    </cfRule>
  </conditionalFormatting>
  <dataValidations count="4">
    <dataValidation type="custom" showInputMessage="1" showErrorMessage="1" sqref="D5:D211" xr:uid="{5B2CDD08-7926-4B40-94A3-E29C1405BE1E}">
      <formula1>OR($B5="",LEN(TRIM(D5))&gt;0)</formula1>
    </dataValidation>
    <dataValidation type="custom" showInputMessage="1" showErrorMessage="1" sqref="H5:H211" xr:uid="{61FB08C2-0154-4C79-BD32-12B02BD7C0CA}">
      <formula1>OR($B5="",AND(ISNUMBER(H5),H5&gt;0))</formula1>
    </dataValidation>
    <dataValidation type="list" allowBlank="1" showInputMessage="1" showErrorMessage="1" sqref="E5:E211" xr:uid="{D82D4649-E35B-4A4E-9E63-3189BA8A5441}">
      <formula1>"Daily, Monthly, Weekly, Yearly"</formula1>
    </dataValidation>
    <dataValidation type="list" allowBlank="1" showInputMessage="1" showErrorMessage="1" sqref="I5:I211" xr:uid="{8E35BB6F-E233-4EFA-AB08-7FBD08D086E0}">
      <formula1>"Yes, No"</formula1>
    </dataValidation>
  </dataValidations>
  <pageMargins left="0.7" right="0.7" top="0.75" bottom="0.75" header="0.3" footer="0.3"/>
  <headerFooter>
    <oddFooter>&amp;L&amp;A&amp;RPage &amp;P of &amp;N</oddFooter>
  </headerFooter>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2000000}">
          <x14:formula1>
            <xm:f>'04. Products &amp; Services'!$B$5:$B$49</xm:f>
          </x14:formula1>
          <xm:sqref>B5:B211</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34"/>
  <sheetViews>
    <sheetView zoomScaleNormal="100" workbookViewId="0">
      <selection activeCell="A2" sqref="A2:P2"/>
    </sheetView>
  </sheetViews>
  <sheetFormatPr defaultRowHeight="14.5" x14ac:dyDescent="0.35"/>
  <cols>
    <col min="1" max="1" width="15.7265625" bestFit="1" customWidth="1"/>
    <col min="3" max="3" width="17.54296875" bestFit="1" customWidth="1"/>
    <col min="6" max="6" width="10.453125" customWidth="1"/>
    <col min="7" max="7" width="12.81640625" bestFit="1" customWidth="1"/>
    <col min="8" max="8" width="9.453125" bestFit="1" customWidth="1"/>
    <col min="9" max="9" width="30.1796875" bestFit="1" customWidth="1"/>
  </cols>
  <sheetData>
    <row r="1" spans="1:16" ht="27.75" customHeight="1" x14ac:dyDescent="0.35">
      <c r="A1" s="236" t="s">
        <v>157</v>
      </c>
      <c r="B1" s="213"/>
      <c r="C1" s="213"/>
      <c r="D1" s="213"/>
      <c r="E1" s="213"/>
      <c r="F1" s="213"/>
      <c r="G1" s="213"/>
      <c r="H1" s="213"/>
      <c r="I1" s="213"/>
      <c r="J1" s="213"/>
      <c r="K1" s="213"/>
      <c r="L1" s="213"/>
      <c r="M1" s="213"/>
      <c r="N1" s="213"/>
      <c r="O1" s="213"/>
      <c r="P1" s="213"/>
    </row>
    <row r="2" spans="1:16" ht="18" customHeight="1" x14ac:dyDescent="0.35">
      <c r="A2" s="237"/>
      <c r="B2" s="213"/>
      <c r="C2" s="213"/>
      <c r="D2" s="213"/>
      <c r="E2" s="213"/>
      <c r="F2" s="213"/>
      <c r="G2" s="213"/>
      <c r="H2" s="213"/>
      <c r="I2" s="213"/>
      <c r="J2" s="213"/>
      <c r="K2" s="213"/>
      <c r="L2" s="213"/>
      <c r="M2" s="213"/>
      <c r="N2" s="213"/>
      <c r="O2" s="213"/>
      <c r="P2" s="213"/>
    </row>
    <row r="3" spans="1:16" ht="15" customHeight="1" x14ac:dyDescent="0.35"/>
    <row r="5" spans="1:16" x14ac:dyDescent="0.35">
      <c r="A5" s="12" t="s">
        <v>158</v>
      </c>
      <c r="B5" s="12" t="s">
        <v>159</v>
      </c>
      <c r="C5" s="12"/>
      <c r="D5" s="12"/>
      <c r="E5" s="12"/>
    </row>
    <row r="8" spans="1:16" ht="15" x14ac:dyDescent="0.4">
      <c r="F8" s="54" t="s">
        <v>145</v>
      </c>
      <c r="G8" s="238" t="s">
        <v>160</v>
      </c>
      <c r="H8" s="239"/>
      <c r="I8" s="75" t="s">
        <v>161</v>
      </c>
    </row>
    <row r="9" x14ac:dyDescent="0.35">
      <c r="A9" s="56" t="s">
        <v>162</v>
      </c>
      <c r="C9" s="56" t="s">
        <v>163</v>
      </c>
      <c r="F9" s="54" t="s">
        <v>145</v>
      </c>
      <c r="G9" s="55" t="s">
        <v>164</v>
      </c>
      <c r="H9" s="56" t="s">
        <v>165</v>
      </c>
      <c r="I9" s="169" t="s">
        <v>161</v>
      </c>
      <c r="N9" s="298"/>
    </row>
    <row r="10" spans="1:16" x14ac:dyDescent="0.35">
      <c r="A10" s="176" t="s">
        <v>160</v>
      </c>
      <c r="C10" s="176" t="s">
        <v>164</v>
      </c>
      <c r="F10" s="66">
        <v>1</v>
      </c>
      <c r="G10" s="42"/>
      <c r="H10" s="42"/>
      <c r="I10" s="147"/>
    </row>
    <row r="11" spans="1:16" x14ac:dyDescent="0.35">
      <c r="A11" s="176" t="s">
        <v>161</v>
      </c>
      <c r="C11" s="176" t="s">
        <v>165</v>
      </c>
      <c r="F11" s="66">
        <v>2</v>
      </c>
      <c r="G11" s="42"/>
      <c r="H11" s="42"/>
      <c r="I11" s="147"/>
    </row>
    <row r="12" spans="1:16" x14ac:dyDescent="0.35">
      <c r="C12" s="176" t="s">
        <v>161</v>
      </c>
      <c r="F12" s="66">
        <v>3</v>
      </c>
      <c r="G12" s="42"/>
      <c r="H12" s="42"/>
      <c r="I12" s="147"/>
    </row>
    <row r="13" spans="1:16" x14ac:dyDescent="0.35">
      <c r="F13" s="66">
        <v>4</v>
      </c>
      <c r="G13" s="42"/>
      <c r="H13" s="42"/>
      <c r="I13" s="147"/>
    </row>
    <row r="14" spans="1:16" x14ac:dyDescent="0.35">
      <c r="F14" s="66">
        <v>5</v>
      </c>
      <c r="G14" s="42"/>
      <c r="H14" s="42"/>
      <c r="I14" s="147"/>
    </row>
    <row r="15" spans="1:16" x14ac:dyDescent="0.35">
      <c r="F15" s="66">
        <v>6</v>
      </c>
      <c r="G15" s="42"/>
      <c r="H15" s="42"/>
      <c r="I15" s="147"/>
    </row>
    <row r="16" spans="1:16" x14ac:dyDescent="0.35">
      <c r="F16" s="66">
        <v>7</v>
      </c>
      <c r="G16" s="42"/>
      <c r="H16" s="42"/>
      <c r="I16" s="147"/>
    </row>
    <row r="17" spans="6:9" x14ac:dyDescent="0.35">
      <c r="F17" s="66">
        <v>8</v>
      </c>
      <c r="G17" s="42"/>
      <c r="H17" s="42"/>
      <c r="I17" s="147"/>
    </row>
    <row r="18" spans="6:9" x14ac:dyDescent="0.35">
      <c r="F18" s="66">
        <v>9</v>
      </c>
      <c r="G18" s="42"/>
      <c r="H18" s="42"/>
      <c r="I18" s="147"/>
    </row>
    <row r="19" spans="6:9" x14ac:dyDescent="0.35">
      <c r="F19" s="66">
        <v>10</v>
      </c>
      <c r="G19" s="42"/>
      <c r="H19" s="42"/>
      <c r="I19" s="147"/>
    </row>
    <row r="20" spans="6:9" x14ac:dyDescent="0.35">
      <c r="F20" s="66">
        <v>11</v>
      </c>
      <c r="G20" s="42"/>
      <c r="H20" s="42"/>
      <c r="I20" s="147"/>
    </row>
    <row r="21" spans="6:9" x14ac:dyDescent="0.35">
      <c r="F21" s="66">
        <v>12</v>
      </c>
      <c r="G21" s="42"/>
      <c r="H21" s="42"/>
      <c r="I21" s="147"/>
    </row>
    <row r="22" spans="6:9" x14ac:dyDescent="0.35">
      <c r="F22" s="66">
        <v>13</v>
      </c>
      <c r="G22" s="42"/>
      <c r="H22" s="42"/>
      <c r="I22" s="147"/>
    </row>
    <row r="23" spans="6:9" x14ac:dyDescent="0.35">
      <c r="F23" s="66">
        <v>14</v>
      </c>
      <c r="G23" s="42"/>
      <c r="H23" s="42"/>
      <c r="I23" s="147"/>
    </row>
    <row r="24" spans="6:9" x14ac:dyDescent="0.35">
      <c r="F24" s="66">
        <v>15</v>
      </c>
      <c r="G24" s="42"/>
      <c r="H24" s="42"/>
      <c r="I24" s="147"/>
    </row>
    <row r="25" spans="6:9" x14ac:dyDescent="0.35">
      <c r="F25" s="66">
        <v>16</v>
      </c>
      <c r="G25" s="42"/>
      <c r="H25" s="42"/>
      <c r="I25" s="147"/>
    </row>
    <row r="26" spans="6:9" x14ac:dyDescent="0.35">
      <c r="F26" s="66">
        <v>17</v>
      </c>
      <c r="G26" s="42"/>
      <c r="H26" s="42"/>
      <c r="I26" s="147"/>
    </row>
    <row r="27" spans="6:9" x14ac:dyDescent="0.35">
      <c r="F27" s="66">
        <v>18</v>
      </c>
      <c r="G27" s="42"/>
      <c r="H27" s="42"/>
      <c r="I27" s="147"/>
    </row>
    <row r="28" spans="6:9" x14ac:dyDescent="0.35">
      <c r="F28" s="66">
        <v>19</v>
      </c>
      <c r="G28" s="42"/>
      <c r="H28" s="42"/>
      <c r="I28" s="147"/>
    </row>
    <row r="29" spans="6:9" x14ac:dyDescent="0.35">
      <c r="F29" s="66">
        <v>20</v>
      </c>
      <c r="G29" s="42"/>
      <c r="H29" s="42"/>
      <c r="I29" s="147"/>
    </row>
    <row r="30" spans="6:9" x14ac:dyDescent="0.35">
      <c r="F30" s="66">
        <v>21</v>
      </c>
      <c r="G30" s="42"/>
      <c r="H30" s="42"/>
      <c r="I30" s="147"/>
    </row>
    <row r="31" spans="6:9" x14ac:dyDescent="0.35">
      <c r="F31" s="66">
        <v>22</v>
      </c>
      <c r="G31" s="42"/>
      <c r="H31" s="42"/>
      <c r="I31" s="147"/>
    </row>
    <row r="32" spans="6:9" x14ac:dyDescent="0.35">
      <c r="F32" s="66">
        <v>23</v>
      </c>
      <c r="G32" s="42"/>
      <c r="H32" s="42"/>
      <c r="I32" s="147"/>
    </row>
    <row r="33" spans="6:9" x14ac:dyDescent="0.35">
      <c r="F33" s="66">
        <v>24</v>
      </c>
      <c r="G33" s="42"/>
      <c r="H33" s="42"/>
      <c r="I33" s="147"/>
    </row>
    <row r="34" spans="6:9" x14ac:dyDescent="0.35">
      <c r="F34" s="170">
        <v>25</v>
      </c>
      <c r="G34" s="154"/>
      <c r="H34" s="154"/>
      <c r="I34" s="155"/>
    </row>
  </sheetData>
  <mergeCells count="3">
    <mergeCell ref="G8:H8"/>
    <mergeCell ref="A1:P1"/>
    <mergeCell ref="A2:P2"/>
  </mergeCells>
  <phoneticPr fontId="37" type="noConversion"/>
  <dataValidations disablePrompts="1" count="1">
    <dataValidation type="list" allowBlank="1" showInputMessage="1" showErrorMessage="1" sqref="N9" xr:uid="{95AAB555-C847-405F-896C-31A65CE4D0ED}">
      <formula1>"I_A, I_S"</formula1>
    </dataValidation>
  </dataValidations>
  <pageMargins left="0.7" right="0.7" top="0.75" bottom="0.75" header="0.3" footer="0.3"/>
  <headerFooter>
    <oddFooter>&amp;L&amp;A&amp;RPage &amp;P of &amp;N</oddFooter>
  </headerFooter>
  <legacy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4687"/>
  </sheetPr>
  <dimension ref="A1:AJ285"/>
  <sheetViews>
    <sheetView showGridLines="0" zoomScale="40" zoomScaleNormal="40" workbookViewId="0">
      <pane xSplit="5" ySplit="5" topLeftCell="F6" activePane="bottomRight" state="frozen"/>
      <selection pane="topRight" activeCell="U1" sqref="U1"/>
      <selection pane="bottomLeft" activeCell="A6" sqref="A6"/>
      <selection pane="bottomRight" activeCell="A2" sqref="A2:AJ2"/>
    </sheetView>
  </sheetViews>
  <sheetFormatPr defaultColWidth="8.54296875" defaultRowHeight="15" customHeight="1" x14ac:dyDescent="0.35"/>
  <cols>
    <col min="1" max="1" width="3.81640625" bestFit="1" customWidth="1"/>
    <col min="2" max="2" width="5.81640625" bestFit="1" customWidth="1"/>
    <col min="3" max="3" width="12.54296875" bestFit="1" customWidth="1"/>
    <col min="4" max="4" width="12.81640625" bestFit="1" customWidth="1"/>
    <col min="5" max="5" width="21.81640625" bestFit="1" customWidth="1"/>
    <col min="6" max="6" width="18.1796875" bestFit="1" customWidth="1"/>
    <col min="7" max="7" width="27.453125" bestFit="1" customWidth="1"/>
    <col min="8" max="8" width="16.453125" bestFit="1" customWidth="1"/>
    <col min="9" max="9" width="24.54296875" bestFit="1" customWidth="1"/>
    <col min="10" max="10" width="7.453125" bestFit="1" customWidth="1"/>
    <col min="11" max="11" width="8.1796875" bestFit="1" customWidth="1"/>
    <col min="12" max="12" width="8.26953125" bestFit="1" customWidth="1"/>
    <col min="13" max="13" width="6.54296875" bestFit="1" customWidth="1"/>
    <col min="14" max="14" width="6.81640625" customWidth="1"/>
    <col min="15" max="16" width="8" customWidth="1"/>
    <col min="17" max="17" width="7.453125" bestFit="1" customWidth="1"/>
    <col min="18" max="18" width="9.1796875" bestFit="1" customWidth="1"/>
    <col min="19" max="19" width="10.453125" bestFit="1" customWidth="1"/>
    <col min="20" max="20" width="20.81640625" bestFit="1" customWidth="1"/>
    <col min="21" max="21" width="12.26953125" bestFit="1" customWidth="1"/>
    <col min="22" max="22" width="10.1796875" bestFit="1" customWidth="1"/>
    <col min="23" max="23" width="10.453125" bestFit="1" customWidth="1"/>
    <col min="24" max="25" width="27.1796875" customWidth="1"/>
    <col min="26" max="26" width="27.453125" bestFit="1" customWidth="1"/>
    <col min="27" max="27" width="11.54296875" bestFit="1" customWidth="1"/>
    <col min="28" max="28" width="10.7265625" bestFit="1" customWidth="1"/>
    <col min="29" max="29" width="4.81640625" bestFit="1" customWidth="1"/>
    <col min="30" max="30" width="17.453125" bestFit="1" customWidth="1"/>
    <col min="31" max="31" width="26.7265625" bestFit="1" customWidth="1"/>
    <col min="32" max="32" width="11.1796875" bestFit="1" customWidth="1"/>
    <col min="33" max="33" width="12" bestFit="1" customWidth="1"/>
    <col min="34" max="34" width="8.1796875" hidden="1" customWidth="1"/>
    <col min="35" max="35" width="6.54296875" hidden="1" customWidth="1"/>
    <col min="36" max="36" width="8.26953125" hidden="1" customWidth="1"/>
  </cols>
  <sheetData>
    <row r="1" spans="1:36" ht="18" customHeight="1" x14ac:dyDescent="0.35">
      <c r="A1" s="236" t="s">
        <v>166</v>
      </c>
      <c r="B1" s="213"/>
      <c r="C1" s="213"/>
      <c r="D1" s="213"/>
      <c r="E1" s="213"/>
      <c r="F1" s="213"/>
      <c r="G1" s="213"/>
      <c r="H1" s="213"/>
      <c r="I1" s="213"/>
      <c r="J1" s="213"/>
      <c r="K1" s="213"/>
      <c r="L1" s="213"/>
      <c r="M1" s="213"/>
      <c r="N1" s="213"/>
      <c r="O1" s="213"/>
      <c r="P1" s="213"/>
      <c r="Q1" s="213"/>
      <c r="R1" s="213"/>
      <c r="S1" s="213"/>
      <c r="T1" s="213"/>
      <c r="U1" s="213"/>
      <c r="V1" s="213"/>
      <c r="W1" s="213"/>
      <c r="X1" s="213"/>
      <c r="Y1" s="213"/>
      <c r="Z1" s="213"/>
      <c r="AA1" s="213"/>
      <c r="AB1" s="213"/>
      <c r="AC1" s="213"/>
      <c r="AD1" s="213"/>
      <c r="AE1" s="213"/>
      <c r="AF1" s="213"/>
      <c r="AG1" s="213"/>
      <c r="AH1" s="213"/>
      <c r="AI1" s="213"/>
      <c r="AJ1" s="213"/>
    </row>
    <row r="2" spans="1:36" ht="14.5" customHeight="1" x14ac:dyDescent="0.35">
      <c r="A2" s="237"/>
      <c r="B2" s="213"/>
      <c r="C2" s="213"/>
      <c r="D2" s="213"/>
      <c r="E2" s="213"/>
      <c r="F2" s="213"/>
      <c r="G2" s="213"/>
      <c r="H2" s="213"/>
      <c r="I2" s="213"/>
      <c r="J2" s="213"/>
      <c r="K2" s="213"/>
      <c r="L2" s="213"/>
      <c r="M2" s="213"/>
      <c r="N2" s="213"/>
      <c r="O2" s="213"/>
      <c r="P2" s="213"/>
      <c r="Q2" s="213"/>
      <c r="R2" s="213"/>
      <c r="S2" s="213"/>
      <c r="T2" s="213"/>
      <c r="U2" s="213"/>
      <c r="V2" s="213"/>
      <c r="W2" s="213"/>
      <c r="X2" s="213"/>
      <c r="Y2" s="213"/>
      <c r="Z2" s="213"/>
      <c r="AA2" s="213"/>
      <c r="AB2" s="213"/>
      <c r="AC2" s="213"/>
      <c r="AD2" s="213"/>
      <c r="AE2" s="213"/>
      <c r="AF2" s="213"/>
      <c r="AG2" s="213"/>
      <c r="AH2" s="213"/>
      <c r="AI2" s="213"/>
      <c r="AJ2" s="213"/>
    </row>
    <row r="4" spans="1:36" ht="14.5" customHeight="1" x14ac:dyDescent="0.35">
      <c r="A4" s="243" t="s">
        <v>131</v>
      </c>
      <c r="B4" s="243" t="s">
        <v>167</v>
      </c>
      <c r="C4" s="243" t="s">
        <v>133</v>
      </c>
      <c r="D4" s="243" t="s">
        <v>134</v>
      </c>
      <c r="E4" s="243" t="s">
        <v>168</v>
      </c>
      <c r="F4" s="243" t="s">
        <v>169</v>
      </c>
      <c r="G4" s="243" t="s">
        <v>170</v>
      </c>
      <c r="H4" s="271"/>
      <c r="I4" s="243" t="s">
        <v>171</v>
      </c>
      <c r="J4" s="266" t="s">
        <v>172</v>
      </c>
      <c r="K4" s="267"/>
      <c r="L4" s="267"/>
      <c r="M4" s="267"/>
      <c r="N4" s="267"/>
      <c r="O4" s="267"/>
      <c r="P4" s="267"/>
      <c r="Q4" s="267"/>
      <c r="R4" s="268"/>
      <c r="S4" s="243" t="s">
        <v>173</v>
      </c>
      <c r="T4" s="272"/>
      <c r="U4" s="272"/>
      <c r="V4" s="272"/>
      <c r="W4" s="271"/>
      <c r="X4" s="243" t="s">
        <v>174</v>
      </c>
      <c r="Y4" s="272"/>
      <c r="Z4" s="272"/>
      <c r="AA4" s="272"/>
      <c r="AB4" s="272"/>
      <c r="AC4" s="272"/>
      <c r="AD4" s="272"/>
      <c r="AE4" s="272"/>
      <c r="AF4" s="272"/>
      <c r="AG4" s="271"/>
      <c r="AH4" s="273" t="s">
        <v>175</v>
      </c>
      <c r="AI4" s="272"/>
      <c r="AJ4" s="271"/>
    </row>
    <row r="5" spans="1:36" ht="34.5" customHeight="1" x14ac:dyDescent="0.35">
      <c r="A5" s="244"/>
      <c r="B5" s="244"/>
      <c r="C5" s="244"/>
      <c r="D5" s="244"/>
      <c r="E5" s="244"/>
      <c r="F5" s="244"/>
      <c r="G5" s="5" t="s">
        <v>176</v>
      </c>
      <c r="H5" s="5" t="s">
        <v>177</v>
      </c>
      <c r="I5" s="244"/>
      <c r="J5" s="5" t="s">
        <v>178</v>
      </c>
      <c r="K5" s="5" t="s">
        <v>179</v>
      </c>
      <c r="L5" s="5" t="s">
        <v>180</v>
      </c>
      <c r="M5" s="5" t="s">
        <v>181</v>
      </c>
      <c r="N5" s="5" t="s">
        <v>182</v>
      </c>
      <c r="O5" s="5" t="s">
        <v>183</v>
      </c>
      <c r="P5" s="5" t="s">
        <v>184</v>
      </c>
      <c r="Q5" s="5" t="s">
        <v>185</v>
      </c>
      <c r="R5" s="5" t="s">
        <v>186</v>
      </c>
      <c r="S5" s="6" t="s">
        <v>187</v>
      </c>
      <c r="T5" s="6" t="s">
        <v>188</v>
      </c>
      <c r="U5" s="6" t="s">
        <v>189</v>
      </c>
      <c r="V5" s="5" t="s">
        <v>190</v>
      </c>
      <c r="W5" s="6" t="s">
        <v>191</v>
      </c>
      <c r="X5" s="6" t="s">
        <v>192</v>
      </c>
      <c r="Y5" s="5" t="s">
        <v>193</v>
      </c>
      <c r="Z5" s="5" t="s">
        <v>194</v>
      </c>
      <c r="AA5" s="6" t="s">
        <v>195</v>
      </c>
      <c r="AB5" s="6" t="s">
        <v>196</v>
      </c>
      <c r="AC5" s="6" t="s">
        <v>197</v>
      </c>
      <c r="AD5" s="6" t="s">
        <v>198</v>
      </c>
      <c r="AE5" s="5" t="s">
        <v>199</v>
      </c>
      <c r="AF5" s="5" t="s">
        <v>200</v>
      </c>
      <c r="AG5" s="6" t="s">
        <v>201</v>
      </c>
      <c r="AH5" s="6" t="s">
        <v>202</v>
      </c>
      <c r="AI5" s="6" t="s">
        <v>203</v>
      </c>
      <c r="AJ5" s="6" t="s">
        <v>204</v>
      </c>
    </row>
    <row r="6" spans="1:36" ht="16.5" x14ac:dyDescent="0.35">
      <c r="A6" s="252">
        <v>1</v>
      </c>
      <c r="B6" s="264">
        <f>IF($E6="","","BIA-"&amp;TEXT(1,"000"))</f>
      </c>
      <c r="C6" s="240">
        <f>IFERROR(INDEX(BusinessUnits1,MATCH($A6,'04. Products &amp; Services'!$N$5:$N$49,0)),"")</f>
      </c>
      <c r="D6" s="240">
        <f>IFERROR(INDEX(DivisionSites,MATCH($A6,'04. Products &amp; Services'!$N$5:$N$49,0)),"")</f>
      </c>
      <c r="E6" s="253">
        <f>IFERROR(INDEX(ScopeNames,MATCH($A6,'04. Products &amp; Services'!$N$5:$N$49,0)),"")</f>
      </c>
      <c r="F6" s="265">
        <f>IF($E6="","",IFERROR(IF(INDEX(PS_ID,MATCH($E6,ScopeNames,0))="","",INDEX(PS_ID,MATCH($E6,ScopeNames,0))),""))</f>
      </c>
      <c r="G6" s="46" t="s">
        <v>205</v>
      </c>
      <c r="H6" s="293"/>
      <c r="I6" s="71" t="s">
        <v>116</v>
      </c>
      <c r="J6" s="293"/>
      <c r="K6" s="293"/>
      <c r="L6" s="293"/>
      <c r="M6" s="293"/>
      <c r="N6" s="293"/>
      <c r="O6" s="293"/>
      <c r="P6" s="293"/>
      <c r="Q6" s="300"/>
      <c r="R6" s="293"/>
      <c r="S6" s="247">
        <f>IF(COUNT(J6:R12)=0,"",MAX(J6:R12))</f>
      </c>
      <c r="T6" s="68">
        <f>IF($S$6="","",IF(COUNT(J6:R6)=0,"",IF(MAX(J6:R6)&gt;3,$I6,"")))</f>
      </c>
      <c r="U6" s="249">
        <f>IF($E6="","",IFERROR(IF(INDEX('04. Products &amp; Services'!$J$5:$J$49,MATCH($A6,'04. Products &amp; Services'!$N$5:$N$49,0))="","",INDEX('04. Products &amp; Services'!$J$5:$J$49,MATCH($A6,'04. Products &amp; Services'!$N$5:$N$49,0))),""))</f>
      </c>
      <c r="V6" s="299"/>
      <c r="W6" s="247">
        <f>IF($E6="","",IF(OR($U6="Yes",$V6="Yes"),"Yes",IF(AND($U6="No",$V6="No"),"No",IF(AND($U6="Under Evaluation",$V6="No"),"Under Evaluation",""))))</f>
      </c>
      <c r="X6" s="270">
        <f>IF($E6="","",IFERROR(IF(INDEX('04. Products &amp; Services'!$K$5:$K$49,MATCH($A6,'04. Products &amp; Services'!$N$5:$N$49,0))="","",INDEX('04. Products &amp; Services'!$K$5:$K$49,MATCH($A6,'04. Products &amp; Services'!$N$5:$N$49,0))),""))</f>
      </c>
      <c r="Y6" s="269"/>
      <c r="Z6" s="269"/>
      <c r="AA6" s="247">
        <f>IF($E6="","",IF(COUNT(J6:R12)=0,"",IF(MAX(J6:J12)&gt;=4,6,IF(MAX(K6:K12)&gt;=4,18,IF(MAX(L6:L12)&gt;=4,36,IF(MAX(M6:M12)&gt;=4,72,IF(MAX(N6:N12)&gt;=4,168,IF(MAX(O6:O12)&gt;=4,336,IF(MAX(P6:P12)&gt;=4,504,IF(MAX(Q6:Q12)&gt;=4,672,IF(MAX(R6:R12)&gt;=4,"","")))))))))))</f>
      </c>
      <c r="AB6" s="247">
        <f>IF($E6="","",IFERROR(IF(INDEX('04. Products &amp; Services'!$M$5:$M$49,MATCH($A6,'04. Products &amp; Services'!$N$5:$N$49,0))="","",INDEX('04. Products &amp; Services'!$M$5:$M$49,MATCH($A6,'04. Products &amp; Services'!$N$5:$N$49,0))),""))</f>
      </c>
      <c r="AC6" s="245"/>
      <c r="AD6" s="260">
        <f>IF(AC6="","",IF(ISNUMBER(AC6),AC6,IFERROR(VALUE(LEFT(TRIM(AC6),FIND(" ",TRIM(AC6))-1))*VLOOKUP(LEFT(LOWER(TRIM(MID(TRIM(AC6),FIND(" ",TRIM(AC6))+1,99))),3),DurationUnits,2,FALSE),"")))</f>
      </c>
      <c r="AE6" s="261"/>
      <c r="AF6" s="263"/>
      <c r="AG6" s="256">
        <f>IF($AF6="","",EDATE($AF6,12))</f>
      </c>
      <c r="AH6" s="254" cm="1">
        <f t="array" ref="AH6">IF($B6="","",_xlfn.LET(_xlpm.ids,'15. BCM Risk Register'!$A$6:$A$65,_xlpm.links,'15. BCM Risk Register'!$I$6:$I$65,_xlpm.hit,ISNUMBER(SEARCH(","&amp;$B6&amp;",",","&amp;SUBSTITUTE(_xlpm.links," ","")&amp;",")),IFERROR(_xlfn.TEXTJOIN(", ",TRUE,_xlfn.UNIQUE(_xlfn._xlws.FILTER(_xlpm.ids,_xlpm.hit*(_xlpm.ids&lt;&gt;"")))),"Not Created")))</f>
      </c>
      <c r="AI6" s="254" cm="1">
        <f t="array" ref="AI6">IF($B6="","",_xlfn.LET(_xlpm.ids,'15. BCM Risk Register'!$L$6:$L$65,_xlpm.links,'15. BCM Risk Register'!$I$6:$I$65,_xlpm.hit,ISNUMBER(SEARCH(","&amp;$B6&amp;",",","&amp;SUBSTITUTE(_xlpm.links," ","")&amp;",")),IFERROR(_xlfn.TEXTJOIN(", ",TRUE,_xlfn.UNIQUE(_xlfn._xlws.FILTER(_xlpm.ids,_xlpm.hit*(_xlpm.ids&lt;&gt;"")*(_xlpm.ids&lt;&gt;"Not Created")))),"Not Created")))</f>
      </c>
      <c r="AJ6" s="254" cm="1">
        <f t="array" ref="AJ6">IF($B6="","",_xlfn.LET(_xlpm.ids,'15. BCM Risk Register'!$K$6:$K$65,_xlpm.links,'15. BCM Risk Register'!$I$6:$I$65,_xlpm.hit,ISNUMBER(SEARCH(","&amp;$B6&amp;",",","&amp;SUBSTITUTE(_xlpm.links," ","")&amp;",")),IFERROR(_xlfn.TEXTJOIN(", ",TRUE,_xlfn.UNIQUE(_xlfn._xlws.FILTER(_xlpm.ids,_xlpm.hit*(_xlpm.ids&lt;&gt;"")*(_xlpm.ids&lt;&gt;"Not Created")))),"Not Created")))</f>
      </c>
    </row>
    <row r="7" spans="1:36" ht="14.5" customHeight="1" x14ac:dyDescent="0.35">
      <c r="A7" s="248"/>
      <c r="B7" s="248"/>
      <c r="C7" s="241"/>
      <c r="D7" s="241"/>
      <c r="E7" s="248"/>
      <c r="F7" s="246"/>
      <c r="G7" s="46" t="s">
        <v>160</v>
      </c>
      <c r="H7" s="293"/>
      <c r="I7" s="71" t="s">
        <v>117</v>
      </c>
      <c r="J7" s="293"/>
      <c r="K7" s="293"/>
      <c r="L7" s="293"/>
      <c r="M7" s="293"/>
      <c r="N7" s="293"/>
      <c r="O7" s="293"/>
      <c r="P7" s="293"/>
      <c r="Q7" s="300"/>
      <c r="R7" s="293"/>
      <c r="S7" s="248"/>
      <c r="T7" s="68">
        <f>IF($S$6="","",IF(COUNT(J7:R7)=0,"",IF(MAX(J7:R7)&gt;3,$I7,"")))</f>
      </c>
      <c r="U7" s="248"/>
      <c r="V7" s="251"/>
      <c r="W7" s="248"/>
      <c r="X7" s="248"/>
      <c r="Y7" s="262"/>
      <c r="Z7" s="262"/>
      <c r="AA7" s="248"/>
      <c r="AB7" s="248"/>
      <c r="AC7" s="246"/>
      <c r="AD7" s="248"/>
      <c r="AE7" s="262"/>
      <c r="AF7" s="262"/>
      <c r="AG7" s="248"/>
      <c r="AH7" s="255"/>
      <c r="AI7" s="255"/>
      <c r="AJ7" s="255"/>
    </row>
    <row r="8" spans="1:36" ht="14.5" customHeight="1" x14ac:dyDescent="0.35">
      <c r="A8" s="248"/>
      <c r="B8" s="248"/>
      <c r="C8" s="241"/>
      <c r="D8" s="241"/>
      <c r="E8" s="248"/>
      <c r="F8" s="246"/>
      <c r="G8" s="46" t="s">
        <v>206</v>
      </c>
      <c r="H8" s="293"/>
      <c r="I8" s="71" t="s">
        <v>118</v>
      </c>
      <c r="J8" s="293"/>
      <c r="K8" s="293"/>
      <c r="L8" s="293"/>
      <c r="M8" s="293"/>
      <c r="N8" s="293"/>
      <c r="O8" s="293"/>
      <c r="P8" s="293"/>
      <c r="Q8" s="300"/>
      <c r="R8" s="293"/>
      <c r="S8" s="248"/>
      <c r="T8" s="68">
        <f>IF($S$6="","",IF(COUNT(J8:R8)=0,"",IF(MAX(J8:R8)&gt;3,$I8,"")))</f>
      </c>
      <c r="U8" s="248"/>
      <c r="V8" s="251"/>
      <c r="W8" s="248"/>
      <c r="X8" s="248"/>
      <c r="Y8" s="262"/>
      <c r="Z8" s="262"/>
      <c r="AA8" s="248"/>
      <c r="AB8" s="248"/>
      <c r="AC8" s="246"/>
      <c r="AD8" s="248"/>
      <c r="AE8" s="262"/>
      <c r="AF8" s="262"/>
      <c r="AG8" s="248"/>
      <c r="AH8" s="255"/>
      <c r="AI8" s="255"/>
      <c r="AJ8" s="255"/>
    </row>
    <row r="9" spans="1:36" ht="14.5" customHeight="1" x14ac:dyDescent="0.35">
      <c r="A9" s="248"/>
      <c r="B9" s="248"/>
      <c r="C9" s="241"/>
      <c r="D9" s="241"/>
      <c r="E9" s="248"/>
      <c r="F9" s="246"/>
      <c r="G9" s="46" t="s">
        <v>207</v>
      </c>
      <c r="H9" s="293"/>
      <c r="I9" s="71" t="s">
        <v>119</v>
      </c>
      <c r="J9" s="293"/>
      <c r="K9" s="293"/>
      <c r="L9" s="293"/>
      <c r="M9" s="293"/>
      <c r="N9" s="293"/>
      <c r="O9" s="293"/>
      <c r="P9" s="293"/>
      <c r="Q9" s="300"/>
      <c r="R9" s="293"/>
      <c r="S9" s="248"/>
      <c r="T9" s="68">
        <f>IF($S$6="","",IF(COUNT(J9:R9)=0,"",IF(MAX(J9:R9)&gt;3,$I9,"")))</f>
      </c>
      <c r="U9" s="248"/>
      <c r="V9" s="251"/>
      <c r="W9" s="248"/>
      <c r="X9" s="248"/>
      <c r="Y9" s="262"/>
      <c r="Z9" s="262"/>
      <c r="AA9" s="248"/>
      <c r="AB9" s="248"/>
      <c r="AC9" s="246"/>
      <c r="AD9" s="248"/>
      <c r="AE9" s="262"/>
      <c r="AF9" s="262"/>
      <c r="AG9" s="248"/>
      <c r="AH9" s="255"/>
      <c r="AI9" s="255"/>
      <c r="AJ9" s="255"/>
    </row>
    <row r="10" spans="1:36" ht="14.5" customHeight="1" x14ac:dyDescent="0.35">
      <c r="A10" s="248"/>
      <c r="B10" s="248"/>
      <c r="C10" s="241"/>
      <c r="D10" s="241"/>
      <c r="E10" s="248"/>
      <c r="F10" s="246"/>
      <c r="G10" s="46" t="s">
        <v>161</v>
      </c>
      <c r="H10" s="293"/>
      <c r="I10" s="71" t="s">
        <v>120</v>
      </c>
      <c r="J10" s="293"/>
      <c r="K10" s="293"/>
      <c r="L10" s="293"/>
      <c r="M10" s="293"/>
      <c r="N10" s="293"/>
      <c r="O10" s="293"/>
      <c r="P10" s="293"/>
      <c r="Q10" s="300"/>
      <c r="R10" s="293"/>
      <c r="S10" s="248"/>
      <c r="T10" s="68">
        <f>IF($S$6="","",IF(COUNT(J10:R10)=0,"",IF(MAX(J10:R10)&gt;3,$I10,"")))</f>
      </c>
      <c r="U10" s="248"/>
      <c r="V10" s="251"/>
      <c r="W10" s="248"/>
      <c r="X10" s="248"/>
      <c r="Y10" s="262"/>
      <c r="Z10" s="262"/>
      <c r="AA10" s="248"/>
      <c r="AB10" s="248"/>
      <c r="AC10" s="246"/>
      <c r="AD10" s="248"/>
      <c r="AE10" s="262"/>
      <c r="AF10" s="262"/>
      <c r="AG10" s="248"/>
      <c r="AH10" s="255"/>
      <c r="AI10" s="255"/>
      <c r="AJ10" s="255"/>
    </row>
    <row r="11" spans="1:36" ht="14.5" customHeight="1" x14ac:dyDescent="0.35">
      <c r="A11" s="248"/>
      <c r="B11" s="248"/>
      <c r="C11" s="241"/>
      <c r="D11" s="241"/>
      <c r="E11" s="248"/>
      <c r="F11" s="246"/>
      <c r="G11" s="46" t="s">
        <v>208</v>
      </c>
      <c r="H11" s="293"/>
      <c r="I11" s="71" t="s">
        <v>121</v>
      </c>
      <c r="J11" s="293"/>
      <c r="K11" s="293"/>
      <c r="L11" s="293"/>
      <c r="M11" s="293"/>
      <c r="N11" s="293"/>
      <c r="O11" s="293"/>
      <c r="P11" s="293"/>
      <c r="Q11" s="300"/>
      <c r="R11" s="293"/>
      <c r="S11" s="248"/>
      <c r="T11" s="68">
        <f>IF($S$6="","",IF(COUNT(J11:R11)=0,"",IF(MAX(J11:R11)&gt;3,$I11,"")))</f>
      </c>
      <c r="U11" s="248"/>
      <c r="V11" s="251"/>
      <c r="W11" s="248"/>
      <c r="X11" s="248"/>
      <c r="Y11" s="262"/>
      <c r="Z11" s="262"/>
      <c r="AA11" s="248"/>
      <c r="AB11" s="248"/>
      <c r="AC11" s="246"/>
      <c r="AD11" s="248"/>
      <c r="AE11" s="262"/>
      <c r="AF11" s="262"/>
      <c r="AG11" s="248"/>
      <c r="AH11" s="255"/>
      <c r="AI11" s="255"/>
      <c r="AJ11" s="255"/>
    </row>
    <row r="12" spans="1:36" ht="14.5" customHeight="1" x14ac:dyDescent="0.35">
      <c r="A12" s="248"/>
      <c r="B12" s="248"/>
      <c r="C12" s="242"/>
      <c r="D12" s="242"/>
      <c r="E12" s="248"/>
      <c r="F12" s="246"/>
      <c r="G12" s="46" t="s">
        <v>209</v>
      </c>
      <c r="H12" s="293"/>
      <c r="I12" s="71" t="s">
        <v>122</v>
      </c>
      <c r="J12" s="293"/>
      <c r="K12" s="293"/>
      <c r="L12" s="293"/>
      <c r="M12" s="293"/>
      <c r="N12" s="293"/>
      <c r="O12" s="293"/>
      <c r="P12" s="293"/>
      <c r="Q12" s="300"/>
      <c r="R12" s="293"/>
      <c r="S12" s="248"/>
      <c r="T12" s="68">
        <f>IF($S$6="","",IF(COUNT(J12:R12)=0,"",IF(MAX(J12:R12)&gt;3,$I12,"")))</f>
      </c>
      <c r="U12" s="248"/>
      <c r="V12" s="251"/>
      <c r="W12" s="248"/>
      <c r="X12" s="248"/>
      <c r="Y12" s="262"/>
      <c r="Z12" s="262"/>
      <c r="AA12" s="248"/>
      <c r="AB12" s="248"/>
      <c r="AC12" s="246"/>
      <c r="AD12" s="248"/>
      <c r="AE12" s="262"/>
      <c r="AF12" s="262"/>
      <c r="AG12" s="248"/>
      <c r="AH12" s="255"/>
      <c r="AI12" s="255"/>
      <c r="AJ12" s="255"/>
    </row>
    <row r="13" spans="1:36" ht="14.5" customHeight="1" x14ac:dyDescent="0.35">
      <c r="A13" s="252">
        <v>2</v>
      </c>
      <c r="B13" s="264">
        <f>IF($E13="","","BIA-"&amp;TEXT(2,"000"))</f>
      </c>
      <c r="C13" s="240">
        <f>IFERROR(INDEX(BusinessUnits1,MATCH($A13,'04. Products &amp; Services'!$N$5:$N$49,0)),"")</f>
      </c>
      <c r="D13" s="240">
        <f>IFERROR(INDEX(DivisionSites,MATCH($A13,'04. Products &amp; Services'!$N$5:$N$49,0)),"")</f>
      </c>
      <c r="E13" s="253">
        <f>IFERROR(INDEX(ScopeNames,MATCH($A13,'04. Products &amp; Services'!$N$5:$N$49,0)),"")</f>
      </c>
      <c r="F13" s="265">
        <f>IF($E13="","",IFERROR(IF(INDEX(PS_ID,MATCH($E13,ScopeNames,0))="","",INDEX(PS_ID,MATCH($E13,ScopeNames,0))),""))</f>
      </c>
      <c r="G13" s="46" t="s">
        <v>205</v>
      </c>
      <c r="H13" s="293"/>
      <c r="I13" s="71" t="s">
        <v>116</v>
      </c>
      <c r="J13" s="293"/>
      <c r="K13" s="293"/>
      <c r="L13" s="293"/>
      <c r="M13" s="293"/>
      <c r="N13" s="293"/>
      <c r="O13" s="293"/>
      <c r="P13" s="293"/>
      <c r="Q13" s="293"/>
      <c r="R13" s="293"/>
      <c r="S13" s="257">
        <f>IF(COUNT(J13:R19)=0,"",MAX(J13:R19))</f>
      </c>
      <c r="T13" s="68">
        <f>IF($S$13="","",IF(COUNT(J13:R13)=0,"",IF(MAX(J13:R13)&gt;3,$I13,"")))</f>
      </c>
      <c r="U13" s="249">
        <f>IF($E13="","",IFERROR(IF(INDEX('04. Products &amp; Services'!$J$5:$J$49,MATCH($A13,'04. Products &amp; Services'!$N$5:$N$49,0))="","",INDEX('04. Products &amp; Services'!$J$5:$J$49,MATCH($A13,'04. Products &amp; Services'!$N$5:$N$49,0))),""))</f>
      </c>
      <c r="V13" s="299"/>
      <c r="W13" s="247">
        <f>IF($E13="","",IF(OR($U13="Yes",$V13="Yes"),"Yes",IF(AND($U13="No",$V13="No"),"No",IF(AND($U13="Under Evaluation",$V13="No"),"Under Evaluation",""))))</f>
      </c>
      <c r="X13" s="270">
        <f>IF($E13="","",IFERROR(IF(INDEX('04. Products &amp; Services'!$K$5:$K$49,MATCH($A13,'04. Products &amp; Services'!$N$5:$N$49,0))="","",INDEX('04. Products &amp; Services'!$K$5:$K$49,MATCH($A13,'04. Products &amp; Services'!$N$5:$N$49,0))),""))</f>
      </c>
      <c r="Y13" s="269"/>
      <c r="Z13" s="269"/>
      <c r="AA13" s="247">
        <f>IF($E13="","",IF(COUNT(J13:R19)=0,"",IF(MAX(J13:J19)&gt;=4,6,IF(MAX(K13:K19)&gt;=4,18,IF(MAX(L13:L19)&gt;=4,36,IF(MAX(M13:M19)&gt;=4,72,IF(MAX(N13:N19)&gt;=4,168,IF(MAX(O13:O19)&gt;=4,336,IF(MAX(P13:P19)&gt;=4,504,IF(MAX(Q13:Q19)&gt;=4,672,IF(MAX(R13:R19)&gt;=4,"","")))))))))))</f>
      </c>
      <c r="AB13" s="247">
        <f>IF($E13="","",IFERROR(IF(INDEX('04. Products &amp; Services'!$M$5:$M$49,MATCH($A13,'04. Products &amp; Services'!$N$5:$N$49,0))="","",INDEX('04. Products &amp; Services'!$M$5:$M$49,MATCH($A13,'04. Products &amp; Services'!$N$5:$N$49,0))),""))</f>
      </c>
      <c r="AC13" s="245"/>
      <c r="AD13" s="260">
        <f>IF(AC13="","",IF(ISNUMBER(AC13),AC13,IFERROR(VALUE(LEFT(TRIM(AC13),FIND(" ",TRIM(AC13))-1))*VLOOKUP(LEFT(LOWER(TRIM(MID(TRIM(AC13),FIND(" ",TRIM(AC13))+1,99))),3),DurationUnits,2,FALSE),"")))</f>
      </c>
      <c r="AE13" s="261"/>
      <c r="AF13" s="263"/>
      <c r="AG13" s="256">
        <f>IF($AF13="","",EDATE($AF13,12))</f>
      </c>
      <c r="AH13" s="254" cm="1">
        <f t="array" ref="AH13">IF($B13="","",_xlfn.LET(_xlpm.ids,'15. BCM Risk Register'!$A$6:$A$65,_xlpm.links,'15. BCM Risk Register'!$I$6:$I$65,_xlpm.hit,ISNUMBER(SEARCH(","&amp;$B13&amp;",",","&amp;SUBSTITUTE(_xlpm.links," ","")&amp;",")),IFERROR(_xlfn.TEXTJOIN(", ",TRUE,_xlfn.UNIQUE(_xlfn._xlws.FILTER(_xlpm.ids,_xlpm.hit*(_xlpm.ids&lt;&gt;"")))),"Not Created")))</f>
      </c>
      <c r="AI13" s="254" cm="1">
        <f t="array" ref="AI13">IF($B13="","",_xlfn.LET(_xlpm.ids,'15. BCM Risk Register'!$L$6:$L$65,_xlpm.links,'15. BCM Risk Register'!$I$6:$I$65,_xlpm.hit,ISNUMBER(SEARCH(","&amp;$B13&amp;",",","&amp;SUBSTITUTE(_xlpm.links," ","")&amp;",")),IFERROR(_xlfn.TEXTJOIN(", ",TRUE,_xlfn.UNIQUE(_xlfn._xlws.FILTER(_xlpm.ids,_xlpm.hit*(_xlpm.ids&lt;&gt;"")*(_xlpm.ids&lt;&gt;"Not Created")))),"Not Created")))</f>
      </c>
      <c r="AJ13" s="254" cm="1">
        <f t="array" ref="AJ13">IF($B13="","",_xlfn.LET(_xlpm.ids,'15. BCM Risk Register'!$K$6:$K$65,_xlpm.links,'15. BCM Risk Register'!$I$6:$I$65,_xlpm.hit,ISNUMBER(SEARCH(","&amp;$B13&amp;",",","&amp;SUBSTITUTE(_xlpm.links," ","")&amp;",")),IFERROR(_xlfn.TEXTJOIN(", ",TRUE,_xlfn.UNIQUE(_xlfn._xlws.FILTER(_xlpm.ids,_xlpm.hit*(_xlpm.ids&lt;&gt;"")*(_xlpm.ids&lt;&gt;"Not Created")))),"Not Created")))</f>
      </c>
    </row>
    <row r="14" spans="1:36" ht="14.5" customHeight="1" x14ac:dyDescent="0.35">
      <c r="A14" s="248"/>
      <c r="B14" s="248"/>
      <c r="C14" s="241"/>
      <c r="D14" s="241"/>
      <c r="E14" s="248"/>
      <c r="F14" s="246"/>
      <c r="G14" s="46" t="s">
        <v>160</v>
      </c>
      <c r="H14" s="293"/>
      <c r="I14" s="71" t="s">
        <v>117</v>
      </c>
      <c r="J14" s="293"/>
      <c r="K14" s="293"/>
      <c r="L14" s="293"/>
      <c r="M14" s="293"/>
      <c r="N14" s="293"/>
      <c r="O14" s="293"/>
      <c r="P14" s="293"/>
      <c r="Q14" s="293"/>
      <c r="R14" s="293"/>
      <c r="S14" s="258"/>
      <c r="T14" s="68">
        <f>IF($S$13="","",IF(COUNT(J14:R14)=0,"",IF(MAX(J14:R14)&gt;3,$I14,"")))</f>
      </c>
      <c r="U14" s="248"/>
      <c r="V14" s="251"/>
      <c r="W14" s="248"/>
      <c r="X14" s="248"/>
      <c r="Y14" s="262"/>
      <c r="Z14" s="262"/>
      <c r="AA14" s="248"/>
      <c r="AB14" s="248"/>
      <c r="AC14" s="246"/>
      <c r="AD14" s="248"/>
      <c r="AE14" s="262"/>
      <c r="AF14" s="262"/>
      <c r="AG14" s="248"/>
      <c r="AH14" s="255"/>
      <c r="AI14" s="255"/>
      <c r="AJ14" s="255"/>
    </row>
    <row r="15" spans="1:36" ht="14.5" customHeight="1" x14ac:dyDescent="0.35">
      <c r="A15" s="248"/>
      <c r="B15" s="248"/>
      <c r="C15" s="241"/>
      <c r="D15" s="241"/>
      <c r="E15" s="248"/>
      <c r="F15" s="246"/>
      <c r="G15" s="46" t="s">
        <v>206</v>
      </c>
      <c r="H15" s="293"/>
      <c r="I15" s="71" t="s">
        <v>118</v>
      </c>
      <c r="J15" s="293"/>
      <c r="K15" s="293"/>
      <c r="L15" s="293"/>
      <c r="M15" s="293"/>
      <c r="N15" s="293"/>
      <c r="O15" s="293"/>
      <c r="P15" s="293"/>
      <c r="Q15" s="293"/>
      <c r="R15" s="293"/>
      <c r="S15" s="258"/>
      <c r="T15" s="68">
        <f>IF($S$13="","",IF(COUNT(J15:R15)=0,"",IF(MAX(J15:R15)&gt;3,$I15,"")))</f>
      </c>
      <c r="U15" s="248"/>
      <c r="V15" s="251"/>
      <c r="W15" s="248"/>
      <c r="X15" s="248"/>
      <c r="Y15" s="262"/>
      <c r="Z15" s="262"/>
      <c r="AA15" s="248"/>
      <c r="AB15" s="248"/>
      <c r="AC15" s="246"/>
      <c r="AD15" s="248"/>
      <c r="AE15" s="262"/>
      <c r="AF15" s="262"/>
      <c r="AG15" s="248"/>
      <c r="AH15" s="255"/>
      <c r="AI15" s="255"/>
      <c r="AJ15" s="255"/>
    </row>
    <row r="16" spans="1:36" ht="14.5" customHeight="1" x14ac:dyDescent="0.35">
      <c r="A16" s="248"/>
      <c r="B16" s="248"/>
      <c r="C16" s="241"/>
      <c r="D16" s="241"/>
      <c r="E16" s="248"/>
      <c r="F16" s="246"/>
      <c r="G16" s="46" t="s">
        <v>207</v>
      </c>
      <c r="H16" s="293"/>
      <c r="I16" s="71" t="s">
        <v>119</v>
      </c>
      <c r="J16" s="293"/>
      <c r="K16" s="293"/>
      <c r="L16" s="293"/>
      <c r="M16" s="293"/>
      <c r="N16" s="293"/>
      <c r="O16" s="293"/>
      <c r="P16" s="293"/>
      <c r="Q16" s="293"/>
      <c r="R16" s="293"/>
      <c r="S16" s="258"/>
      <c r="T16" s="68">
        <f>IF($S$13="","",IF(COUNT(J16:R16)=0,"",IF(MAX(J16:R16)&gt;3,$I16,"")))</f>
      </c>
      <c r="U16" s="248"/>
      <c r="V16" s="251"/>
      <c r="W16" s="248"/>
      <c r="X16" s="248"/>
      <c r="Y16" s="262"/>
      <c r="Z16" s="262"/>
      <c r="AA16" s="248"/>
      <c r="AB16" s="248"/>
      <c r="AC16" s="246"/>
      <c r="AD16" s="248"/>
      <c r="AE16" s="262"/>
      <c r="AF16" s="262"/>
      <c r="AG16" s="248"/>
      <c r="AH16" s="255"/>
      <c r="AI16" s="255"/>
      <c r="AJ16" s="255"/>
    </row>
    <row r="17" spans="1:36" ht="14.5" customHeight="1" x14ac:dyDescent="0.35">
      <c r="A17" s="248"/>
      <c r="B17" s="248"/>
      <c r="C17" s="241"/>
      <c r="D17" s="241"/>
      <c r="E17" s="248"/>
      <c r="F17" s="246"/>
      <c r="G17" s="46" t="s">
        <v>161</v>
      </c>
      <c r="H17" s="293"/>
      <c r="I17" s="71" t="s">
        <v>120</v>
      </c>
      <c r="J17" s="293"/>
      <c r="K17" s="293"/>
      <c r="L17" s="293"/>
      <c r="M17" s="293"/>
      <c r="N17" s="293"/>
      <c r="O17" s="293"/>
      <c r="P17" s="293"/>
      <c r="Q17" s="293"/>
      <c r="R17" s="293"/>
      <c r="S17" s="258"/>
      <c r="T17" s="68">
        <f>IF($S$13="","",IF(COUNT(J17:R17)=0,"",IF(MAX(J17:R17)&gt;3,$I17,"")))</f>
      </c>
      <c r="U17" s="248"/>
      <c r="V17" s="251"/>
      <c r="W17" s="248"/>
      <c r="X17" s="248"/>
      <c r="Y17" s="262"/>
      <c r="Z17" s="262"/>
      <c r="AA17" s="248"/>
      <c r="AB17" s="248"/>
      <c r="AC17" s="246"/>
      <c r="AD17" s="248"/>
      <c r="AE17" s="262"/>
      <c r="AF17" s="262"/>
      <c r="AG17" s="248"/>
      <c r="AH17" s="255"/>
      <c r="AI17" s="255"/>
      <c r="AJ17" s="255"/>
    </row>
    <row r="18" spans="1:36" ht="14.5" customHeight="1" x14ac:dyDescent="0.35">
      <c r="A18" s="248"/>
      <c r="B18" s="248"/>
      <c r="C18" s="241"/>
      <c r="D18" s="241"/>
      <c r="E18" s="248"/>
      <c r="F18" s="246"/>
      <c r="G18" s="46" t="s">
        <v>208</v>
      </c>
      <c r="H18" s="293"/>
      <c r="I18" s="71" t="s">
        <v>121</v>
      </c>
      <c r="J18" s="293"/>
      <c r="K18" s="293"/>
      <c r="L18" s="293"/>
      <c r="M18" s="293"/>
      <c r="N18" s="293"/>
      <c r="O18" s="293"/>
      <c r="P18" s="293"/>
      <c r="Q18" s="293"/>
      <c r="R18" s="293"/>
      <c r="S18" s="258"/>
      <c r="T18" s="68">
        <f>IF($S$13="","",IF(COUNT(J18:R18)=0,"",IF(MAX(J18:R18)&gt;3,$I18,"")))</f>
      </c>
      <c r="U18" s="248"/>
      <c r="V18" s="251"/>
      <c r="W18" s="248"/>
      <c r="X18" s="248"/>
      <c r="Y18" s="262"/>
      <c r="Z18" s="262"/>
      <c r="AA18" s="248"/>
      <c r="AB18" s="248"/>
      <c r="AC18" s="246"/>
      <c r="AD18" s="248"/>
      <c r="AE18" s="262"/>
      <c r="AF18" s="262"/>
      <c r="AG18" s="248"/>
      <c r="AH18" s="255"/>
      <c r="AI18" s="255"/>
      <c r="AJ18" s="255"/>
    </row>
    <row r="19" spans="1:36" ht="14.5" customHeight="1" x14ac:dyDescent="0.35">
      <c r="A19" s="248"/>
      <c r="B19" s="248"/>
      <c r="C19" s="242"/>
      <c r="D19" s="242"/>
      <c r="E19" s="248"/>
      <c r="F19" s="246"/>
      <c r="G19" s="46" t="s">
        <v>209</v>
      </c>
      <c r="H19" s="293"/>
      <c r="I19" s="71" t="s">
        <v>122</v>
      </c>
      <c r="J19" s="293"/>
      <c r="K19" s="293"/>
      <c r="L19" s="293"/>
      <c r="M19" s="293"/>
      <c r="N19" s="293"/>
      <c r="O19" s="293"/>
      <c r="P19" s="293"/>
      <c r="Q19" s="293"/>
      <c r="R19" s="293"/>
      <c r="S19" s="259"/>
      <c r="T19" s="68">
        <f>IF($S$13="","",IF(COUNT(J19:R19)=0,"",IF(MAX(J19:R19)&gt;3,$I19,"")))</f>
      </c>
      <c r="U19" s="248"/>
      <c r="V19" s="251"/>
      <c r="W19" s="248"/>
      <c r="X19" s="248"/>
      <c r="Y19" s="262"/>
      <c r="Z19" s="262"/>
      <c r="AA19" s="248"/>
      <c r="AB19" s="248"/>
      <c r="AC19" s="246"/>
      <c r="AD19" s="248"/>
      <c r="AE19" s="262"/>
      <c r="AF19" s="262"/>
      <c r="AG19" s="248"/>
      <c r="AH19" s="255"/>
      <c r="AI19" s="255"/>
      <c r="AJ19" s="255"/>
    </row>
    <row r="20" spans="1:36" ht="14.5" customHeight="1" x14ac:dyDescent="0.35">
      <c r="A20" s="252">
        <v>3</v>
      </c>
      <c r="B20" s="264">
        <f>IF($E20="","","BIA-"&amp;TEXT(3,"000"))</f>
      </c>
      <c r="C20" s="240">
        <f>IFERROR(INDEX(BusinessUnits1,MATCH($A20,'04. Products &amp; Services'!$N$5:$N$49,0)),"")</f>
      </c>
      <c r="D20" s="240">
        <f>IFERROR(INDEX(DivisionSites,MATCH($A20,'04. Products &amp; Services'!$N$5:$N$49,0)),"")</f>
      </c>
      <c r="E20" s="253">
        <f>IFERROR(INDEX(ScopeNames,MATCH($A20,'04. Products &amp; Services'!$N$5:$N$49,0)),"")</f>
      </c>
      <c r="F20" s="265">
        <f>IF($E20="","",IFERROR(IF(INDEX(PS_ID,MATCH($E20,ScopeNames,0))="","",INDEX(PS_ID,MATCH($E20,ScopeNames,0))),""))</f>
      </c>
      <c r="G20" s="46" t="s">
        <v>205</v>
      </c>
      <c r="H20" s="293"/>
      <c r="I20" s="71" t="s">
        <v>116</v>
      </c>
      <c r="J20" s="293"/>
      <c r="K20" s="293"/>
      <c r="L20" s="293"/>
      <c r="M20" s="293"/>
      <c r="N20" s="293"/>
      <c r="O20" s="293"/>
      <c r="P20" s="293"/>
      <c r="Q20" s="293"/>
      <c r="R20" s="293"/>
      <c r="S20" s="257">
        <f>IF(COUNT(J20:R26)=0,"",MAX(J20:R26))</f>
      </c>
      <c r="T20" s="68">
        <f>IF($S$20="","",IF(COUNT(J20:R20)=0,"",IF(MAX(J20:R20)&gt;3,$I20,"")))</f>
      </c>
      <c r="U20" s="249">
        <f>IF($E20="","",IFERROR(IF(INDEX('04. Products &amp; Services'!$J$5:$J$49,MATCH($A20,'04. Products &amp; Services'!$N$5:$N$49,0))="","",INDEX('04. Products &amp; Services'!$J$5:$J$49,MATCH($A20,'04. Products &amp; Services'!$N$5:$N$49,0))),""))</f>
      </c>
      <c r="V20" s="299"/>
      <c r="W20" s="247">
        <f>IF($E20="","",IF(OR($U20="Yes",$V20="Yes"),"Yes",IF(AND($U20="No",$V20="No"),"No",IF(AND($U20="Under Evaluation",$V20="No"),"Under Evaluation",""))))</f>
      </c>
      <c r="X20" s="270">
        <f>IF($E20="","",IFERROR(IF(INDEX('04. Products &amp; Services'!$K$5:$K$49,MATCH($A20,'04. Products &amp; Services'!$N$5:$N$49,0))="","",INDEX('04. Products &amp; Services'!$K$5:$K$49,MATCH($A20,'04. Products &amp; Services'!$N$5:$N$49,0))),""))</f>
      </c>
      <c r="Y20" s="269"/>
      <c r="Z20" s="269"/>
      <c r="AA20" s="247">
        <f>IF($E20="","",IF(COUNT(J20:R26)=0,"",IF(MAX(J20:J26)&gt;=4,6,IF(MAX(K20:K26)&gt;=4,18,IF(MAX(L20:L26)&gt;=4,36,IF(MAX(M20:M26)&gt;=4,72,IF(MAX(N20:N26)&gt;=4,168,IF(MAX(O20:O26)&gt;=4,336,IF(MAX(P20:P26)&gt;=4,504,IF(MAX(Q20:Q26)&gt;=4,672,IF(MAX(R20:R26)&gt;=4,"","")))))))))))</f>
      </c>
      <c r="AB20" s="247">
        <f>IF($E20="","",IFERROR(IF(INDEX('04. Products &amp; Services'!$M$5:$M$49,MATCH($A20,'04. Products &amp; Services'!$N$5:$N$49,0))="","",INDEX('04. Products &amp; Services'!$M$5:$M$49,MATCH($A20,'04. Products &amp; Services'!$N$5:$N$49,0))),""))</f>
      </c>
      <c r="AC20" s="245"/>
      <c r="AD20" s="260">
        <f>IF(AC20="","",IF(ISNUMBER(AC20),AC20,IFERROR(VALUE(LEFT(TRIM(AC20),FIND(" ",TRIM(AC20))-1))*VLOOKUP(LEFT(LOWER(TRIM(MID(TRIM(AC20),FIND(" ",TRIM(AC20))+1,99))),3),DurationUnits,2,FALSE),"")))</f>
      </c>
      <c r="AE20" s="261"/>
      <c r="AF20" s="263"/>
      <c r="AG20" s="256">
        <f>IF($AF20="","",EDATE($AF20,12))</f>
      </c>
      <c r="AH20" s="254" cm="1">
        <f t="array" ref="AH20">IF($B20="","",_xlfn.LET(_xlpm.ids,'15. BCM Risk Register'!$A$6:$A$65,_xlpm.links,'15. BCM Risk Register'!$I$6:$I$65,_xlpm.hit,ISNUMBER(SEARCH(","&amp;$B20&amp;",",","&amp;SUBSTITUTE(_xlpm.links," ","")&amp;",")),IFERROR(_xlfn.TEXTJOIN(", ",TRUE,_xlfn.UNIQUE(_xlfn._xlws.FILTER(_xlpm.ids,_xlpm.hit*(_xlpm.ids&lt;&gt;"")))),"Not Created")))</f>
      </c>
      <c r="AI20" s="254" cm="1">
        <f t="array" ref="AI20">IF($B20="","",_xlfn.LET(_xlpm.ids,'15. BCM Risk Register'!$L$6:$L$65,_xlpm.links,'15. BCM Risk Register'!$I$6:$I$65,_xlpm.hit,ISNUMBER(SEARCH(","&amp;$B20&amp;",",","&amp;SUBSTITUTE(_xlpm.links," ","")&amp;",")),IFERROR(_xlfn.TEXTJOIN(", ",TRUE,_xlfn.UNIQUE(_xlfn._xlws.FILTER(_xlpm.ids,_xlpm.hit*(_xlpm.ids&lt;&gt;"")*(_xlpm.ids&lt;&gt;"Not Created")))),"Not Created")))</f>
      </c>
      <c r="AJ20" s="254" cm="1">
        <f t="array" ref="AJ20">IF($B20="","",_xlfn.LET(_xlpm.ids,'15. BCM Risk Register'!$K$6:$K$65,_xlpm.links,'15. BCM Risk Register'!$I$6:$I$65,_xlpm.hit,ISNUMBER(SEARCH(","&amp;$B20&amp;",",","&amp;SUBSTITUTE(_xlpm.links," ","")&amp;",")),IFERROR(_xlfn.TEXTJOIN(", ",TRUE,_xlfn.UNIQUE(_xlfn._xlws.FILTER(_xlpm.ids,_xlpm.hit*(_xlpm.ids&lt;&gt;"")*(_xlpm.ids&lt;&gt;"Not Created")))),"Not Created")))</f>
      </c>
    </row>
    <row r="21" spans="1:36" ht="14.5" customHeight="1" x14ac:dyDescent="0.35">
      <c r="A21" s="248"/>
      <c r="B21" s="248"/>
      <c r="C21" s="241"/>
      <c r="D21" s="241"/>
      <c r="E21" s="248"/>
      <c r="F21" s="246"/>
      <c r="G21" s="46" t="s">
        <v>160</v>
      </c>
      <c r="H21" s="293"/>
      <c r="I21" s="71" t="s">
        <v>117</v>
      </c>
      <c r="J21" s="293"/>
      <c r="K21" s="293"/>
      <c r="L21" s="293"/>
      <c r="M21" s="293"/>
      <c r="N21" s="293"/>
      <c r="O21" s="293"/>
      <c r="P21" s="293"/>
      <c r="Q21" s="293"/>
      <c r="R21" s="293"/>
      <c r="S21" s="258"/>
      <c r="T21" s="68">
        <f>IF($S$20="","",IF(COUNT(J21:R21)=0,"",IF(MAX(J21:R21)&gt;3,$I21,"")))</f>
      </c>
      <c r="U21" s="248"/>
      <c r="V21" s="251"/>
      <c r="W21" s="248"/>
      <c r="X21" s="248"/>
      <c r="Y21" s="262"/>
      <c r="Z21" s="262"/>
      <c r="AA21" s="248"/>
      <c r="AB21" s="248"/>
      <c r="AC21" s="246"/>
      <c r="AD21" s="248"/>
      <c r="AE21" s="262"/>
      <c r="AF21" s="262"/>
      <c r="AG21" s="248"/>
      <c r="AH21" s="255"/>
      <c r="AI21" s="255"/>
      <c r="AJ21" s="255"/>
    </row>
    <row r="22" spans="1:36" ht="14.5" customHeight="1" x14ac:dyDescent="0.35">
      <c r="A22" s="248"/>
      <c r="B22" s="248"/>
      <c r="C22" s="241"/>
      <c r="D22" s="241"/>
      <c r="E22" s="248"/>
      <c r="F22" s="246"/>
      <c r="G22" s="46" t="s">
        <v>206</v>
      </c>
      <c r="H22" s="293"/>
      <c r="I22" s="71" t="s">
        <v>118</v>
      </c>
      <c r="J22" s="293"/>
      <c r="K22" s="293"/>
      <c r="L22" s="293"/>
      <c r="M22" s="293"/>
      <c r="N22" s="293"/>
      <c r="O22" s="293"/>
      <c r="P22" s="293"/>
      <c r="Q22" s="293"/>
      <c r="R22" s="293"/>
      <c r="S22" s="258"/>
      <c r="T22" s="68">
        <f>IF($S$20="","",IF(COUNT(J22:R22)=0,"",IF(MAX(J22:R22)&gt;3,$I22,"")))</f>
      </c>
      <c r="U22" s="248"/>
      <c r="V22" s="251"/>
      <c r="W22" s="248"/>
      <c r="X22" s="248"/>
      <c r="Y22" s="262"/>
      <c r="Z22" s="262"/>
      <c r="AA22" s="248"/>
      <c r="AB22" s="248"/>
      <c r="AC22" s="246"/>
      <c r="AD22" s="248"/>
      <c r="AE22" s="262"/>
      <c r="AF22" s="262"/>
      <c r="AG22" s="248"/>
      <c r="AH22" s="255"/>
      <c r="AI22" s="255"/>
      <c r="AJ22" s="255"/>
    </row>
    <row r="23" spans="1:36" ht="14.5" customHeight="1" x14ac:dyDescent="0.35">
      <c r="A23" s="248"/>
      <c r="B23" s="248"/>
      <c r="C23" s="241"/>
      <c r="D23" s="241"/>
      <c r="E23" s="248"/>
      <c r="F23" s="246"/>
      <c r="G23" s="46" t="s">
        <v>207</v>
      </c>
      <c r="H23" s="293"/>
      <c r="I23" s="71" t="s">
        <v>119</v>
      </c>
      <c r="J23" s="293"/>
      <c r="K23" s="293"/>
      <c r="L23" s="293"/>
      <c r="M23" s="293"/>
      <c r="N23" s="293"/>
      <c r="O23" s="293"/>
      <c r="P23" s="293"/>
      <c r="Q23" s="293"/>
      <c r="R23" s="293"/>
      <c r="S23" s="258"/>
      <c r="T23" s="68">
        <f>IF($S$20="","",IF(COUNT(J23:R23)=0,"",IF(MAX(J23:R23)&gt;3,$I23,"")))</f>
      </c>
      <c r="U23" s="248"/>
      <c r="V23" s="251"/>
      <c r="W23" s="248"/>
      <c r="X23" s="248"/>
      <c r="Y23" s="262"/>
      <c r="Z23" s="262"/>
      <c r="AA23" s="248"/>
      <c r="AB23" s="248"/>
      <c r="AC23" s="246"/>
      <c r="AD23" s="248"/>
      <c r="AE23" s="262"/>
      <c r="AF23" s="262"/>
      <c r="AG23" s="248"/>
      <c r="AH23" s="255"/>
      <c r="AI23" s="255"/>
      <c r="AJ23" s="255"/>
    </row>
    <row r="24" spans="1:36" ht="14.5" customHeight="1" x14ac:dyDescent="0.35">
      <c r="A24" s="248"/>
      <c r="B24" s="248"/>
      <c r="C24" s="241"/>
      <c r="D24" s="241"/>
      <c r="E24" s="248"/>
      <c r="F24" s="246"/>
      <c r="G24" s="46" t="s">
        <v>161</v>
      </c>
      <c r="H24" s="293"/>
      <c r="I24" s="71" t="s">
        <v>120</v>
      </c>
      <c r="J24" s="293"/>
      <c r="K24" s="293"/>
      <c r="L24" s="293"/>
      <c r="M24" s="293"/>
      <c r="N24" s="293"/>
      <c r="O24" s="293"/>
      <c r="P24" s="293"/>
      <c r="Q24" s="293"/>
      <c r="R24" s="293"/>
      <c r="S24" s="258"/>
      <c r="T24" s="68">
        <f>IF($S$20="","",IF(COUNT(J24:R24)=0,"",IF(MAX(J24:R24)&gt;3,$I24,"")))</f>
      </c>
      <c r="U24" s="248"/>
      <c r="V24" s="251"/>
      <c r="W24" s="248"/>
      <c r="X24" s="248"/>
      <c r="Y24" s="262"/>
      <c r="Z24" s="262"/>
      <c r="AA24" s="248"/>
      <c r="AB24" s="248"/>
      <c r="AC24" s="246"/>
      <c r="AD24" s="248"/>
      <c r="AE24" s="262"/>
      <c r="AF24" s="262"/>
      <c r="AG24" s="248"/>
      <c r="AH24" s="255"/>
      <c r="AI24" s="255"/>
      <c r="AJ24" s="255"/>
    </row>
    <row r="25" spans="1:36" ht="14.5" customHeight="1" x14ac:dyDescent="0.35">
      <c r="A25" s="248"/>
      <c r="B25" s="248"/>
      <c r="C25" s="241"/>
      <c r="D25" s="241"/>
      <c r="E25" s="248"/>
      <c r="F25" s="246"/>
      <c r="G25" s="46" t="s">
        <v>208</v>
      </c>
      <c r="H25" s="293"/>
      <c r="I25" s="71" t="s">
        <v>121</v>
      </c>
      <c r="J25" s="293"/>
      <c r="K25" s="293"/>
      <c r="L25" s="293"/>
      <c r="M25" s="293"/>
      <c r="N25" s="293"/>
      <c r="O25" s="293"/>
      <c r="P25" s="293"/>
      <c r="Q25" s="293"/>
      <c r="R25" s="293"/>
      <c r="S25" s="258"/>
      <c r="T25" s="68">
        <f>IF($S$20="","",IF(COUNT(J25:R25)=0,"",IF(MAX(J25:R25)&gt;3,$I25,"")))</f>
      </c>
      <c r="U25" s="248"/>
      <c r="V25" s="251"/>
      <c r="W25" s="248"/>
      <c r="X25" s="248"/>
      <c r="Y25" s="262"/>
      <c r="Z25" s="262"/>
      <c r="AA25" s="248"/>
      <c r="AB25" s="248"/>
      <c r="AC25" s="246"/>
      <c r="AD25" s="248"/>
      <c r="AE25" s="262"/>
      <c r="AF25" s="262"/>
      <c r="AG25" s="248"/>
      <c r="AH25" s="255"/>
      <c r="AI25" s="255"/>
      <c r="AJ25" s="255"/>
    </row>
    <row r="26" spans="1:36" ht="14.5" customHeight="1" x14ac:dyDescent="0.35">
      <c r="A26" s="248"/>
      <c r="B26" s="248"/>
      <c r="C26" s="242"/>
      <c r="D26" s="242"/>
      <c r="E26" s="248"/>
      <c r="F26" s="246"/>
      <c r="G26" s="46" t="s">
        <v>209</v>
      </c>
      <c r="H26" s="293"/>
      <c r="I26" s="71" t="s">
        <v>122</v>
      </c>
      <c r="J26" s="293"/>
      <c r="K26" s="293"/>
      <c r="L26" s="293"/>
      <c r="M26" s="293"/>
      <c r="N26" s="293"/>
      <c r="O26" s="293"/>
      <c r="P26" s="293"/>
      <c r="Q26" s="293"/>
      <c r="R26" s="293"/>
      <c r="S26" s="259"/>
      <c r="T26" s="68">
        <f>IF($S$20="","",IF(COUNT(J26:R26)=0,"",IF(MAX(J26:R26)&gt;3,$I26,"")))</f>
      </c>
      <c r="U26" s="248"/>
      <c r="V26" s="251"/>
      <c r="W26" s="248"/>
      <c r="X26" s="248"/>
      <c r="Y26" s="262"/>
      <c r="Z26" s="262"/>
      <c r="AA26" s="248"/>
      <c r="AB26" s="248"/>
      <c r="AC26" s="246"/>
      <c r="AD26" s="248"/>
      <c r="AE26" s="262"/>
      <c r="AF26" s="262"/>
      <c r="AG26" s="248"/>
      <c r="AH26" s="255"/>
      <c r="AI26" s="255"/>
      <c r="AJ26" s="255"/>
    </row>
    <row r="27" spans="1:36" ht="14.5" customHeight="1" x14ac:dyDescent="0.35">
      <c r="A27" s="252">
        <v>4</v>
      </c>
      <c r="B27" s="264">
        <f>IF($E27="","","BIA-"&amp;TEXT(4,"000"))</f>
      </c>
      <c r="C27" s="240">
        <f>IFERROR(INDEX(BusinessUnits1,MATCH($A27,'04. Products &amp; Services'!$N$5:$N$49,0)),"")</f>
      </c>
      <c r="D27" s="240">
        <f>IFERROR(INDEX(DivisionSites,MATCH($A27,'04. Products &amp; Services'!$N$5:$N$49,0)),"")</f>
      </c>
      <c r="E27" s="253">
        <f>IFERROR(INDEX(ScopeNames,MATCH($A27,'04. Products &amp; Services'!$N$5:$N$49,0)),"")</f>
      </c>
      <c r="F27" s="265">
        <f>IF($E27="","",IFERROR(IF(INDEX(PS_ID,MATCH($E27,ScopeNames,0))="","",INDEX(PS_ID,MATCH($E27,ScopeNames,0))),""))</f>
      </c>
      <c r="G27" s="46" t="s">
        <v>205</v>
      </c>
      <c r="H27" s="293"/>
      <c r="I27" s="71" t="s">
        <v>116</v>
      </c>
      <c r="J27" s="293"/>
      <c r="K27" s="293"/>
      <c r="L27" s="293"/>
      <c r="M27" s="293"/>
      <c r="N27" s="293"/>
      <c r="O27" s="293"/>
      <c r="P27" s="293"/>
      <c r="Q27" s="293"/>
      <c r="R27" s="293"/>
      <c r="S27" s="257">
        <f>IF(COUNT(J27:R33)=0,"",MAX(J27:R33))</f>
      </c>
      <c r="T27" s="68">
        <f>IF($S$27="","",IF(COUNT(J27:R27)=0,"",IF(MAX(J27:R27)&gt;3,$I27,"")))</f>
      </c>
      <c r="U27" s="249">
        <f>IF($E27="","",IFERROR(IF(INDEX('04. Products &amp; Services'!$J$5:$J$49,MATCH($A27,'04. Products &amp; Services'!$N$5:$N$49,0))="","",INDEX('04. Products &amp; Services'!$J$5:$J$49,MATCH($A27,'04. Products &amp; Services'!$N$5:$N$49,0))),""))</f>
      </c>
      <c r="V27" s="299"/>
      <c r="W27" s="247">
        <f>IF($E27="","",IF(OR($U27="Yes",$V27="Yes"),"Yes",IF(AND($U27="No",$V27="No"),"No",IF(AND($U27="Under Evaluation",$V27="No"),"Under Evaluation",""))))</f>
      </c>
      <c r="X27" s="270">
        <f>IF($E27="","",IFERROR(IF(INDEX('04. Products &amp; Services'!$K$5:$K$49,MATCH($A27,'04. Products &amp; Services'!$N$5:$N$49,0))="","",INDEX('04. Products &amp; Services'!$K$5:$K$49,MATCH($A27,'04. Products &amp; Services'!$N$5:$N$49,0))),""))</f>
      </c>
      <c r="Y27" s="269"/>
      <c r="Z27" s="269"/>
      <c r="AA27" s="247">
        <f>IF($E27="","",IF(COUNT(J27:R33)=0,"",IF(MAX(J27:J33)&gt;=4,6,IF(MAX(K27:K33)&gt;=4,18,IF(MAX(L27:L33)&gt;=4,36,IF(MAX(M27:M33)&gt;=4,72,IF(MAX(N27:N33)&gt;=4,168,IF(MAX(O27:O33)&gt;=4,336,IF(MAX(P27:P33)&gt;=4,504,IF(MAX(Q27:Q33)&gt;=4,672,IF(MAX(R27:R33)&gt;=4,"","")))))))))))</f>
      </c>
      <c r="AB27" s="247">
        <f>IF($E27="","",IFERROR(IF(INDEX('04. Products &amp; Services'!$M$5:$M$49,MATCH($A27,'04. Products &amp; Services'!$N$5:$N$49,0))="","",INDEX('04. Products &amp; Services'!$M$5:$M$49,MATCH($A27,'04. Products &amp; Services'!$N$5:$N$49,0))),""))</f>
      </c>
      <c r="AC27" s="245"/>
      <c r="AD27" s="260">
        <f>IF(AC27="","",IF(ISNUMBER(AC27),AC27,IFERROR(VALUE(LEFT(TRIM(AC27),FIND(" ",TRIM(AC27))-1))*VLOOKUP(LEFT(LOWER(TRIM(MID(TRIM(AC27),FIND(" ",TRIM(AC27))+1,99))),3),DurationUnits,2,FALSE),"")))</f>
      </c>
      <c r="AE27" s="261"/>
      <c r="AF27" s="263"/>
      <c r="AG27" s="256">
        <f>IF($AF27="","",EDATE($AF27,12))</f>
      </c>
      <c r="AH27" s="254" cm="1">
        <f t="array" ref="AH27">IF($B27="","",_xlfn.LET(_xlpm.ids,'15. BCM Risk Register'!$A$6:$A$65,_xlpm.links,'15. BCM Risk Register'!$I$6:$I$65,_xlpm.hit,ISNUMBER(SEARCH(","&amp;$B27&amp;",",","&amp;SUBSTITUTE(_xlpm.links," ","")&amp;",")),IFERROR(_xlfn.TEXTJOIN(", ",TRUE,_xlfn.UNIQUE(_xlfn._xlws.FILTER(_xlpm.ids,_xlpm.hit*(_xlpm.ids&lt;&gt;"")))),"Not Created")))</f>
      </c>
      <c r="AI27" s="254" cm="1">
        <f t="array" ref="AI27">IF($B27="","",_xlfn.LET(_xlpm.ids,'15. BCM Risk Register'!$L$6:$L$65,_xlpm.links,'15. BCM Risk Register'!$I$6:$I$65,_xlpm.hit,ISNUMBER(SEARCH(","&amp;$B27&amp;",",","&amp;SUBSTITUTE(_xlpm.links," ","")&amp;",")),IFERROR(_xlfn.TEXTJOIN(", ",TRUE,_xlfn.UNIQUE(_xlfn._xlws.FILTER(_xlpm.ids,_xlpm.hit*(_xlpm.ids&lt;&gt;"")*(_xlpm.ids&lt;&gt;"Not Created")))),"Not Created")))</f>
      </c>
      <c r="AJ27" s="254" cm="1">
        <f t="array" ref="AJ27">IF($B27="","",_xlfn.LET(_xlpm.ids,'15. BCM Risk Register'!$K$6:$K$65,_xlpm.links,'15. BCM Risk Register'!$I$6:$I$65,_xlpm.hit,ISNUMBER(SEARCH(","&amp;$B27&amp;",",","&amp;SUBSTITUTE(_xlpm.links," ","")&amp;",")),IFERROR(_xlfn.TEXTJOIN(", ",TRUE,_xlfn.UNIQUE(_xlfn._xlws.FILTER(_xlpm.ids,_xlpm.hit*(_xlpm.ids&lt;&gt;"")*(_xlpm.ids&lt;&gt;"Not Created")))),"Not Created")))</f>
      </c>
    </row>
    <row r="28" spans="1:36" ht="14.5" customHeight="1" x14ac:dyDescent="0.35">
      <c r="A28" s="248"/>
      <c r="B28" s="248"/>
      <c r="C28" s="241"/>
      <c r="D28" s="241"/>
      <c r="E28" s="248"/>
      <c r="F28" s="246"/>
      <c r="G28" s="46" t="s">
        <v>160</v>
      </c>
      <c r="H28" s="293"/>
      <c r="I28" s="71" t="s">
        <v>117</v>
      </c>
      <c r="J28" s="293"/>
      <c r="K28" s="293"/>
      <c r="L28" s="293"/>
      <c r="M28" s="293"/>
      <c r="N28" s="293"/>
      <c r="O28" s="293"/>
      <c r="P28" s="293"/>
      <c r="Q28" s="293"/>
      <c r="R28" s="293"/>
      <c r="S28" s="258"/>
      <c r="T28" s="68">
        <f>IF($S$27="","",IF(COUNT(J28:R28)=0,"",IF(MAX(J28:R28)&gt;3,$I28,"")))</f>
      </c>
      <c r="U28" s="248"/>
      <c r="V28" s="251"/>
      <c r="W28" s="248"/>
      <c r="X28" s="248"/>
      <c r="Y28" s="262"/>
      <c r="Z28" s="262"/>
      <c r="AA28" s="248"/>
      <c r="AB28" s="248"/>
      <c r="AC28" s="246"/>
      <c r="AD28" s="248"/>
      <c r="AE28" s="262"/>
      <c r="AF28" s="262"/>
      <c r="AG28" s="248"/>
      <c r="AH28" s="255"/>
      <c r="AI28" s="255"/>
      <c r="AJ28" s="255"/>
    </row>
    <row r="29" spans="1:36" ht="14.5" customHeight="1" x14ac:dyDescent="0.35">
      <c r="A29" s="248"/>
      <c r="B29" s="248"/>
      <c r="C29" s="241"/>
      <c r="D29" s="241"/>
      <c r="E29" s="248"/>
      <c r="F29" s="246"/>
      <c r="G29" s="46" t="s">
        <v>206</v>
      </c>
      <c r="H29" s="293"/>
      <c r="I29" s="71" t="s">
        <v>118</v>
      </c>
      <c r="J29" s="293"/>
      <c r="K29" s="293"/>
      <c r="L29" s="293"/>
      <c r="M29" s="293"/>
      <c r="N29" s="293"/>
      <c r="O29" s="293"/>
      <c r="P29" s="293"/>
      <c r="Q29" s="293"/>
      <c r="R29" s="293"/>
      <c r="S29" s="258"/>
      <c r="T29" s="68">
        <f>IF($S$27="","",IF(COUNT(J29:R29)=0,"",IF(MAX(J29:R29)&gt;3,$I29,"")))</f>
      </c>
      <c r="U29" s="248"/>
      <c r="V29" s="251"/>
      <c r="W29" s="248"/>
      <c r="X29" s="248"/>
      <c r="Y29" s="262"/>
      <c r="Z29" s="262"/>
      <c r="AA29" s="248"/>
      <c r="AB29" s="248"/>
      <c r="AC29" s="246"/>
      <c r="AD29" s="248"/>
      <c r="AE29" s="262"/>
      <c r="AF29" s="262"/>
      <c r="AG29" s="248"/>
      <c r="AH29" s="255"/>
      <c r="AI29" s="255"/>
      <c r="AJ29" s="255"/>
    </row>
    <row r="30" spans="1:36" ht="14.5" customHeight="1" x14ac:dyDescent="0.35">
      <c r="A30" s="248"/>
      <c r="B30" s="248"/>
      <c r="C30" s="241"/>
      <c r="D30" s="241"/>
      <c r="E30" s="248"/>
      <c r="F30" s="246"/>
      <c r="G30" s="46" t="s">
        <v>207</v>
      </c>
      <c r="H30" s="293"/>
      <c r="I30" s="71" t="s">
        <v>119</v>
      </c>
      <c r="J30" s="293"/>
      <c r="K30" s="293"/>
      <c r="L30" s="293"/>
      <c r="M30" s="293"/>
      <c r="N30" s="293"/>
      <c r="O30" s="293"/>
      <c r="P30" s="293"/>
      <c r="Q30" s="293"/>
      <c r="R30" s="293"/>
      <c r="S30" s="258"/>
      <c r="T30" s="68">
        <f>IF($S$27="","",IF(COUNT(J30:R30)=0,"",IF(MAX(J30:R30)&gt;3,$I30,"")))</f>
      </c>
      <c r="U30" s="248"/>
      <c r="V30" s="251"/>
      <c r="W30" s="248"/>
      <c r="X30" s="248"/>
      <c r="Y30" s="262"/>
      <c r="Z30" s="262"/>
      <c r="AA30" s="248"/>
      <c r="AB30" s="248"/>
      <c r="AC30" s="246"/>
      <c r="AD30" s="248"/>
      <c r="AE30" s="262"/>
      <c r="AF30" s="262"/>
      <c r="AG30" s="248"/>
      <c r="AH30" s="255"/>
      <c r="AI30" s="255"/>
      <c r="AJ30" s="255"/>
    </row>
    <row r="31" spans="1:36" ht="14.5" customHeight="1" x14ac:dyDescent="0.35">
      <c r="A31" s="248"/>
      <c r="B31" s="248"/>
      <c r="C31" s="241"/>
      <c r="D31" s="241"/>
      <c r="E31" s="248"/>
      <c r="F31" s="246"/>
      <c r="G31" s="46" t="s">
        <v>161</v>
      </c>
      <c r="H31" s="293"/>
      <c r="I31" s="71" t="s">
        <v>120</v>
      </c>
      <c r="J31" s="293"/>
      <c r="K31" s="293"/>
      <c r="L31" s="293"/>
      <c r="M31" s="293"/>
      <c r="N31" s="293"/>
      <c r="O31" s="293"/>
      <c r="P31" s="293"/>
      <c r="Q31" s="293"/>
      <c r="R31" s="293"/>
      <c r="S31" s="258"/>
      <c r="T31" s="68">
        <f>IF($S$27="","",IF(COUNT(J31:R31)=0,"",IF(MAX(J31:R31)&gt;3,$I31,"")))</f>
      </c>
      <c r="U31" s="248"/>
      <c r="V31" s="251"/>
      <c r="W31" s="248"/>
      <c r="X31" s="248"/>
      <c r="Y31" s="262"/>
      <c r="Z31" s="262"/>
      <c r="AA31" s="248"/>
      <c r="AB31" s="248"/>
      <c r="AC31" s="246"/>
      <c r="AD31" s="248"/>
      <c r="AE31" s="262"/>
      <c r="AF31" s="262"/>
      <c r="AG31" s="248"/>
      <c r="AH31" s="255"/>
      <c r="AI31" s="255"/>
      <c r="AJ31" s="255"/>
    </row>
    <row r="32" spans="1:36" ht="14.5" customHeight="1" x14ac:dyDescent="0.35">
      <c r="A32" s="248"/>
      <c r="B32" s="248"/>
      <c r="C32" s="241"/>
      <c r="D32" s="241"/>
      <c r="E32" s="248"/>
      <c r="F32" s="246"/>
      <c r="G32" s="46" t="s">
        <v>208</v>
      </c>
      <c r="H32" s="293"/>
      <c r="I32" s="71" t="s">
        <v>121</v>
      </c>
      <c r="J32" s="293"/>
      <c r="K32" s="293"/>
      <c r="L32" s="293"/>
      <c r="M32" s="293"/>
      <c r="N32" s="293"/>
      <c r="O32" s="293"/>
      <c r="P32" s="293"/>
      <c r="Q32" s="293"/>
      <c r="R32" s="293"/>
      <c r="S32" s="258"/>
      <c r="T32" s="68">
        <f>IF($S$27="","",IF(COUNT(J32:R32)=0,"",IF(MAX(J32:R32)&gt;3,$I32,"")))</f>
      </c>
      <c r="U32" s="248"/>
      <c r="V32" s="251"/>
      <c r="W32" s="248"/>
      <c r="X32" s="248"/>
      <c r="Y32" s="262"/>
      <c r="Z32" s="262"/>
      <c r="AA32" s="248"/>
      <c r="AB32" s="248"/>
      <c r="AC32" s="246"/>
      <c r="AD32" s="248"/>
      <c r="AE32" s="262"/>
      <c r="AF32" s="262"/>
      <c r="AG32" s="248"/>
      <c r="AH32" s="255"/>
      <c r="AI32" s="255"/>
      <c r="AJ32" s="255"/>
    </row>
    <row r="33" spans="1:36" ht="14.5" customHeight="1" x14ac:dyDescent="0.35">
      <c r="A33" s="248"/>
      <c r="B33" s="248"/>
      <c r="C33" s="242"/>
      <c r="D33" s="242"/>
      <c r="E33" s="248"/>
      <c r="F33" s="246"/>
      <c r="G33" s="46" t="s">
        <v>209</v>
      </c>
      <c r="H33" s="293"/>
      <c r="I33" s="71" t="s">
        <v>122</v>
      </c>
      <c r="J33" s="293"/>
      <c r="K33" s="293"/>
      <c r="L33" s="293"/>
      <c r="M33" s="293"/>
      <c r="N33" s="293"/>
      <c r="O33" s="293"/>
      <c r="P33" s="293"/>
      <c r="Q33" s="293"/>
      <c r="R33" s="293"/>
      <c r="S33" s="259"/>
      <c r="T33" s="68">
        <f>IF($S$27="","",IF(COUNT(J33:R33)=0,"",IF(MAX(J33:R33)&gt;3,$I33,"")))</f>
      </c>
      <c r="U33" s="248"/>
      <c r="V33" s="251"/>
      <c r="W33" s="248"/>
      <c r="X33" s="248"/>
      <c r="Y33" s="262"/>
      <c r="Z33" s="262"/>
      <c r="AA33" s="248"/>
      <c r="AB33" s="248"/>
      <c r="AC33" s="246"/>
      <c r="AD33" s="248"/>
      <c r="AE33" s="262"/>
      <c r="AF33" s="262"/>
      <c r="AG33" s="248"/>
      <c r="AH33" s="255"/>
      <c r="AI33" s="255"/>
      <c r="AJ33" s="255"/>
    </row>
    <row r="34" spans="1:36" ht="14.5" customHeight="1" x14ac:dyDescent="0.35">
      <c r="A34" s="252">
        <v>5</v>
      </c>
      <c r="B34" s="264">
        <f>IF($E34="","","BIA-"&amp;TEXT(5,"000"))</f>
      </c>
      <c r="C34" s="240">
        <f>IFERROR(INDEX(BusinessUnits1,MATCH($A34,'04. Products &amp; Services'!$N$5:$N$49,0)),"")</f>
      </c>
      <c r="D34" s="240">
        <f>IFERROR(INDEX(DivisionSites,MATCH($A34,'04. Products &amp; Services'!$N$5:$N$49,0)),"")</f>
      </c>
      <c r="E34" s="253">
        <f>IFERROR(INDEX(ScopeNames,MATCH($A34,'04. Products &amp; Services'!$N$5:$N$49,0)),"")</f>
      </c>
      <c r="F34" s="265">
        <f>IF($E34="","",IFERROR(IF(INDEX(PS_ID,MATCH($E34,ScopeNames,0))="","",INDEX(PS_ID,MATCH($E34,ScopeNames,0))),""))</f>
      </c>
      <c r="G34" s="46" t="s">
        <v>205</v>
      </c>
      <c r="H34" s="293"/>
      <c r="I34" s="71" t="s">
        <v>116</v>
      </c>
      <c r="J34" s="293"/>
      <c r="K34" s="293"/>
      <c r="L34" s="293"/>
      <c r="M34" s="293"/>
      <c r="N34" s="293"/>
      <c r="O34" s="293"/>
      <c r="P34" s="293"/>
      <c r="Q34" s="293"/>
      <c r="R34" s="293"/>
      <c r="S34" s="257">
        <f>IF(COUNT(J34:R40)=0,"",MAX(J34:R40))</f>
      </c>
      <c r="T34" s="68">
        <f>IF($S$34="","",IF(COUNT(J34:R34)=0,"",IF(MAX(J34:R34)&gt;3,$I34,"")))</f>
      </c>
      <c r="U34" s="249">
        <f>IF($E34="","",IFERROR(IF(INDEX('04. Products &amp; Services'!$J$5:$J$49,MATCH($A34,'04. Products &amp; Services'!$N$5:$N$49,0))="","",INDEX('04. Products &amp; Services'!$J$5:$J$49,MATCH($A34,'04. Products &amp; Services'!$N$5:$N$49,0))),""))</f>
      </c>
      <c r="V34" s="299"/>
      <c r="W34" s="247">
        <f>IF($E34="","",IF(OR($U34="Yes",$V34="Yes"),"Yes",IF(AND($U34="No",$V34="No"),"No",IF(AND($U34="Under Evaluation",$V34="No"),"Under Evaluation",""))))</f>
      </c>
      <c r="X34" s="270">
        <f>IF($E34="","",IFERROR(IF(INDEX('04. Products &amp; Services'!$K$5:$K$49,MATCH($A34,'04. Products &amp; Services'!$N$5:$N$49,0))="","",INDEX('04. Products &amp; Services'!$K$5:$K$49,MATCH($A34,'04. Products &amp; Services'!$N$5:$N$49,0))),""))</f>
      </c>
      <c r="Y34" s="269"/>
      <c r="Z34" s="269"/>
      <c r="AA34" s="247">
        <f>IF($E34="","",IF(COUNT(J34:R40)=0,"",IF(MAX(J34:J40)&gt;=4,6,IF(MAX(K34:K40)&gt;=4,18,IF(MAX(L34:L40)&gt;=4,36,IF(MAX(M34:M40)&gt;=4,72,IF(MAX(N34:N40)&gt;=4,168,IF(MAX(O34:O40)&gt;=4,336,IF(MAX(P34:P40)&gt;=4,504,IF(MAX(Q34:Q40)&gt;=4,672,IF(MAX(R34:R40)&gt;=4,"","")))))))))))</f>
      </c>
      <c r="AB34" s="247">
        <f>IF($E34="","",IFERROR(IF(INDEX('04. Products &amp; Services'!$M$5:$M$49,MATCH($A34,'04. Products &amp; Services'!$N$5:$N$49,0))="","",INDEX('04. Products &amp; Services'!$M$5:$M$49,MATCH($A34,'04. Products &amp; Services'!$N$5:$N$49,0))),""))</f>
      </c>
      <c r="AC34" s="245"/>
      <c r="AD34" s="260">
        <f>IF(AC34="","",IF(ISNUMBER(AC34),AC34,IFERROR(VALUE(LEFT(TRIM(AC34),FIND(" ",TRIM(AC34))-1))*VLOOKUP(LEFT(LOWER(TRIM(MID(TRIM(AC34),FIND(" ",TRIM(AC34))+1,99))),3),DurationUnits,2,FALSE),"")))</f>
      </c>
      <c r="AE34" s="261"/>
      <c r="AF34" s="263"/>
      <c r="AG34" s="256">
        <f>IF($AF34="","",EDATE($AF34,12))</f>
      </c>
      <c r="AH34" s="254" cm="1">
        <f t="array" ref="AH34">IF($B34="","",_xlfn.LET(_xlpm.ids,'15. BCM Risk Register'!$A$6:$A$65,_xlpm.links,'15. BCM Risk Register'!$I$6:$I$65,_xlpm.hit,ISNUMBER(SEARCH(","&amp;$B34&amp;",",","&amp;SUBSTITUTE(_xlpm.links," ","")&amp;",")),IFERROR(_xlfn.TEXTJOIN(", ",TRUE,_xlfn.UNIQUE(_xlfn._xlws.FILTER(_xlpm.ids,_xlpm.hit*(_xlpm.ids&lt;&gt;"")))),"Not Created")))</f>
      </c>
      <c r="AI34" s="254" cm="1">
        <f t="array" ref="AI34">IF($B34="","",_xlfn.LET(_xlpm.ids,'15. BCM Risk Register'!$L$6:$L$65,_xlpm.links,'15. BCM Risk Register'!$I$6:$I$65,_xlpm.hit,ISNUMBER(SEARCH(","&amp;$B34&amp;",",","&amp;SUBSTITUTE(_xlpm.links," ","")&amp;",")),IFERROR(_xlfn.TEXTJOIN(", ",TRUE,_xlfn.UNIQUE(_xlfn._xlws.FILTER(_xlpm.ids,_xlpm.hit*(_xlpm.ids&lt;&gt;"")*(_xlpm.ids&lt;&gt;"Not Created")))),"Not Created")))</f>
      </c>
      <c r="AJ34" s="254" cm="1">
        <f t="array" ref="AJ34">IF($B34="","",_xlfn.LET(_xlpm.ids,'15. BCM Risk Register'!$K$6:$K$65,_xlpm.links,'15. BCM Risk Register'!$I$6:$I$65,_xlpm.hit,ISNUMBER(SEARCH(","&amp;$B34&amp;",",","&amp;SUBSTITUTE(_xlpm.links," ","")&amp;",")),IFERROR(_xlfn.TEXTJOIN(", ",TRUE,_xlfn.UNIQUE(_xlfn._xlws.FILTER(_xlpm.ids,_xlpm.hit*(_xlpm.ids&lt;&gt;"")*(_xlpm.ids&lt;&gt;"Not Created")))),"Not Created")))</f>
      </c>
    </row>
    <row r="35" spans="1:36" ht="14.5" customHeight="1" x14ac:dyDescent="0.35">
      <c r="A35" s="248"/>
      <c r="B35" s="248"/>
      <c r="C35" s="241"/>
      <c r="D35" s="241"/>
      <c r="E35" s="248"/>
      <c r="F35" s="246"/>
      <c r="G35" s="46" t="s">
        <v>160</v>
      </c>
      <c r="H35" s="293"/>
      <c r="I35" s="71" t="s">
        <v>117</v>
      </c>
      <c r="J35" s="293"/>
      <c r="K35" s="293"/>
      <c r="L35" s="293"/>
      <c r="M35" s="293"/>
      <c r="N35" s="293"/>
      <c r="O35" s="293"/>
      <c r="P35" s="293"/>
      <c r="Q35" s="293"/>
      <c r="R35" s="293"/>
      <c r="S35" s="258"/>
      <c r="T35" s="68">
        <f>IF($S$34="","",IF(COUNT(J35:R35)=0,"",IF(MAX(J35:R35)&gt;3,$I35,"")))</f>
      </c>
      <c r="U35" s="248"/>
      <c r="V35" s="251"/>
      <c r="W35" s="248"/>
      <c r="X35" s="248"/>
      <c r="Y35" s="262"/>
      <c r="Z35" s="262"/>
      <c r="AA35" s="248"/>
      <c r="AB35" s="248"/>
      <c r="AC35" s="246"/>
      <c r="AD35" s="248"/>
      <c r="AE35" s="262"/>
      <c r="AF35" s="262"/>
      <c r="AG35" s="248"/>
      <c r="AH35" s="255"/>
      <c r="AI35" s="255"/>
      <c r="AJ35" s="255"/>
    </row>
    <row r="36" spans="1:36" ht="14.5" customHeight="1" x14ac:dyDescent="0.35">
      <c r="A36" s="248"/>
      <c r="B36" s="248"/>
      <c r="C36" s="241"/>
      <c r="D36" s="241"/>
      <c r="E36" s="248"/>
      <c r="F36" s="246"/>
      <c r="G36" s="46" t="s">
        <v>206</v>
      </c>
      <c r="H36" s="293"/>
      <c r="I36" s="71" t="s">
        <v>118</v>
      </c>
      <c r="J36" s="293"/>
      <c r="K36" s="293"/>
      <c r="L36" s="293"/>
      <c r="M36" s="293"/>
      <c r="N36" s="293"/>
      <c r="O36" s="293"/>
      <c r="P36" s="293"/>
      <c r="Q36" s="293"/>
      <c r="R36" s="293"/>
      <c r="S36" s="258"/>
      <c r="T36" s="68">
        <f>IF($S$34="","",IF(COUNT(J36:R36)=0,"",IF(MAX(J36:R36)&gt;3,$I36,"")))</f>
      </c>
      <c r="U36" s="248"/>
      <c r="V36" s="251"/>
      <c r="W36" s="248"/>
      <c r="X36" s="248"/>
      <c r="Y36" s="262"/>
      <c r="Z36" s="262"/>
      <c r="AA36" s="248"/>
      <c r="AB36" s="248"/>
      <c r="AC36" s="246"/>
      <c r="AD36" s="248"/>
      <c r="AE36" s="262"/>
      <c r="AF36" s="262"/>
      <c r="AG36" s="248"/>
      <c r="AH36" s="255"/>
      <c r="AI36" s="255"/>
      <c r="AJ36" s="255"/>
    </row>
    <row r="37" spans="1:36" ht="14.5" customHeight="1" x14ac:dyDescent="0.35">
      <c r="A37" s="248"/>
      <c r="B37" s="248"/>
      <c r="C37" s="241"/>
      <c r="D37" s="241"/>
      <c r="E37" s="248"/>
      <c r="F37" s="246"/>
      <c r="G37" s="46" t="s">
        <v>207</v>
      </c>
      <c r="H37" s="293"/>
      <c r="I37" s="71" t="s">
        <v>119</v>
      </c>
      <c r="J37" s="293"/>
      <c r="K37" s="293"/>
      <c r="L37" s="293"/>
      <c r="M37" s="293"/>
      <c r="N37" s="293"/>
      <c r="O37" s="293"/>
      <c r="P37" s="293"/>
      <c r="Q37" s="293"/>
      <c r="R37" s="293"/>
      <c r="S37" s="258"/>
      <c r="T37" s="68">
        <f>IF($S$34="","",IF(COUNT(J37:R37)=0,"",IF(MAX(J37:R37)&gt;3,$I37,"")))</f>
      </c>
      <c r="U37" s="248"/>
      <c r="V37" s="251"/>
      <c r="W37" s="248"/>
      <c r="X37" s="248"/>
      <c r="Y37" s="262"/>
      <c r="Z37" s="262"/>
      <c r="AA37" s="248"/>
      <c r="AB37" s="248"/>
      <c r="AC37" s="246"/>
      <c r="AD37" s="248"/>
      <c r="AE37" s="262"/>
      <c r="AF37" s="262"/>
      <c r="AG37" s="248"/>
      <c r="AH37" s="255"/>
      <c r="AI37" s="255"/>
      <c r="AJ37" s="255"/>
    </row>
    <row r="38" spans="1:36" ht="14.5" customHeight="1" x14ac:dyDescent="0.35">
      <c r="A38" s="248"/>
      <c r="B38" s="248"/>
      <c r="C38" s="241"/>
      <c r="D38" s="241"/>
      <c r="E38" s="248"/>
      <c r="F38" s="246"/>
      <c r="G38" s="46" t="s">
        <v>161</v>
      </c>
      <c r="H38" s="293"/>
      <c r="I38" s="71" t="s">
        <v>120</v>
      </c>
      <c r="J38" s="293"/>
      <c r="K38" s="293"/>
      <c r="L38" s="293"/>
      <c r="M38" s="293"/>
      <c r="N38" s="293"/>
      <c r="O38" s="293"/>
      <c r="P38" s="293"/>
      <c r="Q38" s="293"/>
      <c r="R38" s="293"/>
      <c r="S38" s="258"/>
      <c r="T38" s="68">
        <f>IF($S$34="","",IF(COUNT(J38:R38)=0,"",IF(MAX(J38:R38)&gt;3,$I38,"")))</f>
      </c>
      <c r="U38" s="248"/>
      <c r="V38" s="251"/>
      <c r="W38" s="248"/>
      <c r="X38" s="248"/>
      <c r="Y38" s="262"/>
      <c r="Z38" s="262"/>
      <c r="AA38" s="248"/>
      <c r="AB38" s="248"/>
      <c r="AC38" s="246"/>
      <c r="AD38" s="248"/>
      <c r="AE38" s="262"/>
      <c r="AF38" s="262"/>
      <c r="AG38" s="248"/>
      <c r="AH38" s="255"/>
      <c r="AI38" s="255"/>
      <c r="AJ38" s="255"/>
    </row>
    <row r="39" spans="1:36" ht="14.5" customHeight="1" x14ac:dyDescent="0.35">
      <c r="A39" s="248"/>
      <c r="B39" s="248"/>
      <c r="C39" s="241"/>
      <c r="D39" s="241"/>
      <c r="E39" s="248"/>
      <c r="F39" s="246"/>
      <c r="G39" s="46" t="s">
        <v>208</v>
      </c>
      <c r="H39" s="293"/>
      <c r="I39" s="71" t="s">
        <v>121</v>
      </c>
      <c r="J39" s="293"/>
      <c r="K39" s="293"/>
      <c r="L39" s="293"/>
      <c r="M39" s="293"/>
      <c r="N39" s="293"/>
      <c r="O39" s="293"/>
      <c r="P39" s="293"/>
      <c r="Q39" s="293"/>
      <c r="R39" s="293"/>
      <c r="S39" s="258"/>
      <c r="T39" s="68">
        <f>IF($S$34="","",IF(COUNT(J39:R39)=0,"",IF(MAX(J39:R39)&gt;3,$I39,"")))</f>
      </c>
      <c r="U39" s="248"/>
      <c r="V39" s="251"/>
      <c r="W39" s="248"/>
      <c r="X39" s="248"/>
      <c r="Y39" s="262"/>
      <c r="Z39" s="262"/>
      <c r="AA39" s="248"/>
      <c r="AB39" s="248"/>
      <c r="AC39" s="246"/>
      <c r="AD39" s="248"/>
      <c r="AE39" s="262"/>
      <c r="AF39" s="262"/>
      <c r="AG39" s="248"/>
      <c r="AH39" s="255"/>
      <c r="AI39" s="255"/>
      <c r="AJ39" s="255"/>
    </row>
    <row r="40" spans="1:36" ht="14.5" customHeight="1" x14ac:dyDescent="0.35">
      <c r="A40" s="248"/>
      <c r="B40" s="248"/>
      <c r="C40" s="242"/>
      <c r="D40" s="242"/>
      <c r="E40" s="248"/>
      <c r="F40" s="246"/>
      <c r="G40" s="46" t="s">
        <v>209</v>
      </c>
      <c r="H40" s="293"/>
      <c r="I40" s="71" t="s">
        <v>122</v>
      </c>
      <c r="J40" s="293"/>
      <c r="K40" s="293"/>
      <c r="L40" s="293"/>
      <c r="M40" s="293"/>
      <c r="N40" s="293"/>
      <c r="O40" s="293"/>
      <c r="P40" s="293"/>
      <c r="Q40" s="293"/>
      <c r="R40" s="293"/>
      <c r="S40" s="259"/>
      <c r="T40" s="68">
        <f>IF($S$34="","",IF(COUNT(J40:R40)=0,"",IF(MAX(J40:R40)&gt;3,$I40,"")))</f>
      </c>
      <c r="U40" s="248"/>
      <c r="V40" s="251"/>
      <c r="W40" s="248"/>
      <c r="X40" s="248"/>
      <c r="Y40" s="262"/>
      <c r="Z40" s="262"/>
      <c r="AA40" s="248"/>
      <c r="AB40" s="248"/>
      <c r="AC40" s="246"/>
      <c r="AD40" s="248"/>
      <c r="AE40" s="262"/>
      <c r="AF40" s="262"/>
      <c r="AG40" s="248"/>
      <c r="AH40" s="255"/>
      <c r="AI40" s="255"/>
      <c r="AJ40" s="255"/>
    </row>
    <row r="41" spans="1:36" ht="14.5" customHeight="1" x14ac:dyDescent="0.35">
      <c r="A41" s="252">
        <v>6</v>
      </c>
      <c r="B41" s="264">
        <f>IF($E41="","","BIA-"&amp;TEXT(6,"000"))</f>
      </c>
      <c r="C41" s="240">
        <f>IFERROR(INDEX(BusinessUnits1,MATCH($A41,'04. Products &amp; Services'!$N$5:$N$49,0)),"")</f>
      </c>
      <c r="D41" s="240">
        <f>IFERROR(INDEX(DivisionSites,MATCH($A41,'04. Products &amp; Services'!$N$5:$N$49,0)),"")</f>
      </c>
      <c r="E41" s="253">
        <f>IFERROR(INDEX(ScopeNames,MATCH($A41,'04. Products &amp; Services'!$N$5:$N$49,0)),"")</f>
      </c>
      <c r="F41" s="265">
        <f>IF($E41="","",IFERROR(IF(INDEX(PS_ID,MATCH($E41,ScopeNames,0))="","",INDEX(PS_ID,MATCH($E41,ScopeNames,0))),""))</f>
      </c>
      <c r="G41" s="46" t="s">
        <v>205</v>
      </c>
      <c r="H41" s="293"/>
      <c r="I41" s="71" t="s">
        <v>116</v>
      </c>
      <c r="J41" s="293"/>
      <c r="K41" s="293"/>
      <c r="L41" s="293"/>
      <c r="M41" s="293"/>
      <c r="N41" s="293"/>
      <c r="O41" s="293"/>
      <c r="P41" s="293"/>
      <c r="Q41" s="293"/>
      <c r="R41" s="293"/>
      <c r="S41" s="257">
        <f>IF(COUNT(J41:R47)=0,"",MAX(J41:R47))</f>
      </c>
      <c r="T41" s="68">
        <f>IF($S$41="","",IF(COUNT(J41:R41)=0,"",IF(MAX(J41:R41)&gt;3,$I41,"")))</f>
      </c>
      <c r="U41" s="249">
        <f>IF($E41="","",IFERROR(IF(INDEX('04. Products &amp; Services'!$J$5:$J$49,MATCH($A41,'04. Products &amp; Services'!$N$5:$N$49,0))="","",INDEX('04. Products &amp; Services'!$J$5:$J$49,MATCH($A41,'04. Products &amp; Services'!$N$5:$N$49,0))),""))</f>
      </c>
      <c r="V41" s="299"/>
      <c r="W41" s="247">
        <f>IF($E41="","",IF(OR($U41="Yes",$V41="Yes"),"Yes",IF(AND($U41="No",$V41="No"),"No",IF(AND($U41="Under Evaluation",$V41="No"),"Under Evaluation",""))))</f>
      </c>
      <c r="X41" s="270">
        <f>IF($E41="","",IFERROR(IF(INDEX('04. Products &amp; Services'!$K$5:$K$49,MATCH($A41,'04. Products &amp; Services'!$N$5:$N$49,0))="","",INDEX('04. Products &amp; Services'!$K$5:$K$49,MATCH($A41,'04. Products &amp; Services'!$N$5:$N$49,0))),""))</f>
      </c>
      <c r="Y41" s="269"/>
      <c r="Z41" s="269"/>
      <c r="AA41" s="247">
        <f>IF($E41="","",IF(COUNT(J41:R47)=0,"",IF(MAX(J41:J47)&gt;=4,6,IF(MAX(K41:K47)&gt;=4,18,IF(MAX(L41:L47)&gt;=4,36,IF(MAX(M41:M47)&gt;=4,72,IF(MAX(N41:N47)&gt;=4,168,IF(MAX(O41:O47)&gt;=4,336,IF(MAX(P41:P47)&gt;=4,504,IF(MAX(Q41:Q47)&gt;=4,672,IF(MAX(R41:R47)&gt;=4,"","")))))))))))</f>
      </c>
      <c r="AB41" s="247">
        <f>IF($E41="","",IFERROR(IF(INDEX('04. Products &amp; Services'!$M$5:$M$49,MATCH($A41,'04. Products &amp; Services'!$N$5:$N$49,0))="","",INDEX('04. Products &amp; Services'!$M$5:$M$49,MATCH($A41,'04. Products &amp; Services'!$N$5:$N$49,0))),""))</f>
      </c>
      <c r="AC41" s="245"/>
      <c r="AD41" s="260">
        <f>IF(AC41="","",IF(ISNUMBER(AC41),AC41,IFERROR(VALUE(LEFT(TRIM(AC41),FIND(" ",TRIM(AC41))-1))*VLOOKUP(LEFT(LOWER(TRIM(MID(TRIM(AC41),FIND(" ",TRIM(AC41))+1,99))),3),DurationUnits,2,FALSE),"")))</f>
      </c>
      <c r="AE41" s="261"/>
      <c r="AF41" s="263"/>
      <c r="AG41" s="256">
        <f>IF($AF41="","",EDATE($AF41,12))</f>
      </c>
      <c r="AH41" s="254" cm="1">
        <f t="array" ref="AH41">IF($B41="","",_xlfn.LET(_xlpm.ids,'15. BCM Risk Register'!$A$6:$A$65,_xlpm.links,'15. BCM Risk Register'!$I$6:$I$65,_xlpm.hit,ISNUMBER(SEARCH(","&amp;$B41&amp;",",","&amp;SUBSTITUTE(_xlpm.links," ","")&amp;",")),IFERROR(_xlfn.TEXTJOIN(", ",TRUE,_xlfn.UNIQUE(_xlfn._xlws.FILTER(_xlpm.ids,_xlpm.hit*(_xlpm.ids&lt;&gt;"")))),"Not Created")))</f>
      </c>
      <c r="AI41" s="254" cm="1">
        <f t="array" ref="AI41">IF($B41="","",_xlfn.LET(_xlpm.ids,'15. BCM Risk Register'!$L$6:$L$65,_xlpm.links,'15. BCM Risk Register'!$I$6:$I$65,_xlpm.hit,ISNUMBER(SEARCH(","&amp;$B41&amp;",",","&amp;SUBSTITUTE(_xlpm.links," ","")&amp;",")),IFERROR(_xlfn.TEXTJOIN(", ",TRUE,_xlfn.UNIQUE(_xlfn._xlws.FILTER(_xlpm.ids,_xlpm.hit*(_xlpm.ids&lt;&gt;"")*(_xlpm.ids&lt;&gt;"Not Created")))),"Not Created")))</f>
      </c>
      <c r="AJ41" s="254" cm="1">
        <f t="array" ref="AJ41">IF($B41="","",_xlfn.LET(_xlpm.ids,'15. BCM Risk Register'!$K$6:$K$65,_xlpm.links,'15. BCM Risk Register'!$I$6:$I$65,_xlpm.hit,ISNUMBER(SEARCH(","&amp;$B41&amp;",",","&amp;SUBSTITUTE(_xlpm.links," ","")&amp;",")),IFERROR(_xlfn.TEXTJOIN(", ",TRUE,_xlfn.UNIQUE(_xlfn._xlws.FILTER(_xlpm.ids,_xlpm.hit*(_xlpm.ids&lt;&gt;"")*(_xlpm.ids&lt;&gt;"Not Created")))),"Not Created")))</f>
      </c>
    </row>
    <row r="42" spans="1:36" ht="14.5" customHeight="1" x14ac:dyDescent="0.35">
      <c r="A42" s="248"/>
      <c r="B42" s="248"/>
      <c r="C42" s="241"/>
      <c r="D42" s="241"/>
      <c r="E42" s="248"/>
      <c r="F42" s="246"/>
      <c r="G42" s="46" t="s">
        <v>160</v>
      </c>
      <c r="H42" s="293"/>
      <c r="I42" s="71" t="s">
        <v>117</v>
      </c>
      <c r="J42" s="293"/>
      <c r="K42" s="293"/>
      <c r="L42" s="293"/>
      <c r="M42" s="293"/>
      <c r="N42" s="293"/>
      <c r="O42" s="293"/>
      <c r="P42" s="293"/>
      <c r="Q42" s="293"/>
      <c r="R42" s="293"/>
      <c r="S42" s="258"/>
      <c r="T42" s="68">
        <f>IF($S$41="","",IF(COUNT(J42:R42)=0,"",IF(MAX(J42:R42)&gt;3,$I42,"")))</f>
      </c>
      <c r="U42" s="248"/>
      <c r="V42" s="251"/>
      <c r="W42" s="248"/>
      <c r="X42" s="248"/>
      <c r="Y42" s="262"/>
      <c r="Z42" s="262"/>
      <c r="AA42" s="248"/>
      <c r="AB42" s="248"/>
      <c r="AC42" s="246"/>
      <c r="AD42" s="248"/>
      <c r="AE42" s="262"/>
      <c r="AF42" s="262"/>
      <c r="AG42" s="248"/>
      <c r="AH42" s="255"/>
      <c r="AI42" s="255"/>
      <c r="AJ42" s="255"/>
    </row>
    <row r="43" spans="1:36" ht="14.5" customHeight="1" x14ac:dyDescent="0.35">
      <c r="A43" s="248"/>
      <c r="B43" s="248"/>
      <c r="C43" s="241"/>
      <c r="D43" s="241"/>
      <c r="E43" s="248"/>
      <c r="F43" s="246"/>
      <c r="G43" s="46" t="s">
        <v>206</v>
      </c>
      <c r="H43" s="293"/>
      <c r="I43" s="71" t="s">
        <v>118</v>
      </c>
      <c r="J43" s="293"/>
      <c r="K43" s="293"/>
      <c r="L43" s="293"/>
      <c r="M43" s="293"/>
      <c r="N43" s="293"/>
      <c r="O43" s="293"/>
      <c r="P43" s="293"/>
      <c r="Q43" s="293"/>
      <c r="R43" s="293"/>
      <c r="S43" s="258"/>
      <c r="T43" s="68">
        <f>IF($S$41="","",IF(COUNT(J43:R43)=0,"",IF(MAX(J43:R43)&gt;3,$I43,"")))</f>
      </c>
      <c r="U43" s="248"/>
      <c r="V43" s="251"/>
      <c r="W43" s="248"/>
      <c r="X43" s="248"/>
      <c r="Y43" s="262"/>
      <c r="Z43" s="262"/>
      <c r="AA43" s="248"/>
      <c r="AB43" s="248"/>
      <c r="AC43" s="246"/>
      <c r="AD43" s="248"/>
      <c r="AE43" s="262"/>
      <c r="AF43" s="262"/>
      <c r="AG43" s="248"/>
      <c r="AH43" s="255"/>
      <c r="AI43" s="255"/>
      <c r="AJ43" s="255"/>
    </row>
    <row r="44" spans="1:36" ht="14.5" customHeight="1" x14ac:dyDescent="0.35">
      <c r="A44" s="248"/>
      <c r="B44" s="248"/>
      <c r="C44" s="241"/>
      <c r="D44" s="241"/>
      <c r="E44" s="248"/>
      <c r="F44" s="246"/>
      <c r="G44" s="46" t="s">
        <v>207</v>
      </c>
      <c r="H44" s="293"/>
      <c r="I44" s="71" t="s">
        <v>119</v>
      </c>
      <c r="J44" s="293"/>
      <c r="K44" s="293"/>
      <c r="L44" s="293"/>
      <c r="M44" s="293"/>
      <c r="N44" s="293"/>
      <c r="O44" s="293"/>
      <c r="P44" s="293"/>
      <c r="Q44" s="293"/>
      <c r="R44" s="293"/>
      <c r="S44" s="258"/>
      <c r="T44" s="68">
        <f>IF($S$41="","",IF(COUNT(J44:R44)=0,"",IF(MAX(J44:R44)&gt;3,$I44,"")))</f>
      </c>
      <c r="U44" s="248"/>
      <c r="V44" s="251"/>
      <c r="W44" s="248"/>
      <c r="X44" s="248"/>
      <c r="Y44" s="262"/>
      <c r="Z44" s="262"/>
      <c r="AA44" s="248"/>
      <c r="AB44" s="248"/>
      <c r="AC44" s="246"/>
      <c r="AD44" s="248"/>
      <c r="AE44" s="262"/>
      <c r="AF44" s="262"/>
      <c r="AG44" s="248"/>
      <c r="AH44" s="255"/>
      <c r="AI44" s="255"/>
      <c r="AJ44" s="255"/>
    </row>
    <row r="45" spans="1:36" ht="14.5" customHeight="1" x14ac:dyDescent="0.35">
      <c r="A45" s="248"/>
      <c r="B45" s="248"/>
      <c r="C45" s="241"/>
      <c r="D45" s="241"/>
      <c r="E45" s="248"/>
      <c r="F45" s="246"/>
      <c r="G45" s="46" t="s">
        <v>161</v>
      </c>
      <c r="H45" s="293"/>
      <c r="I45" s="71" t="s">
        <v>120</v>
      </c>
      <c r="J45" s="293"/>
      <c r="K45" s="293"/>
      <c r="L45" s="293"/>
      <c r="M45" s="293"/>
      <c r="N45" s="293"/>
      <c r="O45" s="293"/>
      <c r="P45" s="293"/>
      <c r="Q45" s="293"/>
      <c r="R45" s="293"/>
      <c r="S45" s="258"/>
      <c r="T45" s="68">
        <f>IF($S$41="","",IF(COUNT(J45:R45)=0,"",IF(MAX(J45:R45)&gt;3,$I45,"")))</f>
      </c>
      <c r="U45" s="248"/>
      <c r="V45" s="251"/>
      <c r="W45" s="248"/>
      <c r="X45" s="248"/>
      <c r="Y45" s="262"/>
      <c r="Z45" s="262"/>
      <c r="AA45" s="248"/>
      <c r="AB45" s="248"/>
      <c r="AC45" s="246"/>
      <c r="AD45" s="248"/>
      <c r="AE45" s="262"/>
      <c r="AF45" s="262"/>
      <c r="AG45" s="248"/>
      <c r="AH45" s="255"/>
      <c r="AI45" s="255"/>
      <c r="AJ45" s="255"/>
    </row>
    <row r="46" spans="1:36" ht="14.5" customHeight="1" x14ac:dyDescent="0.35">
      <c r="A46" s="248"/>
      <c r="B46" s="248"/>
      <c r="C46" s="241"/>
      <c r="D46" s="241"/>
      <c r="E46" s="248"/>
      <c r="F46" s="246"/>
      <c r="G46" s="46" t="s">
        <v>208</v>
      </c>
      <c r="H46" s="293"/>
      <c r="I46" s="71" t="s">
        <v>121</v>
      </c>
      <c r="J46" s="293"/>
      <c r="K46" s="293"/>
      <c r="L46" s="293"/>
      <c r="M46" s="293"/>
      <c r="N46" s="293"/>
      <c r="O46" s="293"/>
      <c r="P46" s="293"/>
      <c r="Q46" s="293"/>
      <c r="R46" s="293"/>
      <c r="S46" s="258"/>
      <c r="T46" s="68">
        <f>IF($S$41="","",IF(COUNT(J46:R46)=0,"",IF(MAX(J46:R46)&gt;3,$I46,"")))</f>
      </c>
      <c r="U46" s="248"/>
      <c r="V46" s="251"/>
      <c r="W46" s="248"/>
      <c r="X46" s="248"/>
      <c r="Y46" s="262"/>
      <c r="Z46" s="262"/>
      <c r="AA46" s="248"/>
      <c r="AB46" s="248"/>
      <c r="AC46" s="246"/>
      <c r="AD46" s="248"/>
      <c r="AE46" s="262"/>
      <c r="AF46" s="262"/>
      <c r="AG46" s="248"/>
      <c r="AH46" s="255"/>
      <c r="AI46" s="255"/>
      <c r="AJ46" s="255"/>
    </row>
    <row r="47" spans="1:36" ht="14.5" customHeight="1" x14ac:dyDescent="0.35">
      <c r="A47" s="248"/>
      <c r="B47" s="248"/>
      <c r="C47" s="242"/>
      <c r="D47" s="242"/>
      <c r="E47" s="248"/>
      <c r="F47" s="246"/>
      <c r="G47" s="46" t="s">
        <v>209</v>
      </c>
      <c r="H47" s="293"/>
      <c r="I47" s="71" t="s">
        <v>122</v>
      </c>
      <c r="J47" s="293"/>
      <c r="K47" s="293"/>
      <c r="L47" s="293"/>
      <c r="M47" s="293"/>
      <c r="N47" s="293"/>
      <c r="O47" s="293"/>
      <c r="P47" s="293"/>
      <c r="Q47" s="293"/>
      <c r="R47" s="293"/>
      <c r="S47" s="259"/>
      <c r="T47" s="68">
        <f>IF($S$41="","",IF(COUNT(J47:R47)=0,"",IF(MAX(J47:R47)&gt;3,$I47,"")))</f>
      </c>
      <c r="U47" s="248"/>
      <c r="V47" s="251"/>
      <c r="W47" s="248"/>
      <c r="X47" s="248"/>
      <c r="Y47" s="262"/>
      <c r="Z47" s="262"/>
      <c r="AA47" s="248"/>
      <c r="AB47" s="248"/>
      <c r="AC47" s="246"/>
      <c r="AD47" s="248"/>
      <c r="AE47" s="262"/>
      <c r="AF47" s="262"/>
      <c r="AG47" s="248"/>
      <c r="AH47" s="255"/>
      <c r="AI47" s="255"/>
      <c r="AJ47" s="255"/>
    </row>
    <row r="48" spans="1:36" ht="14.5" customHeight="1" x14ac:dyDescent="0.35">
      <c r="A48" s="252">
        <v>7</v>
      </c>
      <c r="B48" s="264">
        <f>IF($E48="","","BIA-"&amp;TEXT(7,"000"))</f>
      </c>
      <c r="C48" s="240">
        <f>IFERROR(INDEX(BusinessUnits1,MATCH($A48,'04. Products &amp; Services'!$N$5:$N$49,0)),"")</f>
      </c>
      <c r="D48" s="240">
        <f>IFERROR(INDEX(DivisionSites,MATCH($A48,'04. Products &amp; Services'!$N$5:$N$49,0)),"")</f>
      </c>
      <c r="E48" s="253">
        <f>IFERROR(INDEX(ScopeNames,MATCH($A48,'04. Products &amp; Services'!$N$5:$N$49,0)),"")</f>
      </c>
      <c r="F48" s="265">
        <f>IF($E48="","",IFERROR(IF(INDEX(PS_ID,MATCH($E48,ScopeNames,0))="","",INDEX(PS_ID,MATCH($E48,ScopeNames,0))),""))</f>
      </c>
      <c r="G48" s="46" t="s">
        <v>205</v>
      </c>
      <c r="H48" s="293"/>
      <c r="I48" s="71" t="s">
        <v>116</v>
      </c>
      <c r="J48" s="293"/>
      <c r="K48" s="293"/>
      <c r="L48" s="293"/>
      <c r="M48" s="293"/>
      <c r="N48" s="293"/>
      <c r="O48" s="293"/>
      <c r="P48" s="293"/>
      <c r="Q48" s="293"/>
      <c r="R48" s="293"/>
      <c r="S48" s="257">
        <f>IF(COUNT(J48:R54)=0,"",MAX(J48:R54))</f>
      </c>
      <c r="T48" s="68">
        <f>IF($S$48="","",IF(COUNT(J48:R48)=0,"",IF(MAX(J48:R48)&gt;3,$I48,"")))</f>
      </c>
      <c r="U48" s="249">
        <f>IF($E48="","",IFERROR(IF(INDEX('04. Products &amp; Services'!$J$5:$J$49,MATCH($A48,'04. Products &amp; Services'!$N$5:$N$49,0))="","",INDEX('04. Products &amp; Services'!$J$5:$J$49,MATCH($A48,'04. Products &amp; Services'!$N$5:$N$49,0))),""))</f>
      </c>
      <c r="V48" s="299"/>
      <c r="W48" s="247">
        <f>IF($E48="","",IF(OR($U48="Yes",$V48="Yes"),"Yes",IF(AND($U48="No",$V48="No"),"No",IF(AND($U48="Under Evaluation",$V48="No"),"Under Evaluation",""))))</f>
      </c>
      <c r="X48" s="270">
        <f>IF($E48="","",IFERROR(IF(INDEX('04. Products &amp; Services'!$K$5:$K$49,MATCH($A48,'04. Products &amp; Services'!$N$5:$N$49,0))="","",INDEX('04. Products &amp; Services'!$K$5:$K$49,MATCH($A48,'04. Products &amp; Services'!$N$5:$N$49,0))),""))</f>
      </c>
      <c r="Y48" s="269"/>
      <c r="Z48" s="269"/>
      <c r="AA48" s="247">
        <f>IF($E48="","",IF(COUNT(J48:R54)=0,"",IF(MAX(J48:J54)&gt;=4,6,IF(MAX(K48:K54)&gt;=4,18,IF(MAX(L48:L54)&gt;=4,36,IF(MAX(M48:M54)&gt;=4,72,IF(MAX(N48:N54)&gt;=4,168,IF(MAX(O48:O54)&gt;=4,336,IF(MAX(P48:P54)&gt;=4,504,IF(MAX(Q48:Q54)&gt;=4,672,IF(MAX(R48:R54)&gt;=4,"","")))))))))))</f>
      </c>
      <c r="AB48" s="247">
        <f>IF($E48="","",IFERROR(IF(INDEX('04. Products &amp; Services'!$M$5:$M$49,MATCH($A48,'04. Products &amp; Services'!$N$5:$N$49,0))="","",INDEX('04. Products &amp; Services'!$M$5:$M$49,MATCH($A48,'04. Products &amp; Services'!$N$5:$N$49,0))),""))</f>
      </c>
      <c r="AC48" s="245"/>
      <c r="AD48" s="260">
        <f>IF(AC48="","",IF(ISNUMBER(AC48),AC48,IFERROR(VALUE(LEFT(TRIM(AC48),FIND(" ",TRIM(AC48))-1))*VLOOKUP(LEFT(LOWER(TRIM(MID(TRIM(AC48),FIND(" ",TRIM(AC48))+1,99))),3),DurationUnits,2,FALSE),"")))</f>
      </c>
      <c r="AE48" s="261"/>
      <c r="AF48" s="263"/>
      <c r="AG48" s="256">
        <f>IF($AF48="","",EDATE($AF48,12))</f>
      </c>
      <c r="AH48" s="254" cm="1">
        <f t="array" ref="AH48">IF($B48="","",_xlfn.LET(_xlpm.ids,'15. BCM Risk Register'!$A$6:$A$65,_xlpm.links,'15. BCM Risk Register'!$I$6:$I$65,_xlpm.hit,ISNUMBER(SEARCH(","&amp;$B48&amp;",",","&amp;SUBSTITUTE(_xlpm.links," ","")&amp;",")),IFERROR(_xlfn.TEXTJOIN(", ",TRUE,_xlfn.UNIQUE(_xlfn._xlws.FILTER(_xlpm.ids,_xlpm.hit*(_xlpm.ids&lt;&gt;"")))),"Not Created")))</f>
      </c>
      <c r="AI48" s="254" cm="1">
        <f t="array" ref="AI48">IF($B48="","",_xlfn.LET(_xlpm.ids,'15. BCM Risk Register'!$L$6:$L$65,_xlpm.links,'15. BCM Risk Register'!$I$6:$I$65,_xlpm.hit,ISNUMBER(SEARCH(","&amp;$B48&amp;",",","&amp;SUBSTITUTE(_xlpm.links," ","")&amp;",")),IFERROR(_xlfn.TEXTJOIN(", ",TRUE,_xlfn.UNIQUE(_xlfn._xlws.FILTER(_xlpm.ids,_xlpm.hit*(_xlpm.ids&lt;&gt;"")*(_xlpm.ids&lt;&gt;"Not Created")))),"Not Created")))</f>
      </c>
      <c r="AJ48" s="254" cm="1">
        <f t="array" ref="AJ48">IF($B48="","",_xlfn.LET(_xlpm.ids,'15. BCM Risk Register'!$K$6:$K$65,_xlpm.links,'15. BCM Risk Register'!$I$6:$I$65,_xlpm.hit,ISNUMBER(SEARCH(","&amp;$B48&amp;",",","&amp;SUBSTITUTE(_xlpm.links," ","")&amp;",")),IFERROR(_xlfn.TEXTJOIN(", ",TRUE,_xlfn.UNIQUE(_xlfn._xlws.FILTER(_xlpm.ids,_xlpm.hit*(_xlpm.ids&lt;&gt;"")*(_xlpm.ids&lt;&gt;"Not Created")))),"Not Created")))</f>
      </c>
    </row>
    <row r="49" spans="1:36" ht="14.5" customHeight="1" x14ac:dyDescent="0.35">
      <c r="A49" s="248"/>
      <c r="B49" s="248"/>
      <c r="C49" s="241"/>
      <c r="D49" s="241"/>
      <c r="E49" s="248"/>
      <c r="F49" s="246"/>
      <c r="G49" s="46" t="s">
        <v>160</v>
      </c>
      <c r="H49" s="293"/>
      <c r="I49" s="71" t="s">
        <v>117</v>
      </c>
      <c r="J49" s="293"/>
      <c r="K49" s="293"/>
      <c r="L49" s="293"/>
      <c r="M49" s="293"/>
      <c r="N49" s="293"/>
      <c r="O49" s="293"/>
      <c r="P49" s="293"/>
      <c r="Q49" s="293"/>
      <c r="R49" s="293"/>
      <c r="S49" s="258"/>
      <c r="T49" s="68">
        <f>IF($S$48="","",IF(COUNT(J49:R49)=0,"",IF(MAX(J49:R49)&gt;3,$I49,"")))</f>
      </c>
      <c r="U49" s="248"/>
      <c r="V49" s="251"/>
      <c r="W49" s="248"/>
      <c r="X49" s="248"/>
      <c r="Y49" s="262"/>
      <c r="Z49" s="262"/>
      <c r="AA49" s="248"/>
      <c r="AB49" s="248"/>
      <c r="AC49" s="246"/>
      <c r="AD49" s="248"/>
      <c r="AE49" s="262"/>
      <c r="AF49" s="262"/>
      <c r="AG49" s="248"/>
      <c r="AH49" s="255"/>
      <c r="AI49" s="255"/>
      <c r="AJ49" s="255"/>
    </row>
    <row r="50" spans="1:36" ht="14.5" customHeight="1" x14ac:dyDescent="0.35">
      <c r="A50" s="248"/>
      <c r="B50" s="248"/>
      <c r="C50" s="241"/>
      <c r="D50" s="241"/>
      <c r="E50" s="248"/>
      <c r="F50" s="246"/>
      <c r="G50" s="46" t="s">
        <v>206</v>
      </c>
      <c r="H50" s="293"/>
      <c r="I50" s="71" t="s">
        <v>118</v>
      </c>
      <c r="J50" s="293"/>
      <c r="K50" s="293"/>
      <c r="L50" s="293"/>
      <c r="M50" s="293"/>
      <c r="N50" s="293"/>
      <c r="O50" s="293"/>
      <c r="P50" s="293"/>
      <c r="Q50" s="293"/>
      <c r="R50" s="293"/>
      <c r="S50" s="258"/>
      <c r="T50" s="68">
        <f>IF($S$48="","",IF(COUNT(J50:R50)=0,"",IF(MAX(J50:R50)&gt;3,$I50,"")))</f>
      </c>
      <c r="U50" s="248"/>
      <c r="V50" s="251"/>
      <c r="W50" s="248"/>
      <c r="X50" s="248"/>
      <c r="Y50" s="262"/>
      <c r="Z50" s="262"/>
      <c r="AA50" s="248"/>
      <c r="AB50" s="248"/>
      <c r="AC50" s="246"/>
      <c r="AD50" s="248"/>
      <c r="AE50" s="262"/>
      <c r="AF50" s="262"/>
      <c r="AG50" s="248"/>
      <c r="AH50" s="255"/>
      <c r="AI50" s="255"/>
      <c r="AJ50" s="255"/>
    </row>
    <row r="51" spans="1:36" ht="14.5" customHeight="1" x14ac:dyDescent="0.35">
      <c r="A51" s="248"/>
      <c r="B51" s="248"/>
      <c r="C51" s="241"/>
      <c r="D51" s="241"/>
      <c r="E51" s="248"/>
      <c r="F51" s="246"/>
      <c r="G51" s="46" t="s">
        <v>207</v>
      </c>
      <c r="H51" s="293"/>
      <c r="I51" s="71" t="s">
        <v>119</v>
      </c>
      <c r="J51" s="293"/>
      <c r="K51" s="293"/>
      <c r="L51" s="293"/>
      <c r="M51" s="293"/>
      <c r="N51" s="293"/>
      <c r="O51" s="293"/>
      <c r="P51" s="293"/>
      <c r="Q51" s="293"/>
      <c r="R51" s="293"/>
      <c r="S51" s="258"/>
      <c r="T51" s="68">
        <f>IF($S$48="","",IF(COUNT(J51:R51)=0,"",IF(MAX(J51:R51)&gt;3,$I51,"")))</f>
      </c>
      <c r="U51" s="248"/>
      <c r="V51" s="251"/>
      <c r="W51" s="248"/>
      <c r="X51" s="248"/>
      <c r="Y51" s="262"/>
      <c r="Z51" s="262"/>
      <c r="AA51" s="248"/>
      <c r="AB51" s="248"/>
      <c r="AC51" s="246"/>
      <c r="AD51" s="248"/>
      <c r="AE51" s="262"/>
      <c r="AF51" s="262"/>
      <c r="AG51" s="248"/>
      <c r="AH51" s="255"/>
      <c r="AI51" s="255"/>
      <c r="AJ51" s="255"/>
    </row>
    <row r="52" spans="1:36" ht="14.5" customHeight="1" x14ac:dyDescent="0.35">
      <c r="A52" s="248"/>
      <c r="B52" s="248"/>
      <c r="C52" s="241"/>
      <c r="D52" s="241"/>
      <c r="E52" s="248"/>
      <c r="F52" s="246"/>
      <c r="G52" s="46" t="s">
        <v>161</v>
      </c>
      <c r="H52" s="293"/>
      <c r="I52" s="71" t="s">
        <v>120</v>
      </c>
      <c r="J52" s="293"/>
      <c r="K52" s="293"/>
      <c r="L52" s="293"/>
      <c r="M52" s="293"/>
      <c r="N52" s="293"/>
      <c r="O52" s="293"/>
      <c r="P52" s="293"/>
      <c r="Q52" s="293"/>
      <c r="R52" s="293"/>
      <c r="S52" s="258"/>
      <c r="T52" s="68">
        <f>IF($S$48="","",IF(COUNT(J52:R52)=0,"",IF(MAX(J52:R52)&gt;3,$I52,"")))</f>
      </c>
      <c r="U52" s="248"/>
      <c r="V52" s="251"/>
      <c r="W52" s="248"/>
      <c r="X52" s="248"/>
      <c r="Y52" s="262"/>
      <c r="Z52" s="262"/>
      <c r="AA52" s="248"/>
      <c r="AB52" s="248"/>
      <c r="AC52" s="246"/>
      <c r="AD52" s="248"/>
      <c r="AE52" s="262"/>
      <c r="AF52" s="262"/>
      <c r="AG52" s="248"/>
      <c r="AH52" s="255"/>
      <c r="AI52" s="255"/>
      <c r="AJ52" s="255"/>
    </row>
    <row r="53" spans="1:36" ht="14.5" customHeight="1" x14ac:dyDescent="0.35">
      <c r="A53" s="248"/>
      <c r="B53" s="248"/>
      <c r="C53" s="241"/>
      <c r="D53" s="241"/>
      <c r="E53" s="248"/>
      <c r="F53" s="246"/>
      <c r="G53" s="46" t="s">
        <v>208</v>
      </c>
      <c r="H53" s="293"/>
      <c r="I53" s="71" t="s">
        <v>121</v>
      </c>
      <c r="J53" s="293"/>
      <c r="K53" s="293"/>
      <c r="L53" s="293"/>
      <c r="M53" s="293"/>
      <c r="N53" s="293"/>
      <c r="O53" s="293"/>
      <c r="P53" s="293"/>
      <c r="Q53" s="293"/>
      <c r="R53" s="293"/>
      <c r="S53" s="258"/>
      <c r="T53" s="68">
        <f>IF($S$48="","",IF(COUNT(J53:R53)=0,"",IF(MAX(J53:R53)&gt;3,$I53,"")))</f>
      </c>
      <c r="U53" s="248"/>
      <c r="V53" s="251"/>
      <c r="W53" s="248"/>
      <c r="X53" s="248"/>
      <c r="Y53" s="262"/>
      <c r="Z53" s="262"/>
      <c r="AA53" s="248"/>
      <c r="AB53" s="248"/>
      <c r="AC53" s="246"/>
      <c r="AD53" s="248"/>
      <c r="AE53" s="262"/>
      <c r="AF53" s="262"/>
      <c r="AG53" s="248"/>
      <c r="AH53" s="255"/>
      <c r="AI53" s="255"/>
      <c r="AJ53" s="255"/>
    </row>
    <row r="54" spans="1:36" ht="14.5" customHeight="1" x14ac:dyDescent="0.35">
      <c r="A54" s="248"/>
      <c r="B54" s="248"/>
      <c r="C54" s="242"/>
      <c r="D54" s="242"/>
      <c r="E54" s="248"/>
      <c r="F54" s="246"/>
      <c r="G54" s="46" t="s">
        <v>209</v>
      </c>
      <c r="H54" s="293"/>
      <c r="I54" s="71" t="s">
        <v>122</v>
      </c>
      <c r="J54" s="293"/>
      <c r="K54" s="293"/>
      <c r="L54" s="293"/>
      <c r="M54" s="293"/>
      <c r="N54" s="293"/>
      <c r="O54" s="293"/>
      <c r="P54" s="293"/>
      <c r="Q54" s="293"/>
      <c r="R54" s="293"/>
      <c r="S54" s="259"/>
      <c r="T54" s="68">
        <f>IF($S$48="","",IF(COUNT(J54:R54)=0,"",IF(MAX(J54:R54)&gt;3,$I54,"")))</f>
      </c>
      <c r="U54" s="248"/>
      <c r="V54" s="251"/>
      <c r="W54" s="248"/>
      <c r="X54" s="248"/>
      <c r="Y54" s="262"/>
      <c r="Z54" s="262"/>
      <c r="AA54" s="248"/>
      <c r="AB54" s="248"/>
      <c r="AC54" s="246"/>
      <c r="AD54" s="248"/>
      <c r="AE54" s="262"/>
      <c r="AF54" s="262"/>
      <c r="AG54" s="248"/>
      <c r="AH54" s="255"/>
      <c r="AI54" s="255"/>
      <c r="AJ54" s="255"/>
    </row>
    <row r="55" spans="1:36" ht="14.5" customHeight="1" x14ac:dyDescent="0.35">
      <c r="A55" s="252">
        <v>8</v>
      </c>
      <c r="B55" s="264">
        <f>IF($E55="","","BIA-"&amp;TEXT(8,"000"))</f>
      </c>
      <c r="C55" s="240">
        <f>IFERROR(INDEX(BusinessUnits1,MATCH($A55,'04. Products &amp; Services'!$N$5:$N$49,0)),"")</f>
      </c>
      <c r="D55" s="240">
        <f>IFERROR(INDEX(DivisionSites,MATCH($A55,'04. Products &amp; Services'!$N$5:$N$49,0)),"")</f>
      </c>
      <c r="E55" s="253">
        <f>IFERROR(INDEX(ScopeNames,MATCH($A55,'04. Products &amp; Services'!$N$5:$N$49,0)),"")</f>
      </c>
      <c r="F55" s="265">
        <f>IF($E55="","",IFERROR(IF(INDEX(PS_ID,MATCH($E55,ScopeNames,0))="","",INDEX(PS_ID,MATCH($E55,ScopeNames,0))),""))</f>
      </c>
      <c r="G55" s="46" t="s">
        <v>205</v>
      </c>
      <c r="H55" s="293"/>
      <c r="I55" s="71" t="s">
        <v>116</v>
      </c>
      <c r="J55" s="293"/>
      <c r="K55" s="293"/>
      <c r="L55" s="293"/>
      <c r="M55" s="293"/>
      <c r="N55" s="293"/>
      <c r="O55" s="293"/>
      <c r="P55" s="293"/>
      <c r="Q55" s="300"/>
      <c r="R55" s="293"/>
      <c r="S55" s="257">
        <f>IF(COUNT(J55:R61)=0,"",MAX(J55:R61))</f>
      </c>
      <c r="T55" s="68">
        <f>IF($S$55="","",IF(COUNT(J55:R55)=0,"",IF(MAX(J55:R55)&gt;3,$I55,"")))</f>
      </c>
      <c r="U55" s="249">
        <f>IF($E55="","",IFERROR(IF(INDEX('04. Products &amp; Services'!$J$5:$J$49,MATCH($A55,'04. Products &amp; Services'!$N$5:$N$49,0))="","",INDEX('04. Products &amp; Services'!$J$5:$J$49,MATCH($A55,'04. Products &amp; Services'!$N$5:$N$49,0))),""))</f>
      </c>
      <c r="V55" s="299"/>
      <c r="W55" s="247">
        <f>IF($E55="","",IF(OR($U55="Yes",$V55="Yes"),"Yes",IF(AND($U55="No",$V55="No"),"No",IF(AND($U55="Under Evaluation",$V55="No"),"Under Evaluation",""))))</f>
      </c>
      <c r="X55" s="270">
        <f>IF($E55="","",IFERROR(IF(INDEX('04. Products &amp; Services'!$K$5:$K$49,MATCH($A55,'04. Products &amp; Services'!$N$5:$N$49,0))="","",INDEX('04. Products &amp; Services'!$K$5:$K$49,MATCH($A55,'04. Products &amp; Services'!$N$5:$N$49,0))),""))</f>
      </c>
      <c r="Y55" s="269"/>
      <c r="Z55" s="269"/>
      <c r="AA55" s="247">
        <f>IF($E55="","",IF(COUNT(J55:R61)=0,"",IF(MAX(J55:J61)&gt;=4,6,IF(MAX(K55:K61)&gt;=4,18,IF(MAX(L55:L61)&gt;=4,36,IF(MAX(M55:M61)&gt;=4,72,IF(MAX(N55:N61)&gt;=4,168,IF(MAX(O55:O61)&gt;=4,336,IF(MAX(P55:P61)&gt;=4,504,IF(MAX(Q55:Q61)&gt;=4,672,IF(MAX(R55:R61)&gt;=4,"","")))))))))))</f>
      </c>
      <c r="AB55" s="247">
        <f>IF($E55="","",IFERROR(IF(INDEX('04. Products &amp; Services'!$M$5:$M$49,MATCH($A55,'04. Products &amp; Services'!$N$5:$N$49,0))="","",INDEX('04. Products &amp; Services'!$M$5:$M$49,MATCH($A55,'04. Products &amp; Services'!$N$5:$N$49,0))),""))</f>
      </c>
      <c r="AC55" s="245"/>
      <c r="AD55" s="260">
        <f>IF(AC55="","",IF(ISNUMBER(AC55),AC55,IFERROR(VALUE(LEFT(TRIM(AC55),FIND(" ",TRIM(AC55))-1))*VLOOKUP(LEFT(LOWER(TRIM(MID(TRIM(AC55),FIND(" ",TRIM(AC55))+1,99))),3),DurationUnits,2,FALSE),"")))</f>
      </c>
      <c r="AE55" s="261"/>
      <c r="AF55" s="263"/>
      <c r="AG55" s="256">
        <f>IF($AF55="","",EDATE($AF55,12))</f>
      </c>
      <c r="AH55" s="254" cm="1">
        <f t="array" ref="AH55">IF($B55="","",_xlfn.LET(_xlpm.ids,'15. BCM Risk Register'!$A$6:$A$65,_xlpm.links,'15. BCM Risk Register'!$I$6:$I$65,_xlpm.hit,ISNUMBER(SEARCH(","&amp;$B55&amp;",",","&amp;SUBSTITUTE(_xlpm.links," ","")&amp;",")),IFERROR(_xlfn.TEXTJOIN(", ",TRUE,_xlfn.UNIQUE(_xlfn._xlws.FILTER(_xlpm.ids,_xlpm.hit*(_xlpm.ids&lt;&gt;"")))),"Not Created")))</f>
      </c>
      <c r="AI55" s="254" cm="1">
        <f t="array" ref="AI55">IF($B55="","",_xlfn.LET(_xlpm.ids,'15. BCM Risk Register'!$L$6:$L$65,_xlpm.links,'15. BCM Risk Register'!$I$6:$I$65,_xlpm.hit,ISNUMBER(SEARCH(","&amp;$B55&amp;",",","&amp;SUBSTITUTE(_xlpm.links," ","")&amp;",")),IFERROR(_xlfn.TEXTJOIN(", ",TRUE,_xlfn.UNIQUE(_xlfn._xlws.FILTER(_xlpm.ids,_xlpm.hit*(_xlpm.ids&lt;&gt;"")*(_xlpm.ids&lt;&gt;"Not Created")))),"Not Created")))</f>
      </c>
      <c r="AJ55" s="254" cm="1">
        <f t="array" ref="AJ55">IF($B55="","",_xlfn.LET(_xlpm.ids,'15. BCM Risk Register'!$K$6:$K$65,_xlpm.links,'15. BCM Risk Register'!$I$6:$I$65,_xlpm.hit,ISNUMBER(SEARCH(","&amp;$B55&amp;",",","&amp;SUBSTITUTE(_xlpm.links," ","")&amp;",")),IFERROR(_xlfn.TEXTJOIN(", ",TRUE,_xlfn.UNIQUE(_xlfn._xlws.FILTER(_xlpm.ids,_xlpm.hit*(_xlpm.ids&lt;&gt;"")*(_xlpm.ids&lt;&gt;"Not Created")))),"Not Created")))</f>
      </c>
    </row>
    <row r="56" spans="1:36" ht="14.5" customHeight="1" x14ac:dyDescent="0.35">
      <c r="A56" s="248"/>
      <c r="B56" s="248"/>
      <c r="C56" s="241"/>
      <c r="D56" s="241"/>
      <c r="E56" s="248"/>
      <c r="F56" s="246"/>
      <c r="G56" s="46" t="s">
        <v>160</v>
      </c>
      <c r="H56" s="293"/>
      <c r="I56" s="71" t="s">
        <v>117</v>
      </c>
      <c r="J56" s="293"/>
      <c r="K56" s="293"/>
      <c r="L56" s="293"/>
      <c r="M56" s="293"/>
      <c r="N56" s="293"/>
      <c r="O56" s="293"/>
      <c r="P56" s="293"/>
      <c r="Q56" s="300"/>
      <c r="R56" s="293"/>
      <c r="S56" s="258"/>
      <c r="T56" s="68">
        <f>IF($S$55="","",IF(COUNT(J56:R56)=0,"",IF(MAX(J56:R56)&gt;3,$I56,"")))</f>
      </c>
      <c r="U56" s="248"/>
      <c r="V56" s="251"/>
      <c r="W56" s="248"/>
      <c r="X56" s="248"/>
      <c r="Y56" s="262"/>
      <c r="Z56" s="262"/>
      <c r="AA56" s="248"/>
      <c r="AB56" s="248"/>
      <c r="AC56" s="246"/>
      <c r="AD56" s="248"/>
      <c r="AE56" s="262"/>
      <c r="AF56" s="262"/>
      <c r="AG56" s="248"/>
      <c r="AH56" s="255"/>
      <c r="AI56" s="255"/>
      <c r="AJ56" s="255"/>
    </row>
    <row r="57" spans="1:36" ht="14.5" customHeight="1" x14ac:dyDescent="0.35">
      <c r="A57" s="248"/>
      <c r="B57" s="248"/>
      <c r="C57" s="241"/>
      <c r="D57" s="241"/>
      <c r="E57" s="248"/>
      <c r="F57" s="246"/>
      <c r="G57" s="46" t="s">
        <v>206</v>
      </c>
      <c r="H57" s="293"/>
      <c r="I57" s="71" t="s">
        <v>118</v>
      </c>
      <c r="J57" s="293"/>
      <c r="K57" s="293"/>
      <c r="L57" s="293"/>
      <c r="M57" s="293"/>
      <c r="N57" s="293"/>
      <c r="O57" s="293"/>
      <c r="P57" s="293"/>
      <c r="Q57" s="300"/>
      <c r="R57" s="293"/>
      <c r="S57" s="258"/>
      <c r="T57" s="68">
        <f>IF($S$55="","",IF(COUNT(J57:R57)=0,"",IF(MAX(J57:R57)&gt;3,$I57,"")))</f>
      </c>
      <c r="U57" s="248"/>
      <c r="V57" s="251"/>
      <c r="W57" s="248"/>
      <c r="X57" s="248"/>
      <c r="Y57" s="262"/>
      <c r="Z57" s="262"/>
      <c r="AA57" s="248"/>
      <c r="AB57" s="248"/>
      <c r="AC57" s="246"/>
      <c r="AD57" s="248"/>
      <c r="AE57" s="262"/>
      <c r="AF57" s="262"/>
      <c r="AG57" s="248"/>
      <c r="AH57" s="255"/>
      <c r="AI57" s="255"/>
      <c r="AJ57" s="255"/>
    </row>
    <row r="58" spans="1:36" ht="14.5" customHeight="1" x14ac:dyDescent="0.35">
      <c r="A58" s="248"/>
      <c r="B58" s="248"/>
      <c r="C58" s="241"/>
      <c r="D58" s="241"/>
      <c r="E58" s="248"/>
      <c r="F58" s="246"/>
      <c r="G58" s="46" t="s">
        <v>207</v>
      </c>
      <c r="H58" s="293"/>
      <c r="I58" s="71" t="s">
        <v>119</v>
      </c>
      <c r="J58" s="293"/>
      <c r="K58" s="293"/>
      <c r="L58" s="293"/>
      <c r="M58" s="293"/>
      <c r="N58" s="293"/>
      <c r="O58" s="293"/>
      <c r="P58" s="293"/>
      <c r="Q58" s="300"/>
      <c r="R58" s="293"/>
      <c r="S58" s="258"/>
      <c r="T58" s="68">
        <f>IF($S$55="","",IF(COUNT(J58:R58)=0,"",IF(MAX(J58:R58)&gt;3,$I58,"")))</f>
      </c>
      <c r="U58" s="248"/>
      <c r="V58" s="251"/>
      <c r="W58" s="248"/>
      <c r="X58" s="248"/>
      <c r="Y58" s="262"/>
      <c r="Z58" s="262"/>
      <c r="AA58" s="248"/>
      <c r="AB58" s="248"/>
      <c r="AC58" s="246"/>
      <c r="AD58" s="248"/>
      <c r="AE58" s="262"/>
      <c r="AF58" s="262"/>
      <c r="AG58" s="248"/>
      <c r="AH58" s="255"/>
      <c r="AI58" s="255"/>
      <c r="AJ58" s="255"/>
    </row>
    <row r="59" spans="1:36" ht="14.5" customHeight="1" x14ac:dyDescent="0.35">
      <c r="A59" s="248"/>
      <c r="B59" s="248"/>
      <c r="C59" s="241"/>
      <c r="D59" s="241"/>
      <c r="E59" s="248"/>
      <c r="F59" s="246"/>
      <c r="G59" s="46" t="s">
        <v>161</v>
      </c>
      <c r="H59" s="293"/>
      <c r="I59" s="71" t="s">
        <v>120</v>
      </c>
      <c r="J59" s="293"/>
      <c r="K59" s="293"/>
      <c r="L59" s="293"/>
      <c r="M59" s="293"/>
      <c r="N59" s="293"/>
      <c r="O59" s="293"/>
      <c r="P59" s="293"/>
      <c r="Q59" s="300"/>
      <c r="R59" s="293"/>
      <c r="S59" s="258"/>
      <c r="T59" s="68">
        <f>IF($S$55="","",IF(COUNT(J59:R59)=0,"",IF(MAX(J59:R59)&gt;3,$I59,"")))</f>
      </c>
      <c r="U59" s="248"/>
      <c r="V59" s="251"/>
      <c r="W59" s="248"/>
      <c r="X59" s="248"/>
      <c r="Y59" s="262"/>
      <c r="Z59" s="262"/>
      <c r="AA59" s="248"/>
      <c r="AB59" s="248"/>
      <c r="AC59" s="246"/>
      <c r="AD59" s="248"/>
      <c r="AE59" s="262"/>
      <c r="AF59" s="262"/>
      <c r="AG59" s="248"/>
      <c r="AH59" s="255"/>
      <c r="AI59" s="255"/>
      <c r="AJ59" s="255"/>
    </row>
    <row r="60" spans="1:36" ht="14.5" customHeight="1" x14ac:dyDescent="0.35">
      <c r="A60" s="248"/>
      <c r="B60" s="248"/>
      <c r="C60" s="241"/>
      <c r="D60" s="241"/>
      <c r="E60" s="248"/>
      <c r="F60" s="246"/>
      <c r="G60" s="46" t="s">
        <v>208</v>
      </c>
      <c r="H60" s="293"/>
      <c r="I60" s="71" t="s">
        <v>121</v>
      </c>
      <c r="J60" s="293"/>
      <c r="K60" s="293"/>
      <c r="L60" s="293"/>
      <c r="M60" s="293"/>
      <c r="N60" s="293"/>
      <c r="O60" s="293"/>
      <c r="P60" s="293"/>
      <c r="Q60" s="300"/>
      <c r="R60" s="293"/>
      <c r="S60" s="258"/>
      <c r="T60" s="68">
        <f>IF($S$55="","",IF(COUNT(J60:R60)=0,"",IF(MAX(J60:R60)&gt;3,$I60,"")))</f>
      </c>
      <c r="U60" s="248"/>
      <c r="V60" s="251"/>
      <c r="W60" s="248"/>
      <c r="X60" s="248"/>
      <c r="Y60" s="262"/>
      <c r="Z60" s="262"/>
      <c r="AA60" s="248"/>
      <c r="AB60" s="248"/>
      <c r="AC60" s="246"/>
      <c r="AD60" s="248"/>
      <c r="AE60" s="262"/>
      <c r="AF60" s="262"/>
      <c r="AG60" s="248"/>
      <c r="AH60" s="255"/>
      <c r="AI60" s="255"/>
      <c r="AJ60" s="255"/>
    </row>
    <row r="61" spans="1:36" ht="14.5" customHeight="1" x14ac:dyDescent="0.35">
      <c r="A61" s="248"/>
      <c r="B61" s="248"/>
      <c r="C61" s="242"/>
      <c r="D61" s="242"/>
      <c r="E61" s="248"/>
      <c r="F61" s="246"/>
      <c r="G61" s="46" t="s">
        <v>209</v>
      </c>
      <c r="H61" s="293"/>
      <c r="I61" s="71" t="s">
        <v>122</v>
      </c>
      <c r="J61" s="293"/>
      <c r="K61" s="293"/>
      <c r="L61" s="293"/>
      <c r="M61" s="293"/>
      <c r="N61" s="293"/>
      <c r="O61" s="293"/>
      <c r="P61" s="293"/>
      <c r="Q61" s="300"/>
      <c r="R61" s="293"/>
      <c r="S61" s="259"/>
      <c r="T61" s="68">
        <f>IF($S$55="","",IF(COUNT(J61:R61)=0,"",IF(MAX(J61:R61)&gt;3,$I61,"")))</f>
      </c>
      <c r="U61" s="248"/>
      <c r="V61" s="251"/>
      <c r="W61" s="248"/>
      <c r="X61" s="248"/>
      <c r="Y61" s="262"/>
      <c r="Z61" s="262"/>
      <c r="AA61" s="248"/>
      <c r="AB61" s="248"/>
      <c r="AC61" s="246"/>
      <c r="AD61" s="248"/>
      <c r="AE61" s="262"/>
      <c r="AF61" s="262"/>
      <c r="AG61" s="248"/>
      <c r="AH61" s="255"/>
      <c r="AI61" s="255"/>
      <c r="AJ61" s="255"/>
    </row>
    <row r="62" spans="1:36" ht="14.5" customHeight="1" x14ac:dyDescent="0.35">
      <c r="A62" s="252">
        <v>9</v>
      </c>
      <c r="B62" s="264">
        <f>IF($E62="","","BIA-"&amp;TEXT(9,"000"))</f>
      </c>
      <c r="C62" s="240">
        <f>IFERROR(INDEX(BusinessUnits1,MATCH($A62,'04. Products &amp; Services'!$N$5:$N$49,0)),"")</f>
      </c>
      <c r="D62" s="240">
        <f>IFERROR(INDEX(DivisionSites,MATCH($A62,'04. Products &amp; Services'!$N$5:$N$49,0)),"")</f>
      </c>
      <c r="E62" s="253">
        <f>IFERROR(INDEX(ScopeNames,MATCH($A62,'04. Products &amp; Services'!$N$5:$N$49,0)),"")</f>
      </c>
      <c r="F62" s="265">
        <f>IF($E62="","",IFERROR(IF(INDEX(PS_ID,MATCH($E62,ScopeNames,0))="","",INDEX(PS_ID,MATCH($E62,ScopeNames,0))),""))</f>
      </c>
      <c r="G62" s="46" t="s">
        <v>205</v>
      </c>
      <c r="H62" s="293"/>
      <c r="I62" s="71" t="s">
        <v>116</v>
      </c>
      <c r="J62" s="293"/>
      <c r="K62" s="293"/>
      <c r="L62" s="293"/>
      <c r="M62" s="293"/>
      <c r="N62" s="293"/>
      <c r="O62" s="293"/>
      <c r="P62" s="293"/>
      <c r="Q62" s="293"/>
      <c r="R62" s="293"/>
      <c r="S62" s="257">
        <f>IF(COUNT(J62:R68)=0,"",MAX(J62:R68))</f>
      </c>
      <c r="T62" s="68">
        <f>IF($S$62="","",IF(COUNT(J62:R62)=0,"",IF(MAX(J62:R62)&gt;3,$I62,"")))</f>
      </c>
      <c r="U62" s="249">
        <f>IF($E62="","",IFERROR(IF(INDEX('04. Products &amp; Services'!$J$5:$J$49,MATCH($A62,'04. Products &amp; Services'!$N$5:$N$49,0))="","",INDEX('04. Products &amp; Services'!$J$5:$J$49,MATCH($A62,'04. Products &amp; Services'!$N$5:$N$49,0))),""))</f>
      </c>
      <c r="V62" s="299"/>
      <c r="W62" s="247">
        <f>IF($E62="","",IF(OR($U62="Yes",$V62="Yes"),"Yes",IF(AND($U62="No",$V62="No"),"No",IF(AND($U62="Under Evaluation",$V62="No"),"Under Evaluation",""))))</f>
      </c>
      <c r="X62" s="270">
        <f>IF($E62="","",IFERROR(IF(INDEX('04. Products &amp; Services'!$K$5:$K$49,MATCH($A62,'04. Products &amp; Services'!$N$5:$N$49,0))="","",INDEX('04. Products &amp; Services'!$K$5:$K$49,MATCH($A62,'04. Products &amp; Services'!$N$5:$N$49,0))),""))</f>
      </c>
      <c r="Y62" s="269"/>
      <c r="Z62" s="269"/>
      <c r="AA62" s="247">
        <f>IF($E62="","",IF(COUNT(J62:R68)=0,"",IF(MAX(J62:J68)&gt;=4,6,IF(MAX(K62:K68)&gt;=4,18,IF(MAX(L62:L68)&gt;=4,36,IF(MAX(M62:M68)&gt;=4,72,IF(MAX(N62:N68)&gt;=4,168,IF(MAX(O62:O68)&gt;=4,336,IF(MAX(P62:P68)&gt;=4,504,IF(MAX(Q62:Q68)&gt;=4,672,IF(MAX(R62:R68)&gt;=4,"","")))))))))))</f>
      </c>
      <c r="AB62" s="247">
        <f>IF($E62="","",IFERROR(IF(INDEX('04. Products &amp; Services'!$M$5:$M$49,MATCH($A62,'04. Products &amp; Services'!$N$5:$N$49,0))="","",INDEX('04. Products &amp; Services'!$M$5:$M$49,MATCH($A62,'04. Products &amp; Services'!$N$5:$N$49,0))),""))</f>
      </c>
      <c r="AC62" s="245"/>
      <c r="AD62" s="260">
        <f>IF(AC62="","",IF(ISNUMBER(AC62),AC62,IFERROR(VALUE(LEFT(TRIM(AC62),FIND(" ",TRIM(AC62))-1))*VLOOKUP(LEFT(LOWER(TRIM(MID(TRIM(AC62),FIND(" ",TRIM(AC62))+1,99))),3),DurationUnits,2,FALSE),"")))</f>
      </c>
      <c r="AE62" s="261"/>
      <c r="AF62" s="263"/>
      <c r="AG62" s="256">
        <f>IF($AF62="","",EDATE($AF62,12))</f>
      </c>
      <c r="AH62" s="254" cm="1">
        <f t="array" ref="AH62">IF($B62="","",_xlfn.LET(_xlpm.ids,'15. BCM Risk Register'!$A$6:$A$65,_xlpm.links,'15. BCM Risk Register'!$I$6:$I$65,_xlpm.hit,ISNUMBER(SEARCH(","&amp;$B62&amp;",",","&amp;SUBSTITUTE(_xlpm.links," ","")&amp;",")),IFERROR(_xlfn.TEXTJOIN(", ",TRUE,_xlfn.UNIQUE(_xlfn._xlws.FILTER(_xlpm.ids,_xlpm.hit*(_xlpm.ids&lt;&gt;"")))),"Not Created")))</f>
      </c>
      <c r="AI62" s="254" cm="1">
        <f t="array" ref="AI62">IF($B62="","",_xlfn.LET(_xlpm.ids,'15. BCM Risk Register'!$L$6:$L$65,_xlpm.links,'15. BCM Risk Register'!$I$6:$I$65,_xlpm.hit,ISNUMBER(SEARCH(","&amp;$B62&amp;",",","&amp;SUBSTITUTE(_xlpm.links," ","")&amp;",")),IFERROR(_xlfn.TEXTJOIN(", ",TRUE,_xlfn.UNIQUE(_xlfn._xlws.FILTER(_xlpm.ids,_xlpm.hit*(_xlpm.ids&lt;&gt;"")*(_xlpm.ids&lt;&gt;"Not Created")))),"Not Created")))</f>
      </c>
      <c r="AJ62" s="254" cm="1">
        <f t="array" ref="AJ62">IF($B62="","",_xlfn.LET(_xlpm.ids,'15. BCM Risk Register'!$K$6:$K$65,_xlpm.links,'15. BCM Risk Register'!$I$6:$I$65,_xlpm.hit,ISNUMBER(SEARCH(","&amp;$B62&amp;",",","&amp;SUBSTITUTE(_xlpm.links," ","")&amp;",")),IFERROR(_xlfn.TEXTJOIN(", ",TRUE,_xlfn.UNIQUE(_xlfn._xlws.FILTER(_xlpm.ids,_xlpm.hit*(_xlpm.ids&lt;&gt;"")*(_xlpm.ids&lt;&gt;"Not Created")))),"Not Created")))</f>
      </c>
    </row>
    <row r="63" spans="1:36" ht="14.5" customHeight="1" x14ac:dyDescent="0.35">
      <c r="A63" s="248"/>
      <c r="B63" s="248"/>
      <c r="C63" s="241"/>
      <c r="D63" s="241"/>
      <c r="E63" s="248"/>
      <c r="F63" s="246"/>
      <c r="G63" s="46" t="s">
        <v>160</v>
      </c>
      <c r="H63" s="293"/>
      <c r="I63" s="71" t="s">
        <v>117</v>
      </c>
      <c r="J63" s="293"/>
      <c r="K63" s="293"/>
      <c r="L63" s="293"/>
      <c r="M63" s="293"/>
      <c r="N63" s="293"/>
      <c r="O63" s="293"/>
      <c r="P63" s="293"/>
      <c r="Q63" s="293"/>
      <c r="R63" s="293"/>
      <c r="S63" s="258"/>
      <c r="T63" s="68">
        <f>IF($S$62="","",IF(COUNT(J63:R63)=0,"",IF(MAX(J63:R63)&gt;3,$I63,"")))</f>
      </c>
      <c r="U63" s="248"/>
      <c r="V63" s="251"/>
      <c r="W63" s="248"/>
      <c r="X63" s="248"/>
      <c r="Y63" s="262"/>
      <c r="Z63" s="262"/>
      <c r="AA63" s="248"/>
      <c r="AB63" s="248"/>
      <c r="AC63" s="246"/>
      <c r="AD63" s="248"/>
      <c r="AE63" s="262"/>
      <c r="AF63" s="262"/>
      <c r="AG63" s="248"/>
      <c r="AH63" s="255"/>
      <c r="AI63" s="255"/>
      <c r="AJ63" s="255"/>
    </row>
    <row r="64" spans="1:36" ht="14.5" customHeight="1" x14ac:dyDescent="0.35">
      <c r="A64" s="248"/>
      <c r="B64" s="248"/>
      <c r="C64" s="241"/>
      <c r="D64" s="241"/>
      <c r="E64" s="248"/>
      <c r="F64" s="246"/>
      <c r="G64" s="46" t="s">
        <v>206</v>
      </c>
      <c r="H64" s="293"/>
      <c r="I64" s="71" t="s">
        <v>118</v>
      </c>
      <c r="J64" s="293"/>
      <c r="K64" s="293"/>
      <c r="L64" s="293"/>
      <c r="M64" s="293"/>
      <c r="N64" s="293"/>
      <c r="O64" s="293"/>
      <c r="P64" s="293"/>
      <c r="Q64" s="293"/>
      <c r="R64" s="293"/>
      <c r="S64" s="258"/>
      <c r="T64" s="68">
        <f>IF($S$62="","",IF(COUNT(J64:R64)=0,"",IF(MAX(J64:R64)&gt;3,$I64,"")))</f>
      </c>
      <c r="U64" s="248"/>
      <c r="V64" s="251"/>
      <c r="W64" s="248"/>
      <c r="X64" s="248"/>
      <c r="Y64" s="262"/>
      <c r="Z64" s="262"/>
      <c r="AA64" s="248"/>
      <c r="AB64" s="248"/>
      <c r="AC64" s="246"/>
      <c r="AD64" s="248"/>
      <c r="AE64" s="262"/>
      <c r="AF64" s="262"/>
      <c r="AG64" s="248"/>
      <c r="AH64" s="255"/>
      <c r="AI64" s="255"/>
      <c r="AJ64" s="255"/>
    </row>
    <row r="65" spans="1:36" ht="14.5" customHeight="1" x14ac:dyDescent="0.35">
      <c r="A65" s="248"/>
      <c r="B65" s="248"/>
      <c r="C65" s="241"/>
      <c r="D65" s="241"/>
      <c r="E65" s="248"/>
      <c r="F65" s="246"/>
      <c r="G65" s="46" t="s">
        <v>207</v>
      </c>
      <c r="H65" s="293"/>
      <c r="I65" s="71" t="s">
        <v>119</v>
      </c>
      <c r="J65" s="293"/>
      <c r="K65" s="293"/>
      <c r="L65" s="293"/>
      <c r="M65" s="293"/>
      <c r="N65" s="293"/>
      <c r="O65" s="293"/>
      <c r="P65" s="293"/>
      <c r="Q65" s="293"/>
      <c r="R65" s="293"/>
      <c r="S65" s="258"/>
      <c r="T65" s="68">
        <f>IF($S$62="","",IF(COUNT(J65:R65)=0,"",IF(MAX(J65:R65)&gt;3,$I65,"")))</f>
      </c>
      <c r="U65" s="248"/>
      <c r="V65" s="251"/>
      <c r="W65" s="248"/>
      <c r="X65" s="248"/>
      <c r="Y65" s="262"/>
      <c r="Z65" s="262"/>
      <c r="AA65" s="248"/>
      <c r="AB65" s="248"/>
      <c r="AC65" s="246"/>
      <c r="AD65" s="248"/>
      <c r="AE65" s="262"/>
      <c r="AF65" s="262"/>
      <c r="AG65" s="248"/>
      <c r="AH65" s="255"/>
      <c r="AI65" s="255"/>
      <c r="AJ65" s="255"/>
    </row>
    <row r="66" spans="1:36" ht="14.5" customHeight="1" x14ac:dyDescent="0.35">
      <c r="A66" s="248"/>
      <c r="B66" s="248"/>
      <c r="C66" s="241"/>
      <c r="D66" s="241"/>
      <c r="E66" s="248"/>
      <c r="F66" s="246"/>
      <c r="G66" s="46" t="s">
        <v>161</v>
      </c>
      <c r="H66" s="293"/>
      <c r="I66" s="71" t="s">
        <v>120</v>
      </c>
      <c r="J66" s="293"/>
      <c r="K66" s="293"/>
      <c r="L66" s="293"/>
      <c r="M66" s="293"/>
      <c r="N66" s="293"/>
      <c r="O66" s="293"/>
      <c r="P66" s="293"/>
      <c r="Q66" s="293"/>
      <c r="R66" s="293"/>
      <c r="S66" s="258"/>
      <c r="T66" s="68">
        <f>IF($S$62="","",IF(COUNT(J66:R66)=0,"",IF(MAX(J66:R66)&gt;3,$I66,"")))</f>
      </c>
      <c r="U66" s="248"/>
      <c r="V66" s="251"/>
      <c r="W66" s="248"/>
      <c r="X66" s="248"/>
      <c r="Y66" s="262"/>
      <c r="Z66" s="262"/>
      <c r="AA66" s="248"/>
      <c r="AB66" s="248"/>
      <c r="AC66" s="246"/>
      <c r="AD66" s="248"/>
      <c r="AE66" s="262"/>
      <c r="AF66" s="262"/>
      <c r="AG66" s="248"/>
      <c r="AH66" s="255"/>
      <c r="AI66" s="255"/>
      <c r="AJ66" s="255"/>
    </row>
    <row r="67" spans="1:36" ht="14.5" customHeight="1" x14ac:dyDescent="0.35">
      <c r="A67" s="248"/>
      <c r="B67" s="248"/>
      <c r="C67" s="241"/>
      <c r="D67" s="241"/>
      <c r="E67" s="248"/>
      <c r="F67" s="246"/>
      <c r="G67" s="46" t="s">
        <v>208</v>
      </c>
      <c r="H67" s="293"/>
      <c r="I67" s="71" t="s">
        <v>121</v>
      </c>
      <c r="J67" s="293"/>
      <c r="K67" s="293"/>
      <c r="L67" s="293"/>
      <c r="M67" s="293"/>
      <c r="N67" s="293"/>
      <c r="O67" s="293"/>
      <c r="P67" s="293"/>
      <c r="Q67" s="293"/>
      <c r="R67" s="293"/>
      <c r="S67" s="258"/>
      <c r="T67" s="68">
        <f>IF($S$62="","",IF(COUNT(J67:R67)=0,"",IF(MAX(J67:R67)&gt;3,$I67,"")))</f>
      </c>
      <c r="U67" s="248"/>
      <c r="V67" s="251"/>
      <c r="W67" s="248"/>
      <c r="X67" s="248"/>
      <c r="Y67" s="262"/>
      <c r="Z67" s="262"/>
      <c r="AA67" s="248"/>
      <c r="AB67" s="248"/>
      <c r="AC67" s="246"/>
      <c r="AD67" s="248"/>
      <c r="AE67" s="262"/>
      <c r="AF67" s="262"/>
      <c r="AG67" s="248"/>
      <c r="AH67" s="255"/>
      <c r="AI67" s="255"/>
      <c r="AJ67" s="255"/>
    </row>
    <row r="68" spans="1:36" ht="14.5" customHeight="1" x14ac:dyDescent="0.35">
      <c r="A68" s="248"/>
      <c r="B68" s="248"/>
      <c r="C68" s="242"/>
      <c r="D68" s="242"/>
      <c r="E68" s="248"/>
      <c r="F68" s="246"/>
      <c r="G68" s="46" t="s">
        <v>209</v>
      </c>
      <c r="H68" s="293"/>
      <c r="I68" s="71" t="s">
        <v>122</v>
      </c>
      <c r="J68" s="293"/>
      <c r="K68" s="293"/>
      <c r="L68" s="293"/>
      <c r="M68" s="293"/>
      <c r="N68" s="293"/>
      <c r="O68" s="293"/>
      <c r="P68" s="293"/>
      <c r="Q68" s="293"/>
      <c r="R68" s="293"/>
      <c r="S68" s="259"/>
      <c r="T68" s="68">
        <f>IF($S$62="","",IF(COUNT(J68:R68)=0,"",IF(MAX(J68:R68)&gt;3,$I68,"")))</f>
      </c>
      <c r="U68" s="248"/>
      <c r="V68" s="251"/>
      <c r="W68" s="248"/>
      <c r="X68" s="248"/>
      <c r="Y68" s="262"/>
      <c r="Z68" s="262"/>
      <c r="AA68" s="248"/>
      <c r="AB68" s="248"/>
      <c r="AC68" s="246"/>
      <c r="AD68" s="248"/>
      <c r="AE68" s="262"/>
      <c r="AF68" s="262"/>
      <c r="AG68" s="248"/>
      <c r="AH68" s="255"/>
      <c r="AI68" s="255"/>
      <c r="AJ68" s="255"/>
    </row>
    <row r="69" spans="1:36" ht="14.5" customHeight="1" x14ac:dyDescent="0.35">
      <c r="A69" s="252">
        <v>10</v>
      </c>
      <c r="B69" s="264">
        <f>IF($E69="","","BIA-"&amp;TEXT(10,"000"))</f>
      </c>
      <c r="C69" s="240">
        <f>IFERROR(INDEX(BusinessUnits1,MATCH($A69,'04. Products &amp; Services'!$N$5:$N$49,0)),"")</f>
      </c>
      <c r="D69" s="240">
        <f>IFERROR(INDEX(DivisionSites,MATCH($A69,'04. Products &amp; Services'!$N$5:$N$49,0)),"")</f>
      </c>
      <c r="E69" s="253">
        <f>IFERROR(INDEX(ScopeNames,MATCH($A69,'04. Products &amp; Services'!$N$5:$N$49,0)),"")</f>
      </c>
      <c r="F69" s="265">
        <f>IF($E69="","",IFERROR(IF(INDEX(PS_ID,MATCH($E69,ScopeNames,0))="","",INDEX(PS_ID,MATCH($E69,ScopeNames,0))),""))</f>
      </c>
      <c r="G69" s="46" t="s">
        <v>205</v>
      </c>
      <c r="H69" s="293"/>
      <c r="I69" s="71" t="s">
        <v>116</v>
      </c>
      <c r="J69" s="293"/>
      <c r="K69" s="293"/>
      <c r="L69" s="293"/>
      <c r="M69" s="293"/>
      <c r="N69" s="293"/>
      <c r="O69" s="293"/>
      <c r="P69" s="293"/>
      <c r="Q69" s="293"/>
      <c r="R69" s="293"/>
      <c r="S69" s="257">
        <f>IF(COUNT(J69:R75)=0,"",MAX(J69:R75))</f>
      </c>
      <c r="T69" s="68">
        <f>IF($S$69="","",IF(COUNT(J69:R69)=0,"",IF(MAX(J69:R69)&gt;3,$I69,"")))</f>
      </c>
      <c r="U69" s="249">
        <f>IF($E69="","",IFERROR(IF(INDEX('04. Products &amp; Services'!$J$5:$J$49,MATCH($A69,'04. Products &amp; Services'!$N$5:$N$49,0))="","",INDEX('04. Products &amp; Services'!$J$5:$J$49,MATCH($A69,'04. Products &amp; Services'!$N$5:$N$49,0))),""))</f>
      </c>
      <c r="V69" s="299"/>
      <c r="W69" s="247">
        <f>IF($E69="","",IF(OR($U69="Yes",$V69="Yes"),"Yes",IF(AND($U69="No",$V69="No"),"No",IF(AND($U69="Under Evaluation",$V69="No"),"Under Evaluation",""))))</f>
      </c>
      <c r="X69" s="270">
        <f>IF($E69="","",IFERROR(IF(INDEX('04. Products &amp; Services'!$K$5:$K$49,MATCH($A69,'04. Products &amp; Services'!$N$5:$N$49,0))="","",INDEX('04. Products &amp; Services'!$K$5:$K$49,MATCH($A69,'04. Products &amp; Services'!$N$5:$N$49,0))),""))</f>
      </c>
      <c r="Y69" s="269"/>
      <c r="Z69" s="269"/>
      <c r="AA69" s="247">
        <f>IF($E69="","",IF(COUNT(J69:R75)=0,"",IF(MAX(J69:J75)&gt;=4,6,IF(MAX(K69:K75)&gt;=4,18,IF(MAX(L69:L75)&gt;=4,36,IF(MAX(M69:M75)&gt;=4,72,IF(MAX(N69:N75)&gt;=4,168,IF(MAX(O69:O75)&gt;=4,336,IF(MAX(P69:P75)&gt;=4,504,IF(MAX(Q69:Q75)&gt;=4,672,IF(MAX(R69:R75)&gt;=4,"","")))))))))))</f>
      </c>
      <c r="AB69" s="247">
        <f>IF($E69="","",IFERROR(IF(INDEX('04. Products &amp; Services'!$M$5:$M$49,MATCH($A69,'04. Products &amp; Services'!$N$5:$N$49,0))="","",INDEX('04. Products &amp; Services'!$M$5:$M$49,MATCH($A69,'04. Products &amp; Services'!$N$5:$N$49,0))),""))</f>
      </c>
      <c r="AC69" s="245"/>
      <c r="AD69" s="260">
        <f>IF(AC69="","",IF(ISNUMBER(AC69),AC69,IFERROR(VALUE(LEFT(TRIM(AC69),FIND(" ",TRIM(AC69))-1))*VLOOKUP(LEFT(LOWER(TRIM(MID(TRIM(AC69),FIND(" ",TRIM(AC69))+1,99))),3),DurationUnits,2,FALSE),"")))</f>
      </c>
      <c r="AE69" s="261"/>
      <c r="AF69" s="263"/>
      <c r="AG69" s="256">
        <f>IF($AF69="","",EDATE($AF69,12))</f>
      </c>
      <c r="AH69" s="254" cm="1">
        <f t="array" ref="AH69">IF($B69="","",_xlfn.LET(_xlpm.ids,'15. BCM Risk Register'!$A$6:$A$65,_xlpm.links,'15. BCM Risk Register'!$I$6:$I$65,_xlpm.hit,ISNUMBER(SEARCH(","&amp;$B69&amp;",",","&amp;SUBSTITUTE(_xlpm.links," ","")&amp;",")),IFERROR(_xlfn.TEXTJOIN(", ",TRUE,_xlfn.UNIQUE(_xlfn._xlws.FILTER(_xlpm.ids,_xlpm.hit*(_xlpm.ids&lt;&gt;"")))),"Not Created")))</f>
      </c>
      <c r="AI69" s="254" cm="1">
        <f t="array" ref="AI69">IF($B69="","",_xlfn.LET(_xlpm.ids,'15. BCM Risk Register'!$L$6:$L$65,_xlpm.links,'15. BCM Risk Register'!$I$6:$I$65,_xlpm.hit,ISNUMBER(SEARCH(","&amp;$B69&amp;",",","&amp;SUBSTITUTE(_xlpm.links," ","")&amp;",")),IFERROR(_xlfn.TEXTJOIN(", ",TRUE,_xlfn.UNIQUE(_xlfn._xlws.FILTER(_xlpm.ids,_xlpm.hit*(_xlpm.ids&lt;&gt;"")*(_xlpm.ids&lt;&gt;"Not Created")))),"Not Created")))</f>
      </c>
      <c r="AJ69" s="254" cm="1">
        <f t="array" ref="AJ69">IF($B69="","",_xlfn.LET(_xlpm.ids,'15. BCM Risk Register'!$K$6:$K$65,_xlpm.links,'15. BCM Risk Register'!$I$6:$I$65,_xlpm.hit,ISNUMBER(SEARCH(","&amp;$B69&amp;",",","&amp;SUBSTITUTE(_xlpm.links," ","")&amp;",")),IFERROR(_xlfn.TEXTJOIN(", ",TRUE,_xlfn.UNIQUE(_xlfn._xlws.FILTER(_xlpm.ids,_xlpm.hit*(_xlpm.ids&lt;&gt;"")*(_xlpm.ids&lt;&gt;"Not Created")))),"Not Created")))</f>
      </c>
    </row>
    <row r="70" spans="1:36" ht="14.5" customHeight="1" x14ac:dyDescent="0.35">
      <c r="A70" s="248"/>
      <c r="B70" s="248"/>
      <c r="C70" s="241"/>
      <c r="D70" s="241"/>
      <c r="E70" s="248"/>
      <c r="F70" s="246"/>
      <c r="G70" s="46" t="s">
        <v>160</v>
      </c>
      <c r="H70" s="293"/>
      <c r="I70" s="71" t="s">
        <v>117</v>
      </c>
      <c r="J70" s="293"/>
      <c r="K70" s="293"/>
      <c r="L70" s="293"/>
      <c r="M70" s="293"/>
      <c r="N70" s="293"/>
      <c r="O70" s="293"/>
      <c r="P70" s="293"/>
      <c r="Q70" s="293"/>
      <c r="R70" s="293"/>
      <c r="S70" s="258"/>
      <c r="T70" s="68">
        <f>IF($S$69="","",IF(COUNT(J70:R70)=0,"",IF(MAX(J70:R70)&gt;3,$I70,"")))</f>
      </c>
      <c r="U70" s="248"/>
      <c r="V70" s="251"/>
      <c r="W70" s="248"/>
      <c r="X70" s="248"/>
      <c r="Y70" s="262"/>
      <c r="Z70" s="262"/>
      <c r="AA70" s="248"/>
      <c r="AB70" s="248"/>
      <c r="AC70" s="246"/>
      <c r="AD70" s="248"/>
      <c r="AE70" s="262"/>
      <c r="AF70" s="262"/>
      <c r="AG70" s="248"/>
      <c r="AH70" s="255"/>
      <c r="AI70" s="255"/>
      <c r="AJ70" s="255"/>
    </row>
    <row r="71" spans="1:36" ht="14.5" customHeight="1" x14ac:dyDescent="0.35">
      <c r="A71" s="248"/>
      <c r="B71" s="248"/>
      <c r="C71" s="241"/>
      <c r="D71" s="241"/>
      <c r="E71" s="248"/>
      <c r="F71" s="246"/>
      <c r="G71" s="46" t="s">
        <v>206</v>
      </c>
      <c r="H71" s="293"/>
      <c r="I71" s="71" t="s">
        <v>118</v>
      </c>
      <c r="J71" s="293"/>
      <c r="K71" s="293"/>
      <c r="L71" s="293"/>
      <c r="M71" s="293"/>
      <c r="N71" s="293"/>
      <c r="O71" s="293"/>
      <c r="P71" s="293"/>
      <c r="Q71" s="293"/>
      <c r="R71" s="293"/>
      <c r="S71" s="258"/>
      <c r="T71" s="68">
        <f>IF($S$69="","",IF(COUNT(J71:R71)=0,"",IF(MAX(J71:R71)&gt;3,$I71,"")))</f>
      </c>
      <c r="U71" s="248"/>
      <c r="V71" s="251"/>
      <c r="W71" s="248"/>
      <c r="X71" s="248"/>
      <c r="Y71" s="262"/>
      <c r="Z71" s="262"/>
      <c r="AA71" s="248"/>
      <c r="AB71" s="248"/>
      <c r="AC71" s="246"/>
      <c r="AD71" s="248"/>
      <c r="AE71" s="262"/>
      <c r="AF71" s="262"/>
      <c r="AG71" s="248"/>
      <c r="AH71" s="255"/>
      <c r="AI71" s="255"/>
      <c r="AJ71" s="255"/>
    </row>
    <row r="72" spans="1:36" ht="14.5" customHeight="1" x14ac:dyDescent="0.35">
      <c r="A72" s="248"/>
      <c r="B72" s="248"/>
      <c r="C72" s="241"/>
      <c r="D72" s="241"/>
      <c r="E72" s="248"/>
      <c r="F72" s="246"/>
      <c r="G72" s="46" t="s">
        <v>207</v>
      </c>
      <c r="H72" s="293"/>
      <c r="I72" s="71" t="s">
        <v>119</v>
      </c>
      <c r="J72" s="293"/>
      <c r="K72" s="293"/>
      <c r="L72" s="293"/>
      <c r="M72" s="293"/>
      <c r="N72" s="293"/>
      <c r="O72" s="293"/>
      <c r="P72" s="293"/>
      <c r="Q72" s="293"/>
      <c r="R72" s="293"/>
      <c r="S72" s="258"/>
      <c r="T72" s="68">
        <f>IF($S$69="","",IF(COUNT(J72:R72)=0,"",IF(MAX(J72:R72)&gt;3,$I72,"")))</f>
      </c>
      <c r="U72" s="248"/>
      <c r="V72" s="251"/>
      <c r="W72" s="248"/>
      <c r="X72" s="248"/>
      <c r="Y72" s="262"/>
      <c r="Z72" s="262"/>
      <c r="AA72" s="248"/>
      <c r="AB72" s="248"/>
      <c r="AC72" s="246"/>
      <c r="AD72" s="248"/>
      <c r="AE72" s="262"/>
      <c r="AF72" s="262"/>
      <c r="AG72" s="248"/>
      <c r="AH72" s="255"/>
      <c r="AI72" s="255"/>
      <c r="AJ72" s="255"/>
    </row>
    <row r="73" spans="1:36" ht="14.5" customHeight="1" x14ac:dyDescent="0.35">
      <c r="A73" s="248"/>
      <c r="B73" s="248"/>
      <c r="C73" s="241"/>
      <c r="D73" s="241"/>
      <c r="E73" s="248"/>
      <c r="F73" s="246"/>
      <c r="G73" s="46" t="s">
        <v>161</v>
      </c>
      <c r="H73" s="293"/>
      <c r="I73" s="71" t="s">
        <v>120</v>
      </c>
      <c r="J73" s="293"/>
      <c r="K73" s="293"/>
      <c r="L73" s="293"/>
      <c r="M73" s="293"/>
      <c r="N73" s="293"/>
      <c r="O73" s="293"/>
      <c r="P73" s="293"/>
      <c r="Q73" s="293"/>
      <c r="R73" s="293"/>
      <c r="S73" s="258"/>
      <c r="T73" s="68">
        <f>IF($S$69="","",IF(COUNT(J73:R73)=0,"",IF(MAX(J73:R73)&gt;3,$I73,"")))</f>
      </c>
      <c r="U73" s="248"/>
      <c r="V73" s="251"/>
      <c r="W73" s="248"/>
      <c r="X73" s="248"/>
      <c r="Y73" s="262"/>
      <c r="Z73" s="262"/>
      <c r="AA73" s="248"/>
      <c r="AB73" s="248"/>
      <c r="AC73" s="246"/>
      <c r="AD73" s="248"/>
      <c r="AE73" s="262"/>
      <c r="AF73" s="262"/>
      <c r="AG73" s="248"/>
      <c r="AH73" s="255"/>
      <c r="AI73" s="255"/>
      <c r="AJ73" s="255"/>
    </row>
    <row r="74" spans="1:36" ht="14.5" customHeight="1" x14ac:dyDescent="0.35">
      <c r="A74" s="248"/>
      <c r="B74" s="248"/>
      <c r="C74" s="241"/>
      <c r="D74" s="241"/>
      <c r="E74" s="248"/>
      <c r="F74" s="246"/>
      <c r="G74" s="46" t="s">
        <v>208</v>
      </c>
      <c r="H74" s="293"/>
      <c r="I74" s="71" t="s">
        <v>121</v>
      </c>
      <c r="J74" s="293"/>
      <c r="K74" s="293"/>
      <c r="L74" s="293"/>
      <c r="M74" s="293"/>
      <c r="N74" s="293"/>
      <c r="O74" s="293"/>
      <c r="P74" s="293"/>
      <c r="Q74" s="293"/>
      <c r="R74" s="293"/>
      <c r="S74" s="258"/>
      <c r="T74" s="68">
        <f>IF($S$69="","",IF(COUNT(J74:R74)=0,"",IF(MAX(J74:R74)&gt;3,$I74,"")))</f>
      </c>
      <c r="U74" s="248"/>
      <c r="V74" s="251"/>
      <c r="W74" s="248"/>
      <c r="X74" s="248"/>
      <c r="Y74" s="262"/>
      <c r="Z74" s="262"/>
      <c r="AA74" s="248"/>
      <c r="AB74" s="248"/>
      <c r="AC74" s="246"/>
      <c r="AD74" s="248"/>
      <c r="AE74" s="262"/>
      <c r="AF74" s="262"/>
      <c r="AG74" s="248"/>
      <c r="AH74" s="255"/>
      <c r="AI74" s="255"/>
      <c r="AJ74" s="255"/>
    </row>
    <row r="75" spans="1:36" ht="14.5" customHeight="1" x14ac:dyDescent="0.35">
      <c r="A75" s="248"/>
      <c r="B75" s="248"/>
      <c r="C75" s="242"/>
      <c r="D75" s="242"/>
      <c r="E75" s="248"/>
      <c r="F75" s="246"/>
      <c r="G75" s="46" t="s">
        <v>209</v>
      </c>
      <c r="H75" s="293"/>
      <c r="I75" s="71" t="s">
        <v>122</v>
      </c>
      <c r="J75" s="293"/>
      <c r="K75" s="293"/>
      <c r="L75" s="293"/>
      <c r="M75" s="293"/>
      <c r="N75" s="293"/>
      <c r="O75" s="293"/>
      <c r="P75" s="293"/>
      <c r="Q75" s="293"/>
      <c r="R75" s="293"/>
      <c r="S75" s="259"/>
      <c r="T75" s="68">
        <f>IF($S$69="","",IF(COUNT(J75:R75)=0,"",IF(MAX(J75:R75)&gt;3,$I75,"")))</f>
      </c>
      <c r="U75" s="248"/>
      <c r="V75" s="251"/>
      <c r="W75" s="248"/>
      <c r="X75" s="248"/>
      <c r="Y75" s="262"/>
      <c r="Z75" s="262"/>
      <c r="AA75" s="248"/>
      <c r="AB75" s="248"/>
      <c r="AC75" s="246"/>
      <c r="AD75" s="248"/>
      <c r="AE75" s="262"/>
      <c r="AF75" s="262"/>
      <c r="AG75" s="248"/>
      <c r="AH75" s="255"/>
      <c r="AI75" s="255"/>
      <c r="AJ75" s="255"/>
    </row>
    <row r="76" spans="1:36" ht="14.5" customHeight="1" x14ac:dyDescent="0.35">
      <c r="A76" s="252">
        <v>11</v>
      </c>
      <c r="B76" s="264">
        <f>IF($E76="","","BIA-"&amp;TEXT(11,"000"))</f>
      </c>
      <c r="C76" s="240">
        <f>IFERROR(INDEX(BusinessUnits1,MATCH($A76,'04. Products &amp; Services'!$N$5:$N$49,0)),"")</f>
      </c>
      <c r="D76" s="240">
        <f>IFERROR(INDEX(DivisionSites,MATCH($A76,'04. Products &amp; Services'!$N$5:$N$49,0)),"")</f>
      </c>
      <c r="E76" s="253">
        <f>IFERROR(INDEX(ScopeNames,MATCH($A76,'04. Products &amp; Services'!$N$5:$N$49,0)),"")</f>
      </c>
      <c r="F76" s="265">
        <f>IF($E76="","",IFERROR(IF(INDEX(PS_ID,MATCH($E76,ScopeNames,0))="","",INDEX(PS_ID,MATCH($E76,ScopeNames,0))),""))</f>
      </c>
      <c r="G76" s="46" t="s">
        <v>205</v>
      </c>
      <c r="H76" s="293"/>
      <c r="I76" s="71" t="s">
        <v>116</v>
      </c>
      <c r="J76" s="293"/>
      <c r="K76" s="293"/>
      <c r="L76" s="293"/>
      <c r="M76" s="293"/>
      <c r="N76" s="293"/>
      <c r="O76" s="293"/>
      <c r="P76" s="293"/>
      <c r="Q76" s="293"/>
      <c r="R76" s="293"/>
      <c r="S76" s="257">
        <f>IF(COUNT(J76:R82)=0,"",MAX(J76:R82))</f>
      </c>
      <c r="T76" s="68">
        <f>IF($S$76="","",IF(COUNT(J76:R76)=0,"",IF(MAX(J76:R76)&gt;3,$I76,"")))</f>
      </c>
      <c r="U76" s="249">
        <f>IF($E76="","",IFERROR(IF(INDEX('04. Products &amp; Services'!$J$5:$J$49,MATCH($A76,'04. Products &amp; Services'!$N$5:$N$49,0))="","",INDEX('04. Products &amp; Services'!$J$5:$J$49,MATCH($A76,'04. Products &amp; Services'!$N$5:$N$49,0))),""))</f>
      </c>
      <c r="V76" s="299"/>
      <c r="W76" s="247">
        <f>IF($E76="","",IF(OR($U76="Yes",$V76="Yes"),"Yes",IF(AND($U76="No",$V76="No"),"No",IF(AND($U76="Under Evaluation",$V76="No"),"Under Evaluation",""))))</f>
      </c>
      <c r="X76" s="270">
        <f>IF($E76="","",IFERROR(IF(INDEX('04. Products &amp; Services'!$K$5:$K$49,MATCH($A76,'04. Products &amp; Services'!$N$5:$N$49,0))="","",INDEX('04. Products &amp; Services'!$K$5:$K$49,MATCH($A76,'04. Products &amp; Services'!$N$5:$N$49,0))),""))</f>
      </c>
      <c r="Y76" s="269"/>
      <c r="Z76" s="269"/>
      <c r="AA76" s="247">
        <f>IF($E76="","",IF(COUNT(J76:R82)=0,"",IF(MAX(J76:J82)&gt;=4,6,IF(MAX(K76:K82)&gt;=4,18,IF(MAX(L76:L82)&gt;=4,36,IF(MAX(M76:M82)&gt;=4,72,IF(MAX(N76:N82)&gt;=4,168,IF(MAX(O76:O82)&gt;=4,336,IF(MAX(P76:P82)&gt;=4,504,IF(MAX(Q76:Q82)&gt;=4,672,IF(MAX(R76:R82)&gt;=4,"","")))))))))))</f>
      </c>
      <c r="AB76" s="247">
        <f>IF($E76="","",IFERROR(IF(INDEX('04. Products &amp; Services'!$M$5:$M$49,MATCH($A76,'04. Products &amp; Services'!$N$5:$N$49,0))="","",INDEX('04. Products &amp; Services'!$M$5:$M$49,MATCH($A76,'04. Products &amp; Services'!$N$5:$N$49,0))),""))</f>
      </c>
      <c r="AC76" s="245"/>
      <c r="AD76" s="260">
        <f>IF(AC76="","",IF(ISNUMBER(AC76),AC76,IFERROR(VALUE(LEFT(TRIM(AC76),FIND(" ",TRIM(AC76))-1))*VLOOKUP(LEFT(LOWER(TRIM(MID(TRIM(AC76),FIND(" ",TRIM(AC76))+1,99))),3),DurationUnits,2,FALSE),"")))</f>
      </c>
      <c r="AE76" s="261"/>
      <c r="AF76" s="263"/>
      <c r="AG76" s="256">
        <f>IF($AF76="","",EDATE($AF76,12))</f>
      </c>
      <c r="AH76" s="254" cm="1">
        <f t="array" ref="AH76">IF($B76="","",_xlfn.LET(_xlpm.ids,'15. BCM Risk Register'!$A$6:$A$65,_xlpm.links,'15. BCM Risk Register'!$I$6:$I$65,_xlpm.hit,ISNUMBER(SEARCH(","&amp;$B76&amp;",",","&amp;SUBSTITUTE(_xlpm.links," ","")&amp;",")),IFERROR(_xlfn.TEXTJOIN(", ",TRUE,_xlfn.UNIQUE(_xlfn._xlws.FILTER(_xlpm.ids,_xlpm.hit*(_xlpm.ids&lt;&gt;"")))),"Not Created")))</f>
      </c>
      <c r="AI76" s="254" cm="1">
        <f t="array" ref="AI76">IF($B76="","",_xlfn.LET(_xlpm.ids,'15. BCM Risk Register'!$L$6:$L$65,_xlpm.links,'15. BCM Risk Register'!$I$6:$I$65,_xlpm.hit,ISNUMBER(SEARCH(","&amp;$B76&amp;",",","&amp;SUBSTITUTE(_xlpm.links," ","")&amp;",")),IFERROR(_xlfn.TEXTJOIN(", ",TRUE,_xlfn.UNIQUE(_xlfn._xlws.FILTER(_xlpm.ids,_xlpm.hit*(_xlpm.ids&lt;&gt;"")*(_xlpm.ids&lt;&gt;"Not Created")))),"Not Created")))</f>
      </c>
      <c r="AJ76" s="254" cm="1">
        <f t="array" ref="AJ76">IF($B76="","",_xlfn.LET(_xlpm.ids,'15. BCM Risk Register'!$K$6:$K$65,_xlpm.links,'15. BCM Risk Register'!$I$6:$I$65,_xlpm.hit,ISNUMBER(SEARCH(","&amp;$B76&amp;",",","&amp;SUBSTITUTE(_xlpm.links," ","")&amp;",")),IFERROR(_xlfn.TEXTJOIN(", ",TRUE,_xlfn.UNIQUE(_xlfn._xlws.FILTER(_xlpm.ids,_xlpm.hit*(_xlpm.ids&lt;&gt;"")*(_xlpm.ids&lt;&gt;"Not Created")))),"Not Created")))</f>
      </c>
    </row>
    <row r="77" spans="1:36" ht="14.5" customHeight="1" x14ac:dyDescent="0.35">
      <c r="A77" s="248"/>
      <c r="B77" s="248"/>
      <c r="C77" s="241"/>
      <c r="D77" s="241"/>
      <c r="E77" s="248"/>
      <c r="F77" s="246"/>
      <c r="G77" s="46" t="s">
        <v>160</v>
      </c>
      <c r="H77" s="293"/>
      <c r="I77" s="71" t="s">
        <v>117</v>
      </c>
      <c r="J77" s="293"/>
      <c r="K77" s="293"/>
      <c r="L77" s="293"/>
      <c r="M77" s="293"/>
      <c r="N77" s="293"/>
      <c r="O77" s="293"/>
      <c r="P77" s="293"/>
      <c r="Q77" s="293"/>
      <c r="R77" s="293"/>
      <c r="S77" s="258"/>
      <c r="T77" s="68">
        <f>IF($S$76="","",IF(COUNT(J77:R77)=0,"",IF(MAX(J77:R77)&gt;3,$I77,"")))</f>
      </c>
      <c r="U77" s="248"/>
      <c r="V77" s="251"/>
      <c r="W77" s="248"/>
      <c r="X77" s="248"/>
      <c r="Y77" s="262"/>
      <c r="Z77" s="262"/>
      <c r="AA77" s="248"/>
      <c r="AB77" s="248"/>
      <c r="AC77" s="246"/>
      <c r="AD77" s="248"/>
      <c r="AE77" s="262"/>
      <c r="AF77" s="262"/>
      <c r="AG77" s="248"/>
      <c r="AH77" s="255"/>
      <c r="AI77" s="255"/>
      <c r="AJ77" s="255"/>
    </row>
    <row r="78" spans="1:36" ht="14.5" customHeight="1" x14ac:dyDescent="0.35">
      <c r="A78" s="248"/>
      <c r="B78" s="248"/>
      <c r="C78" s="241"/>
      <c r="D78" s="241"/>
      <c r="E78" s="248"/>
      <c r="F78" s="246"/>
      <c r="G78" s="46" t="s">
        <v>206</v>
      </c>
      <c r="H78" s="293"/>
      <c r="I78" s="71" t="s">
        <v>118</v>
      </c>
      <c r="J78" s="293"/>
      <c r="K78" s="293"/>
      <c r="L78" s="293"/>
      <c r="M78" s="293"/>
      <c r="N78" s="293"/>
      <c r="O78" s="293"/>
      <c r="P78" s="293"/>
      <c r="Q78" s="293"/>
      <c r="R78" s="293"/>
      <c r="S78" s="258"/>
      <c r="T78" s="68">
        <f>IF($S$76="","",IF(COUNT(J78:R78)=0,"",IF(MAX(J78:R78)&gt;3,$I78,"")))</f>
      </c>
      <c r="U78" s="248"/>
      <c r="V78" s="251"/>
      <c r="W78" s="248"/>
      <c r="X78" s="248"/>
      <c r="Y78" s="262"/>
      <c r="Z78" s="262"/>
      <c r="AA78" s="248"/>
      <c r="AB78" s="248"/>
      <c r="AC78" s="246"/>
      <c r="AD78" s="248"/>
      <c r="AE78" s="262"/>
      <c r="AF78" s="262"/>
      <c r="AG78" s="248"/>
      <c r="AH78" s="255"/>
      <c r="AI78" s="255"/>
      <c r="AJ78" s="255"/>
    </row>
    <row r="79" spans="1:36" ht="14.5" customHeight="1" x14ac:dyDescent="0.35">
      <c r="A79" s="248"/>
      <c r="B79" s="248"/>
      <c r="C79" s="241"/>
      <c r="D79" s="241"/>
      <c r="E79" s="248"/>
      <c r="F79" s="246"/>
      <c r="G79" s="46" t="s">
        <v>207</v>
      </c>
      <c r="H79" s="293"/>
      <c r="I79" s="71" t="s">
        <v>119</v>
      </c>
      <c r="J79" s="293"/>
      <c r="K79" s="293"/>
      <c r="L79" s="293"/>
      <c r="M79" s="293"/>
      <c r="N79" s="293"/>
      <c r="O79" s="293"/>
      <c r="P79" s="293"/>
      <c r="Q79" s="293"/>
      <c r="R79" s="293"/>
      <c r="S79" s="258"/>
      <c r="T79" s="68">
        <f>IF($S$76="","",IF(COUNT(J79:R79)=0,"",IF(MAX(J79:R79)&gt;3,$I79,"")))</f>
      </c>
      <c r="U79" s="248"/>
      <c r="V79" s="251"/>
      <c r="W79" s="248"/>
      <c r="X79" s="248"/>
      <c r="Y79" s="262"/>
      <c r="Z79" s="262"/>
      <c r="AA79" s="248"/>
      <c r="AB79" s="248"/>
      <c r="AC79" s="246"/>
      <c r="AD79" s="248"/>
      <c r="AE79" s="262"/>
      <c r="AF79" s="262"/>
      <c r="AG79" s="248"/>
      <c r="AH79" s="255"/>
      <c r="AI79" s="255"/>
      <c r="AJ79" s="255"/>
    </row>
    <row r="80" spans="1:36" ht="14.5" customHeight="1" x14ac:dyDescent="0.35">
      <c r="A80" s="248"/>
      <c r="B80" s="248"/>
      <c r="C80" s="241"/>
      <c r="D80" s="241"/>
      <c r="E80" s="248"/>
      <c r="F80" s="246"/>
      <c r="G80" s="46" t="s">
        <v>161</v>
      </c>
      <c r="H80" s="293"/>
      <c r="I80" s="71" t="s">
        <v>120</v>
      </c>
      <c r="J80" s="293"/>
      <c r="K80" s="293"/>
      <c r="L80" s="293"/>
      <c r="M80" s="293"/>
      <c r="N80" s="293"/>
      <c r="O80" s="293"/>
      <c r="P80" s="293"/>
      <c r="Q80" s="293"/>
      <c r="R80" s="293"/>
      <c r="S80" s="258"/>
      <c r="T80" s="68">
        <f>IF($S$76="","",IF(COUNT(J80:R80)=0,"",IF(MAX(J80:R80)&gt;3,$I80,"")))</f>
      </c>
      <c r="U80" s="248"/>
      <c r="V80" s="251"/>
      <c r="W80" s="248"/>
      <c r="X80" s="248"/>
      <c r="Y80" s="262"/>
      <c r="Z80" s="262"/>
      <c r="AA80" s="248"/>
      <c r="AB80" s="248"/>
      <c r="AC80" s="246"/>
      <c r="AD80" s="248"/>
      <c r="AE80" s="262"/>
      <c r="AF80" s="262"/>
      <c r="AG80" s="248"/>
      <c r="AH80" s="255"/>
      <c r="AI80" s="255"/>
      <c r="AJ80" s="255"/>
    </row>
    <row r="81" spans="1:36" ht="14.5" customHeight="1" x14ac:dyDescent="0.35">
      <c r="A81" s="248"/>
      <c r="B81" s="248"/>
      <c r="C81" s="241"/>
      <c r="D81" s="241"/>
      <c r="E81" s="248"/>
      <c r="F81" s="246"/>
      <c r="G81" s="46" t="s">
        <v>208</v>
      </c>
      <c r="H81" s="293"/>
      <c r="I81" s="71" t="s">
        <v>121</v>
      </c>
      <c r="J81" s="293"/>
      <c r="K81" s="293"/>
      <c r="L81" s="293"/>
      <c r="M81" s="293"/>
      <c r="N81" s="293"/>
      <c r="O81" s="293"/>
      <c r="P81" s="293"/>
      <c r="Q81" s="293"/>
      <c r="R81" s="293"/>
      <c r="S81" s="258"/>
      <c r="T81" s="68">
        <f>IF($S$76="","",IF(COUNT(J81:R81)=0,"",IF(MAX(J81:R81)&gt;3,$I81,"")))</f>
      </c>
      <c r="U81" s="248"/>
      <c r="V81" s="251"/>
      <c r="W81" s="248"/>
      <c r="X81" s="248"/>
      <c r="Y81" s="262"/>
      <c r="Z81" s="262"/>
      <c r="AA81" s="248"/>
      <c r="AB81" s="248"/>
      <c r="AC81" s="246"/>
      <c r="AD81" s="248"/>
      <c r="AE81" s="262"/>
      <c r="AF81" s="262"/>
      <c r="AG81" s="248"/>
      <c r="AH81" s="255"/>
      <c r="AI81" s="255"/>
      <c r="AJ81" s="255"/>
    </row>
    <row r="82" spans="1:36" ht="14.5" customHeight="1" x14ac:dyDescent="0.35">
      <c r="A82" s="248"/>
      <c r="B82" s="248"/>
      <c r="C82" s="242"/>
      <c r="D82" s="242"/>
      <c r="E82" s="248"/>
      <c r="F82" s="246"/>
      <c r="G82" s="46" t="s">
        <v>209</v>
      </c>
      <c r="H82" s="293"/>
      <c r="I82" s="71" t="s">
        <v>122</v>
      </c>
      <c r="J82" s="293"/>
      <c r="K82" s="293"/>
      <c r="L82" s="293"/>
      <c r="M82" s="293"/>
      <c r="N82" s="293"/>
      <c r="O82" s="293"/>
      <c r="P82" s="293"/>
      <c r="Q82" s="293"/>
      <c r="R82" s="293"/>
      <c r="S82" s="259"/>
      <c r="T82" s="68">
        <f>IF($S$76="","",IF(COUNT(J82:R82)=0,"",IF(MAX(J82:R82)&gt;3,$I82,"")))</f>
      </c>
      <c r="U82" s="248"/>
      <c r="V82" s="251"/>
      <c r="W82" s="248"/>
      <c r="X82" s="248"/>
      <c r="Y82" s="262"/>
      <c r="Z82" s="262"/>
      <c r="AA82" s="248"/>
      <c r="AB82" s="248"/>
      <c r="AC82" s="246"/>
      <c r="AD82" s="248"/>
      <c r="AE82" s="262"/>
      <c r="AF82" s="262"/>
      <c r="AG82" s="248"/>
      <c r="AH82" s="255"/>
      <c r="AI82" s="255"/>
      <c r="AJ82" s="255"/>
    </row>
    <row r="83" spans="1:36" ht="14.5" customHeight="1" x14ac:dyDescent="0.35">
      <c r="A83" s="252">
        <v>12</v>
      </c>
      <c r="B83" s="264">
        <f>IF($E83="","","BIA-"&amp;TEXT(12,"000"))</f>
      </c>
      <c r="C83" s="240">
        <f>IFERROR(INDEX(BusinessUnits1,MATCH($A83,'04. Products &amp; Services'!$N$5:$N$49,0)),"")</f>
      </c>
      <c r="D83" s="240">
        <f>IFERROR(INDEX(DivisionSites,MATCH($A83,'04. Products &amp; Services'!$N$5:$N$49,0)),"")</f>
      </c>
      <c r="E83" s="253">
        <f>IFERROR(INDEX(ScopeNames,MATCH($A83,'04. Products &amp; Services'!$N$5:$N$49,0)),"")</f>
      </c>
      <c r="F83" s="265">
        <f>IF($E83="","",IFERROR(IF(INDEX(PS_ID,MATCH($E83,ScopeNames,0))="","",INDEX(PS_ID,MATCH($E83,ScopeNames,0))),""))</f>
      </c>
      <c r="G83" s="46" t="s">
        <v>205</v>
      </c>
      <c r="H83" s="293"/>
      <c r="I83" s="71" t="s">
        <v>116</v>
      </c>
      <c r="J83" s="293"/>
      <c r="K83" s="293"/>
      <c r="L83" s="293"/>
      <c r="M83" s="293"/>
      <c r="N83" s="293"/>
      <c r="O83" s="293"/>
      <c r="P83" s="293"/>
      <c r="Q83" s="293"/>
      <c r="R83" s="293"/>
      <c r="S83" s="257">
        <f>IF(COUNT(J83:R89)=0,"",MAX(J83:R89))</f>
      </c>
      <c r="T83" s="68">
        <f>IF($S$83="","",IF(COUNT(J83:R83)=0,"",IF(MAX(J83:R83)&gt;3,$I83,"")))</f>
      </c>
      <c r="U83" s="249">
        <f>IF($E83="","",IFERROR(IF(INDEX('04. Products &amp; Services'!$J$5:$J$49,MATCH($A83,'04. Products &amp; Services'!$N$5:$N$49,0))="","",INDEX('04. Products &amp; Services'!$J$5:$J$49,MATCH($A83,'04. Products &amp; Services'!$N$5:$N$49,0))),""))</f>
      </c>
      <c r="V83" s="299"/>
      <c r="W83" s="247">
        <f>IF($E83="","",IF(OR($U83="Yes",$V83="Yes"),"Yes",IF(AND($U83="No",$V83="No"),"No",IF(AND($U83="Under Evaluation",$V83="No"),"Under Evaluation",""))))</f>
      </c>
      <c r="X83" s="270">
        <f>IF($E83="","",IFERROR(IF(INDEX('04. Products &amp; Services'!$K$5:$K$49,MATCH($A83,'04. Products &amp; Services'!$N$5:$N$49,0))="","",INDEX('04. Products &amp; Services'!$K$5:$K$49,MATCH($A83,'04. Products &amp; Services'!$N$5:$N$49,0))),""))</f>
      </c>
      <c r="Y83" s="269"/>
      <c r="Z83" s="269"/>
      <c r="AA83" s="247">
        <f>IF($E83="","",IF(COUNT(J83:R89)=0,"",IF(MAX(J83:J89)&gt;=4,6,IF(MAX(K83:K89)&gt;=4,18,IF(MAX(L83:L89)&gt;=4,36,IF(MAX(M83:M89)&gt;=4,72,IF(MAX(N83:N89)&gt;=4,168,IF(MAX(O83:O89)&gt;=4,336,IF(MAX(P83:P89)&gt;=4,504,IF(MAX(Q83:Q89)&gt;=4,672,IF(MAX(R83:R89)&gt;=4,"","")))))))))))</f>
      </c>
      <c r="AB83" s="247">
        <f>IF($E83="","",IFERROR(IF(INDEX('04. Products &amp; Services'!$M$5:$M$49,MATCH($A83,'04. Products &amp; Services'!$N$5:$N$49,0))="","",INDEX('04. Products &amp; Services'!$M$5:$M$49,MATCH($A83,'04. Products &amp; Services'!$N$5:$N$49,0))),""))</f>
      </c>
      <c r="AC83" s="245"/>
      <c r="AD83" s="260">
        <f>IF(AC83="","",IF(ISNUMBER(AC83),AC83,IFERROR(VALUE(LEFT(TRIM(AC83),FIND(" ",TRIM(AC83))-1))*VLOOKUP(LEFT(LOWER(TRIM(MID(TRIM(AC83),FIND(" ",TRIM(AC83))+1,99))),3),DurationUnits,2,FALSE),"")))</f>
      </c>
      <c r="AE83" s="261"/>
      <c r="AF83" s="263"/>
      <c r="AG83" s="256">
        <f>IF($AF83="","",EDATE($AF83,12))</f>
      </c>
      <c r="AH83" s="254" cm="1">
        <f t="array" ref="AH83">IF($B83="","",_xlfn.LET(_xlpm.ids,'15. BCM Risk Register'!$A$6:$A$65,_xlpm.links,'15. BCM Risk Register'!$I$6:$I$65,_xlpm.hit,ISNUMBER(SEARCH(","&amp;$B83&amp;",",","&amp;SUBSTITUTE(_xlpm.links," ","")&amp;",")),IFERROR(_xlfn.TEXTJOIN(", ",TRUE,_xlfn.UNIQUE(_xlfn._xlws.FILTER(_xlpm.ids,_xlpm.hit*(_xlpm.ids&lt;&gt;"")))),"Not Created")))</f>
      </c>
      <c r="AI83" s="254" cm="1">
        <f t="array" ref="AI83">IF($B83="","",_xlfn.LET(_xlpm.ids,'15. BCM Risk Register'!$L$6:$L$65,_xlpm.links,'15. BCM Risk Register'!$I$6:$I$65,_xlpm.hit,ISNUMBER(SEARCH(","&amp;$B83&amp;",",","&amp;SUBSTITUTE(_xlpm.links," ","")&amp;",")),IFERROR(_xlfn.TEXTJOIN(", ",TRUE,_xlfn.UNIQUE(_xlfn._xlws.FILTER(_xlpm.ids,_xlpm.hit*(_xlpm.ids&lt;&gt;"")*(_xlpm.ids&lt;&gt;"Not Created")))),"Not Created")))</f>
      </c>
      <c r="AJ83" s="254" cm="1">
        <f t="array" ref="AJ83">IF($B83="","",_xlfn.LET(_xlpm.ids,'15. BCM Risk Register'!$K$6:$K$65,_xlpm.links,'15. BCM Risk Register'!$I$6:$I$65,_xlpm.hit,ISNUMBER(SEARCH(","&amp;$B83&amp;",",","&amp;SUBSTITUTE(_xlpm.links," ","")&amp;",")),IFERROR(_xlfn.TEXTJOIN(", ",TRUE,_xlfn.UNIQUE(_xlfn._xlws.FILTER(_xlpm.ids,_xlpm.hit*(_xlpm.ids&lt;&gt;"")*(_xlpm.ids&lt;&gt;"Not Created")))),"Not Created")))</f>
      </c>
    </row>
    <row r="84" spans="1:36" ht="14.5" customHeight="1" x14ac:dyDescent="0.35">
      <c r="A84" s="248"/>
      <c r="B84" s="248"/>
      <c r="C84" s="241"/>
      <c r="D84" s="241"/>
      <c r="E84" s="248"/>
      <c r="F84" s="246"/>
      <c r="G84" s="46" t="s">
        <v>160</v>
      </c>
      <c r="H84" s="293"/>
      <c r="I84" s="71" t="s">
        <v>117</v>
      </c>
      <c r="J84" s="293"/>
      <c r="K84" s="293"/>
      <c r="L84" s="293"/>
      <c r="M84" s="293"/>
      <c r="N84" s="293"/>
      <c r="O84" s="293"/>
      <c r="P84" s="293"/>
      <c r="Q84" s="293"/>
      <c r="R84" s="293"/>
      <c r="S84" s="258"/>
      <c r="T84" s="68">
        <f>IF($S$83="","",IF(COUNT(J84:R84)=0,"",IF(MAX(J84:R84)&gt;3,$I84,"")))</f>
      </c>
      <c r="U84" s="248"/>
      <c r="V84" s="251"/>
      <c r="W84" s="248"/>
      <c r="X84" s="248"/>
      <c r="Y84" s="262"/>
      <c r="Z84" s="262"/>
      <c r="AA84" s="248"/>
      <c r="AB84" s="248"/>
      <c r="AC84" s="246"/>
      <c r="AD84" s="248"/>
      <c r="AE84" s="262"/>
      <c r="AF84" s="262"/>
      <c r="AG84" s="248"/>
      <c r="AH84" s="255"/>
      <c r="AI84" s="255"/>
      <c r="AJ84" s="255"/>
    </row>
    <row r="85" spans="1:36" ht="14.5" customHeight="1" x14ac:dyDescent="0.35">
      <c r="A85" s="248"/>
      <c r="B85" s="248"/>
      <c r="C85" s="241"/>
      <c r="D85" s="241"/>
      <c r="E85" s="248"/>
      <c r="F85" s="246"/>
      <c r="G85" s="46" t="s">
        <v>206</v>
      </c>
      <c r="H85" s="293"/>
      <c r="I85" s="71" t="s">
        <v>118</v>
      </c>
      <c r="J85" s="293"/>
      <c r="K85" s="293"/>
      <c r="L85" s="293"/>
      <c r="M85" s="293"/>
      <c r="N85" s="293"/>
      <c r="O85" s="293"/>
      <c r="P85" s="293"/>
      <c r="Q85" s="293"/>
      <c r="R85" s="293"/>
      <c r="S85" s="258"/>
      <c r="T85" s="68">
        <f>IF($S$83="","",IF(COUNT(J85:R85)=0,"",IF(MAX(J85:R85)&gt;3,$I85,"")))</f>
      </c>
      <c r="U85" s="248"/>
      <c r="V85" s="251"/>
      <c r="W85" s="248"/>
      <c r="X85" s="248"/>
      <c r="Y85" s="262"/>
      <c r="Z85" s="262"/>
      <c r="AA85" s="248"/>
      <c r="AB85" s="248"/>
      <c r="AC85" s="246"/>
      <c r="AD85" s="248"/>
      <c r="AE85" s="262"/>
      <c r="AF85" s="262"/>
      <c r="AG85" s="248"/>
      <c r="AH85" s="255"/>
      <c r="AI85" s="255"/>
      <c r="AJ85" s="255"/>
    </row>
    <row r="86" spans="1:36" ht="14.5" customHeight="1" x14ac:dyDescent="0.35">
      <c r="A86" s="248"/>
      <c r="B86" s="248"/>
      <c r="C86" s="241"/>
      <c r="D86" s="241"/>
      <c r="E86" s="248"/>
      <c r="F86" s="246"/>
      <c r="G86" s="46" t="s">
        <v>207</v>
      </c>
      <c r="H86" s="293"/>
      <c r="I86" s="71" t="s">
        <v>119</v>
      </c>
      <c r="J86" s="293"/>
      <c r="K86" s="293"/>
      <c r="L86" s="293"/>
      <c r="M86" s="293"/>
      <c r="N86" s="293"/>
      <c r="O86" s="293"/>
      <c r="P86" s="293"/>
      <c r="Q86" s="293"/>
      <c r="R86" s="293"/>
      <c r="S86" s="258"/>
      <c r="T86" s="68">
        <f>IF($S$83="","",IF(COUNT(J86:R86)=0,"",IF(MAX(J86:R86)&gt;3,$I86,"")))</f>
      </c>
      <c r="U86" s="248"/>
      <c r="V86" s="251"/>
      <c r="W86" s="248"/>
      <c r="X86" s="248"/>
      <c r="Y86" s="262"/>
      <c r="Z86" s="262"/>
      <c r="AA86" s="248"/>
      <c r="AB86" s="248"/>
      <c r="AC86" s="246"/>
      <c r="AD86" s="248"/>
      <c r="AE86" s="262"/>
      <c r="AF86" s="262"/>
      <c r="AG86" s="248"/>
      <c r="AH86" s="255"/>
      <c r="AI86" s="255"/>
      <c r="AJ86" s="255"/>
    </row>
    <row r="87" spans="1:36" ht="14.5" customHeight="1" x14ac:dyDescent="0.35">
      <c r="A87" s="248"/>
      <c r="B87" s="248"/>
      <c r="C87" s="241"/>
      <c r="D87" s="241"/>
      <c r="E87" s="248"/>
      <c r="F87" s="246"/>
      <c r="G87" s="46" t="s">
        <v>161</v>
      </c>
      <c r="H87" s="293"/>
      <c r="I87" s="71" t="s">
        <v>120</v>
      </c>
      <c r="J87" s="293"/>
      <c r="K87" s="293"/>
      <c r="L87" s="293"/>
      <c r="M87" s="293"/>
      <c r="N87" s="293"/>
      <c r="O87" s="293"/>
      <c r="P87" s="293"/>
      <c r="Q87" s="293"/>
      <c r="R87" s="293"/>
      <c r="S87" s="258"/>
      <c r="T87" s="68">
        <f>IF($S$83="","",IF(COUNT(J87:R87)=0,"",IF(MAX(J87:R87)&gt;3,$I87,"")))</f>
      </c>
      <c r="U87" s="248"/>
      <c r="V87" s="251"/>
      <c r="W87" s="248"/>
      <c r="X87" s="248"/>
      <c r="Y87" s="262"/>
      <c r="Z87" s="262"/>
      <c r="AA87" s="248"/>
      <c r="AB87" s="248"/>
      <c r="AC87" s="246"/>
      <c r="AD87" s="248"/>
      <c r="AE87" s="262"/>
      <c r="AF87" s="262"/>
      <c r="AG87" s="248"/>
      <c r="AH87" s="255"/>
      <c r="AI87" s="255"/>
      <c r="AJ87" s="255"/>
    </row>
    <row r="88" spans="1:36" ht="14.5" customHeight="1" x14ac:dyDescent="0.35">
      <c r="A88" s="248"/>
      <c r="B88" s="248"/>
      <c r="C88" s="241"/>
      <c r="D88" s="241"/>
      <c r="E88" s="248"/>
      <c r="F88" s="246"/>
      <c r="G88" s="46" t="s">
        <v>208</v>
      </c>
      <c r="H88" s="293"/>
      <c r="I88" s="71" t="s">
        <v>121</v>
      </c>
      <c r="J88" s="293"/>
      <c r="K88" s="293"/>
      <c r="L88" s="293"/>
      <c r="M88" s="293"/>
      <c r="N88" s="293"/>
      <c r="O88" s="293"/>
      <c r="P88" s="293"/>
      <c r="Q88" s="293"/>
      <c r="R88" s="293"/>
      <c r="S88" s="258"/>
      <c r="T88" s="68">
        <f>IF($S$83="","",IF(COUNT(J88:R88)=0,"",IF(MAX(J88:R88)&gt;3,$I88,"")))</f>
      </c>
      <c r="U88" s="248"/>
      <c r="V88" s="251"/>
      <c r="W88" s="248"/>
      <c r="X88" s="248"/>
      <c r="Y88" s="262"/>
      <c r="Z88" s="262"/>
      <c r="AA88" s="248"/>
      <c r="AB88" s="248"/>
      <c r="AC88" s="246"/>
      <c r="AD88" s="248"/>
      <c r="AE88" s="262"/>
      <c r="AF88" s="262"/>
      <c r="AG88" s="248"/>
      <c r="AH88" s="255"/>
      <c r="AI88" s="255"/>
      <c r="AJ88" s="255"/>
    </row>
    <row r="89" spans="1:36" ht="14.5" customHeight="1" x14ac:dyDescent="0.35">
      <c r="A89" s="248"/>
      <c r="B89" s="248"/>
      <c r="C89" s="242"/>
      <c r="D89" s="242"/>
      <c r="E89" s="248"/>
      <c r="F89" s="246"/>
      <c r="G89" s="46" t="s">
        <v>209</v>
      </c>
      <c r="H89" s="293"/>
      <c r="I89" s="71" t="s">
        <v>122</v>
      </c>
      <c r="J89" s="293"/>
      <c r="K89" s="293"/>
      <c r="L89" s="293"/>
      <c r="M89" s="293"/>
      <c r="N89" s="293"/>
      <c r="O89" s="293"/>
      <c r="P89" s="293"/>
      <c r="Q89" s="293"/>
      <c r="R89" s="293"/>
      <c r="S89" s="259"/>
      <c r="T89" s="68">
        <f>IF($S$83="","",IF(COUNT(J89:R89)=0,"",IF(MAX(J89:R89)&gt;3,$I89,"")))</f>
      </c>
      <c r="U89" s="248"/>
      <c r="V89" s="251"/>
      <c r="W89" s="248"/>
      <c r="X89" s="248"/>
      <c r="Y89" s="262"/>
      <c r="Z89" s="262"/>
      <c r="AA89" s="248"/>
      <c r="AB89" s="248"/>
      <c r="AC89" s="246"/>
      <c r="AD89" s="248"/>
      <c r="AE89" s="262"/>
      <c r="AF89" s="262"/>
      <c r="AG89" s="248"/>
      <c r="AH89" s="255"/>
      <c r="AI89" s="255"/>
      <c r="AJ89" s="255"/>
    </row>
    <row r="90" spans="1:36" ht="14.5" customHeight="1" x14ac:dyDescent="0.35">
      <c r="A90" s="252">
        <v>13</v>
      </c>
      <c r="B90" s="264">
        <f>IF($E90="","","BIA-"&amp;TEXT(13,"000"))</f>
      </c>
      <c r="C90" s="240">
        <f>IFERROR(INDEX(BusinessUnits1,MATCH($A90,'04. Products &amp; Services'!$N$5:$N$49,0)),"")</f>
      </c>
      <c r="D90" s="240">
        <f>IFERROR(INDEX(DivisionSites,MATCH($A90,'04. Products &amp; Services'!$N$5:$N$49,0)),"")</f>
      </c>
      <c r="E90" s="253">
        <f>IFERROR(INDEX(ScopeNames,MATCH($A90,'04. Products &amp; Services'!$N$5:$N$49,0)),"")</f>
      </c>
      <c r="F90" s="265">
        <f>IF($E90="","",IFERROR(IF(INDEX(PS_ID,MATCH($E90,ScopeNames,0))="","",INDEX(PS_ID,MATCH($E90,ScopeNames,0))),""))</f>
      </c>
      <c r="G90" s="46" t="s">
        <v>205</v>
      </c>
      <c r="H90" s="293"/>
      <c r="I90" s="71" t="s">
        <v>116</v>
      </c>
      <c r="J90" s="293"/>
      <c r="K90" s="293"/>
      <c r="L90" s="293"/>
      <c r="M90" s="293"/>
      <c r="N90" s="293"/>
      <c r="O90" s="293"/>
      <c r="P90" s="293"/>
      <c r="Q90" s="293"/>
      <c r="R90" s="293"/>
      <c r="S90" s="257">
        <f>IF(COUNT(J90:R96)=0,"",MAX(J90:R96))</f>
      </c>
      <c r="T90" s="68">
        <f>IF($S$90="","",IF(COUNT(J90:R90)=0,"",IF(MAX(J90:R90)&gt;3,$I90,"")))</f>
      </c>
      <c r="U90" s="249">
        <f>IF($E90="","",IFERROR(IF(INDEX('04. Products &amp; Services'!$J$5:$J$49,MATCH($A90,'04. Products &amp; Services'!$N$5:$N$49,0))="","",INDEX('04. Products &amp; Services'!$J$5:$J$49,MATCH($A90,'04. Products &amp; Services'!$N$5:$N$49,0))),""))</f>
      </c>
      <c r="V90" s="299"/>
      <c r="W90" s="247">
        <f>IF($E90="","",IF(OR($U90="Yes",$V90="Yes"),"Yes",IF(AND($U90="No",$V90="No"),"No",IF(AND($U90="Under Evaluation",$V90="No"),"Under Evaluation",""))))</f>
      </c>
      <c r="X90" s="270">
        <f>IF($E90="","",IFERROR(IF(INDEX('04. Products &amp; Services'!$K$5:$K$49,MATCH($A90,'04. Products &amp; Services'!$N$5:$N$49,0))="","",INDEX('04. Products &amp; Services'!$K$5:$K$49,MATCH($A90,'04. Products &amp; Services'!$N$5:$N$49,0))),""))</f>
      </c>
      <c r="Y90" s="269"/>
      <c r="Z90" s="269"/>
      <c r="AA90" s="247">
        <f>IF($E90="","",IF(COUNT(J90:R96)=0,"",IF(MAX(J90:J96)&gt;=4,6,IF(MAX(K90:K96)&gt;=4,18,IF(MAX(L90:L96)&gt;=4,36,IF(MAX(M90:M96)&gt;=4,72,IF(MAX(N90:N96)&gt;=4,168,IF(MAX(O90:O96)&gt;=4,336,IF(MAX(P90:P96)&gt;=4,504,IF(MAX(Q90:Q96)&gt;=4,672,IF(MAX(R90:R96)&gt;=4,"","")))))))))))</f>
      </c>
      <c r="AB90" s="247">
        <f>IF($E90="","",IFERROR(IF(INDEX('04. Products &amp; Services'!$M$5:$M$49,MATCH($A90,'04. Products &amp; Services'!$N$5:$N$49,0))="","",INDEX('04. Products &amp; Services'!$M$5:$M$49,MATCH($A90,'04. Products &amp; Services'!$N$5:$N$49,0))),""))</f>
      </c>
      <c r="AC90" s="245"/>
      <c r="AD90" s="260">
        <f>IF(AC90="","",IF(ISNUMBER(AC90),AC90,IFERROR(VALUE(LEFT(TRIM(AC90),FIND(" ",TRIM(AC90))-1))*VLOOKUP(LEFT(LOWER(TRIM(MID(TRIM(AC90),FIND(" ",TRIM(AC90))+1,99))),3),DurationUnits,2,FALSE),"")))</f>
      </c>
      <c r="AE90" s="261"/>
      <c r="AF90" s="263"/>
      <c r="AG90" s="256">
        <f>IF($AF90="","",EDATE($AF90,12))</f>
      </c>
      <c r="AH90" s="254" cm="1">
        <f t="array" ref="AH90">IF($B90="","",_xlfn.LET(_xlpm.ids,'15. BCM Risk Register'!$A$6:$A$65,_xlpm.links,'15. BCM Risk Register'!$I$6:$I$65,_xlpm.hit,ISNUMBER(SEARCH(","&amp;$B90&amp;",",","&amp;SUBSTITUTE(_xlpm.links," ","")&amp;",")),IFERROR(_xlfn.TEXTJOIN(", ",TRUE,_xlfn.UNIQUE(_xlfn._xlws.FILTER(_xlpm.ids,_xlpm.hit*(_xlpm.ids&lt;&gt;"")))),"Not Created")))</f>
      </c>
      <c r="AI90" s="254" cm="1">
        <f t="array" ref="AI90">IF($B90="","",_xlfn.LET(_xlpm.ids,'15. BCM Risk Register'!$L$6:$L$65,_xlpm.links,'15. BCM Risk Register'!$I$6:$I$65,_xlpm.hit,ISNUMBER(SEARCH(","&amp;$B90&amp;",",","&amp;SUBSTITUTE(_xlpm.links," ","")&amp;",")),IFERROR(_xlfn.TEXTJOIN(", ",TRUE,_xlfn.UNIQUE(_xlfn._xlws.FILTER(_xlpm.ids,_xlpm.hit*(_xlpm.ids&lt;&gt;"")*(_xlpm.ids&lt;&gt;"Not Created")))),"Not Created")))</f>
      </c>
      <c r="AJ90" s="254" cm="1">
        <f t="array" ref="AJ90">IF($B90="","",_xlfn.LET(_xlpm.ids,'15. BCM Risk Register'!$K$6:$K$65,_xlpm.links,'15. BCM Risk Register'!$I$6:$I$65,_xlpm.hit,ISNUMBER(SEARCH(","&amp;$B90&amp;",",","&amp;SUBSTITUTE(_xlpm.links," ","")&amp;",")),IFERROR(_xlfn.TEXTJOIN(", ",TRUE,_xlfn.UNIQUE(_xlfn._xlws.FILTER(_xlpm.ids,_xlpm.hit*(_xlpm.ids&lt;&gt;"")*(_xlpm.ids&lt;&gt;"Not Created")))),"Not Created")))</f>
      </c>
    </row>
    <row r="91" spans="1:36" ht="14.5" customHeight="1" x14ac:dyDescent="0.35">
      <c r="A91" s="248"/>
      <c r="B91" s="248"/>
      <c r="C91" s="241"/>
      <c r="D91" s="241"/>
      <c r="E91" s="248"/>
      <c r="F91" s="246"/>
      <c r="G91" s="46" t="s">
        <v>160</v>
      </c>
      <c r="H91" s="293"/>
      <c r="I91" s="71" t="s">
        <v>117</v>
      </c>
      <c r="J91" s="293"/>
      <c r="K91" s="293"/>
      <c r="L91" s="293"/>
      <c r="M91" s="293"/>
      <c r="N91" s="293"/>
      <c r="O91" s="293"/>
      <c r="P91" s="293"/>
      <c r="Q91" s="293"/>
      <c r="R91" s="293"/>
      <c r="S91" s="258"/>
      <c r="T91" s="68">
        <f>IF($S$90="","",IF(COUNT(J91:R91)=0,"",IF(MAX(J91:R91)&gt;3,$I91,"")))</f>
      </c>
      <c r="U91" s="248"/>
      <c r="V91" s="251"/>
      <c r="W91" s="248"/>
      <c r="X91" s="248"/>
      <c r="Y91" s="262"/>
      <c r="Z91" s="262"/>
      <c r="AA91" s="248"/>
      <c r="AB91" s="248"/>
      <c r="AC91" s="246"/>
      <c r="AD91" s="248"/>
      <c r="AE91" s="262"/>
      <c r="AF91" s="262"/>
      <c r="AG91" s="248"/>
      <c r="AH91" s="255"/>
      <c r="AI91" s="255"/>
      <c r="AJ91" s="255"/>
    </row>
    <row r="92" spans="1:36" ht="14.5" customHeight="1" x14ac:dyDescent="0.35">
      <c r="A92" s="248"/>
      <c r="B92" s="248"/>
      <c r="C92" s="241"/>
      <c r="D92" s="241"/>
      <c r="E92" s="248"/>
      <c r="F92" s="246"/>
      <c r="G92" s="46" t="s">
        <v>206</v>
      </c>
      <c r="H92" s="293"/>
      <c r="I92" s="71" t="s">
        <v>118</v>
      </c>
      <c r="J92" s="293"/>
      <c r="K92" s="293"/>
      <c r="L92" s="293"/>
      <c r="M92" s="293"/>
      <c r="N92" s="293"/>
      <c r="O92" s="293"/>
      <c r="P92" s="293"/>
      <c r="Q92" s="293"/>
      <c r="R92" s="293"/>
      <c r="S92" s="258"/>
      <c r="T92" s="68">
        <f>IF($S$90="","",IF(COUNT(J92:R92)=0,"",IF(MAX(J92:R92)&gt;3,$I92,"")))</f>
      </c>
      <c r="U92" s="248"/>
      <c r="V92" s="251"/>
      <c r="W92" s="248"/>
      <c r="X92" s="248"/>
      <c r="Y92" s="262"/>
      <c r="Z92" s="262"/>
      <c r="AA92" s="248"/>
      <c r="AB92" s="248"/>
      <c r="AC92" s="246"/>
      <c r="AD92" s="248"/>
      <c r="AE92" s="262"/>
      <c r="AF92" s="262"/>
      <c r="AG92" s="248"/>
      <c r="AH92" s="255"/>
      <c r="AI92" s="255"/>
      <c r="AJ92" s="255"/>
    </row>
    <row r="93" spans="1:36" ht="14.5" customHeight="1" x14ac:dyDescent="0.35">
      <c r="A93" s="248"/>
      <c r="B93" s="248"/>
      <c r="C93" s="241"/>
      <c r="D93" s="241"/>
      <c r="E93" s="248"/>
      <c r="F93" s="246"/>
      <c r="G93" s="46" t="s">
        <v>207</v>
      </c>
      <c r="H93" s="293"/>
      <c r="I93" s="71" t="s">
        <v>119</v>
      </c>
      <c r="J93" s="293"/>
      <c r="K93" s="293"/>
      <c r="L93" s="293"/>
      <c r="M93" s="293"/>
      <c r="N93" s="293"/>
      <c r="O93" s="293"/>
      <c r="P93" s="293"/>
      <c r="Q93" s="293"/>
      <c r="R93" s="293"/>
      <c r="S93" s="258"/>
      <c r="T93" s="68">
        <f>IF($S$90="","",IF(COUNT(J93:R93)=0,"",IF(MAX(J93:R93)&gt;3,$I93,"")))</f>
      </c>
      <c r="U93" s="248"/>
      <c r="V93" s="251"/>
      <c r="W93" s="248"/>
      <c r="X93" s="248"/>
      <c r="Y93" s="262"/>
      <c r="Z93" s="262"/>
      <c r="AA93" s="248"/>
      <c r="AB93" s="248"/>
      <c r="AC93" s="246"/>
      <c r="AD93" s="248"/>
      <c r="AE93" s="262"/>
      <c r="AF93" s="262"/>
      <c r="AG93" s="248"/>
      <c r="AH93" s="255"/>
      <c r="AI93" s="255"/>
      <c r="AJ93" s="255"/>
    </row>
    <row r="94" spans="1:36" ht="14.5" customHeight="1" x14ac:dyDescent="0.35">
      <c r="A94" s="248"/>
      <c r="B94" s="248"/>
      <c r="C94" s="241"/>
      <c r="D94" s="241"/>
      <c r="E94" s="248"/>
      <c r="F94" s="246"/>
      <c r="G94" s="46" t="s">
        <v>161</v>
      </c>
      <c r="H94" s="293"/>
      <c r="I94" s="71" t="s">
        <v>120</v>
      </c>
      <c r="J94" s="293"/>
      <c r="K94" s="293"/>
      <c r="L94" s="293"/>
      <c r="M94" s="293"/>
      <c r="N94" s="293"/>
      <c r="O94" s="293"/>
      <c r="P94" s="293"/>
      <c r="Q94" s="293"/>
      <c r="R94" s="293"/>
      <c r="S94" s="258"/>
      <c r="T94" s="68">
        <f>IF($S$90="","",IF(COUNT(J94:R94)=0,"",IF(MAX(J94:R94)&gt;3,$I94,"")))</f>
      </c>
      <c r="U94" s="248"/>
      <c r="V94" s="251"/>
      <c r="W94" s="248"/>
      <c r="X94" s="248"/>
      <c r="Y94" s="262"/>
      <c r="Z94" s="262"/>
      <c r="AA94" s="248"/>
      <c r="AB94" s="248"/>
      <c r="AC94" s="246"/>
      <c r="AD94" s="248"/>
      <c r="AE94" s="262"/>
      <c r="AF94" s="262"/>
      <c r="AG94" s="248"/>
      <c r="AH94" s="255"/>
      <c r="AI94" s="255"/>
      <c r="AJ94" s="255"/>
    </row>
    <row r="95" spans="1:36" ht="14.5" customHeight="1" x14ac:dyDescent="0.35">
      <c r="A95" s="248"/>
      <c r="B95" s="248"/>
      <c r="C95" s="241"/>
      <c r="D95" s="241"/>
      <c r="E95" s="248"/>
      <c r="F95" s="246"/>
      <c r="G95" s="46" t="s">
        <v>208</v>
      </c>
      <c r="H95" s="293"/>
      <c r="I95" s="71" t="s">
        <v>121</v>
      </c>
      <c r="J95" s="293"/>
      <c r="K95" s="293"/>
      <c r="L95" s="293"/>
      <c r="M95" s="293"/>
      <c r="N95" s="293"/>
      <c r="O95" s="293"/>
      <c r="P95" s="293"/>
      <c r="Q95" s="293"/>
      <c r="R95" s="293"/>
      <c r="S95" s="258"/>
      <c r="T95" s="68">
        <f>IF($S$90="","",IF(COUNT(J95:R95)=0,"",IF(MAX(J95:R95)&gt;3,$I95,"")))</f>
      </c>
      <c r="U95" s="248"/>
      <c r="V95" s="251"/>
      <c r="W95" s="248"/>
      <c r="X95" s="248"/>
      <c r="Y95" s="262"/>
      <c r="Z95" s="262"/>
      <c r="AA95" s="248"/>
      <c r="AB95" s="248"/>
      <c r="AC95" s="246"/>
      <c r="AD95" s="248"/>
      <c r="AE95" s="262"/>
      <c r="AF95" s="262"/>
      <c r="AG95" s="248"/>
      <c r="AH95" s="255"/>
      <c r="AI95" s="255"/>
      <c r="AJ95" s="255"/>
    </row>
    <row r="96" spans="1:36" ht="14.5" customHeight="1" x14ac:dyDescent="0.35">
      <c r="A96" s="248"/>
      <c r="B96" s="248"/>
      <c r="C96" s="242"/>
      <c r="D96" s="242"/>
      <c r="E96" s="248"/>
      <c r="F96" s="246"/>
      <c r="G96" s="46" t="s">
        <v>209</v>
      </c>
      <c r="H96" s="293"/>
      <c r="I96" s="71" t="s">
        <v>122</v>
      </c>
      <c r="J96" s="293"/>
      <c r="K96" s="293"/>
      <c r="L96" s="293"/>
      <c r="M96" s="293"/>
      <c r="N96" s="293"/>
      <c r="O96" s="293"/>
      <c r="P96" s="293"/>
      <c r="Q96" s="293"/>
      <c r="R96" s="293"/>
      <c r="S96" s="259"/>
      <c r="T96" s="68">
        <f>IF($S$90="","",IF(COUNT(J96:R96)=0,"",IF(MAX(J96:R96)&gt;3,$I96,"")))</f>
      </c>
      <c r="U96" s="248"/>
      <c r="V96" s="251"/>
      <c r="W96" s="248"/>
      <c r="X96" s="248"/>
      <c r="Y96" s="262"/>
      <c r="Z96" s="262"/>
      <c r="AA96" s="248"/>
      <c r="AB96" s="248"/>
      <c r="AC96" s="246"/>
      <c r="AD96" s="248"/>
      <c r="AE96" s="262"/>
      <c r="AF96" s="262"/>
      <c r="AG96" s="248"/>
      <c r="AH96" s="255"/>
      <c r="AI96" s="255"/>
      <c r="AJ96" s="255"/>
    </row>
    <row r="97" spans="1:36" ht="14.5" customHeight="1" x14ac:dyDescent="0.35">
      <c r="A97" s="252">
        <v>14</v>
      </c>
      <c r="B97" s="264">
        <f>IF($E97="","","BIA-"&amp;TEXT(14,"000"))</f>
      </c>
      <c r="C97" s="240">
        <f>IFERROR(INDEX(BusinessUnits1,MATCH($A97,'04. Products &amp; Services'!$N$5:$N$49,0)),"")</f>
      </c>
      <c r="D97" s="240">
        <f>IFERROR(INDEX(DivisionSites,MATCH($A97,'04. Products &amp; Services'!$N$5:$N$49,0)),"")</f>
      </c>
      <c r="E97" s="253">
        <f>IFERROR(INDEX(ScopeNames,MATCH($A97,'04. Products &amp; Services'!$N$5:$N$49,0)),"")</f>
      </c>
      <c r="F97" s="265">
        <f>IF($E97="","",IFERROR(IF(INDEX(PS_ID,MATCH($E97,ScopeNames,0))="","",INDEX(PS_ID,MATCH($E97,ScopeNames,0))),""))</f>
      </c>
      <c r="G97" s="46" t="s">
        <v>205</v>
      </c>
      <c r="H97" s="293"/>
      <c r="I97" s="71" t="s">
        <v>116</v>
      </c>
      <c r="J97" s="293"/>
      <c r="K97" s="293"/>
      <c r="L97" s="293"/>
      <c r="M97" s="293"/>
      <c r="N97" s="293"/>
      <c r="O97" s="293"/>
      <c r="P97" s="293"/>
      <c r="Q97" s="293"/>
      <c r="R97" s="293"/>
      <c r="S97" s="257">
        <f>IF(COUNT(J97:R103)=0,"",MAX(J97:R103))</f>
      </c>
      <c r="T97" s="68">
        <f>IF($S$97="","",IF(COUNT(J97:R97)=0,"",IF(MAX(J97:R97)&gt;3,$I97,"")))</f>
      </c>
      <c r="U97" s="249">
        <f>IF($E97="","",IFERROR(IF(INDEX('04. Products &amp; Services'!$J$5:$J$49,MATCH($A97,'04. Products &amp; Services'!$N$5:$N$49,0))="","",INDEX('04. Products &amp; Services'!$J$5:$J$49,MATCH($A97,'04. Products &amp; Services'!$N$5:$N$49,0))),""))</f>
      </c>
      <c r="V97" s="299"/>
      <c r="W97" s="247">
        <f>IF($E97="","",IF(OR($U97="Yes",$V97="Yes"),"Yes",IF(AND($U97="No",$V97="No"),"No",IF(AND($U97="Under Evaluation",$V97="No"),"Under Evaluation",""))))</f>
      </c>
      <c r="X97" s="270">
        <f>IF($E97="","",IFERROR(IF(INDEX('04. Products &amp; Services'!$K$5:$K$49,MATCH($A97,'04. Products &amp; Services'!$N$5:$N$49,0))="","",INDEX('04. Products &amp; Services'!$K$5:$K$49,MATCH($A97,'04. Products &amp; Services'!$N$5:$N$49,0))),""))</f>
      </c>
      <c r="Y97" s="269"/>
      <c r="Z97" s="269"/>
      <c r="AA97" s="247">
        <f>IF($E97="","",IF(COUNT(J97:R103)=0,"",IF(MAX(J97:J103)&gt;=4,6,IF(MAX(K97:K103)&gt;=4,18,IF(MAX(L97:L103)&gt;=4,36,IF(MAX(M97:M103)&gt;=4,72,IF(MAX(N97:N103)&gt;=4,168,IF(MAX(O97:O103)&gt;=4,336,IF(MAX(P97:P103)&gt;=4,504,IF(MAX(Q97:Q103)&gt;=4,672,IF(MAX(R97:R103)&gt;=4,"","")))))))))))</f>
      </c>
      <c r="AB97" s="247">
        <f>IF($E97="","",IFERROR(IF(INDEX('04. Products &amp; Services'!$M$5:$M$49,MATCH($A97,'04. Products &amp; Services'!$N$5:$N$49,0))="","",INDEX('04. Products &amp; Services'!$M$5:$M$49,MATCH($A97,'04. Products &amp; Services'!$N$5:$N$49,0))),""))</f>
      </c>
      <c r="AC97" s="245"/>
      <c r="AD97" s="260">
        <f>IF(AC97="","",IF(ISNUMBER(AC97),AC97,IFERROR(VALUE(LEFT(TRIM(AC97),FIND(" ",TRIM(AC97))-1))*VLOOKUP(LEFT(LOWER(TRIM(MID(TRIM(AC97),FIND(" ",TRIM(AC97))+1,99))),3),DurationUnits,2,FALSE),"")))</f>
      </c>
      <c r="AE97" s="261"/>
      <c r="AF97" s="263"/>
      <c r="AG97" s="256">
        <f>IF($AF97="","",EDATE($AF97,12))</f>
      </c>
      <c r="AH97" s="254" cm="1">
        <f t="array" ref="AH97">IF($B97="","",_xlfn.LET(_xlpm.ids,'15. BCM Risk Register'!$A$6:$A$65,_xlpm.links,'15. BCM Risk Register'!$I$6:$I$65,_xlpm.hit,ISNUMBER(SEARCH(","&amp;$B97&amp;",",","&amp;SUBSTITUTE(_xlpm.links," ","")&amp;",")),IFERROR(_xlfn.TEXTJOIN(", ",TRUE,_xlfn.UNIQUE(_xlfn._xlws.FILTER(_xlpm.ids,_xlpm.hit*(_xlpm.ids&lt;&gt;"")))),"Not Created")))</f>
      </c>
      <c r="AI97" s="254" cm="1">
        <f t="array" ref="AI97">IF($B97="","",_xlfn.LET(_xlpm.ids,'15. BCM Risk Register'!$L$6:$L$65,_xlpm.links,'15. BCM Risk Register'!$I$6:$I$65,_xlpm.hit,ISNUMBER(SEARCH(","&amp;$B97&amp;",",","&amp;SUBSTITUTE(_xlpm.links," ","")&amp;",")),IFERROR(_xlfn.TEXTJOIN(", ",TRUE,_xlfn.UNIQUE(_xlfn._xlws.FILTER(_xlpm.ids,_xlpm.hit*(_xlpm.ids&lt;&gt;"")*(_xlpm.ids&lt;&gt;"Not Created")))),"Not Created")))</f>
      </c>
      <c r="AJ97" s="254" cm="1">
        <f t="array" ref="AJ97">IF($B97="","",_xlfn.LET(_xlpm.ids,'15. BCM Risk Register'!$K$6:$K$65,_xlpm.links,'15. BCM Risk Register'!$I$6:$I$65,_xlpm.hit,ISNUMBER(SEARCH(","&amp;$B97&amp;",",","&amp;SUBSTITUTE(_xlpm.links," ","")&amp;",")),IFERROR(_xlfn.TEXTJOIN(", ",TRUE,_xlfn.UNIQUE(_xlfn._xlws.FILTER(_xlpm.ids,_xlpm.hit*(_xlpm.ids&lt;&gt;"")*(_xlpm.ids&lt;&gt;"Not Created")))),"Not Created")))</f>
      </c>
    </row>
    <row r="98" spans="1:36" ht="14.5" customHeight="1" x14ac:dyDescent="0.35">
      <c r="A98" s="248"/>
      <c r="B98" s="248"/>
      <c r="C98" s="241"/>
      <c r="D98" s="241"/>
      <c r="E98" s="248"/>
      <c r="F98" s="246"/>
      <c r="G98" s="46" t="s">
        <v>160</v>
      </c>
      <c r="H98" s="293"/>
      <c r="I98" s="71" t="s">
        <v>117</v>
      </c>
      <c r="J98" s="293"/>
      <c r="K98" s="293"/>
      <c r="L98" s="293"/>
      <c r="M98" s="293"/>
      <c r="N98" s="293"/>
      <c r="O98" s="293"/>
      <c r="P98" s="293"/>
      <c r="Q98" s="293"/>
      <c r="R98" s="293"/>
      <c r="S98" s="258"/>
      <c r="T98" s="68">
        <f>IF($S$97="","",IF(COUNT(J98:R98)=0,"",IF(MAX(J98:R98)&gt;3,$I98,"")))</f>
      </c>
      <c r="U98" s="248"/>
      <c r="V98" s="251"/>
      <c r="W98" s="248"/>
      <c r="X98" s="248"/>
      <c r="Y98" s="262"/>
      <c r="Z98" s="262"/>
      <c r="AA98" s="248"/>
      <c r="AB98" s="248"/>
      <c r="AC98" s="246"/>
      <c r="AD98" s="248"/>
      <c r="AE98" s="262"/>
      <c r="AF98" s="262"/>
      <c r="AG98" s="248"/>
      <c r="AH98" s="255"/>
      <c r="AI98" s="255"/>
      <c r="AJ98" s="255"/>
    </row>
    <row r="99" spans="1:36" ht="14.5" customHeight="1" x14ac:dyDescent="0.35">
      <c r="A99" s="248"/>
      <c r="B99" s="248"/>
      <c r="C99" s="241"/>
      <c r="D99" s="241"/>
      <c r="E99" s="248"/>
      <c r="F99" s="246"/>
      <c r="G99" s="46" t="s">
        <v>206</v>
      </c>
      <c r="H99" s="293"/>
      <c r="I99" s="71" t="s">
        <v>118</v>
      </c>
      <c r="J99" s="293"/>
      <c r="K99" s="293"/>
      <c r="L99" s="293"/>
      <c r="M99" s="293"/>
      <c r="N99" s="293"/>
      <c r="O99" s="293"/>
      <c r="P99" s="293"/>
      <c r="Q99" s="293"/>
      <c r="R99" s="293"/>
      <c r="S99" s="258"/>
      <c r="T99" s="68">
        <f>IF($S$97="","",IF(COUNT(J99:R99)=0,"",IF(MAX(J99:R99)&gt;3,$I99,"")))</f>
      </c>
      <c r="U99" s="248"/>
      <c r="V99" s="251"/>
      <c r="W99" s="248"/>
      <c r="X99" s="248"/>
      <c r="Y99" s="262"/>
      <c r="Z99" s="262"/>
      <c r="AA99" s="248"/>
      <c r="AB99" s="248"/>
      <c r="AC99" s="246"/>
      <c r="AD99" s="248"/>
      <c r="AE99" s="262"/>
      <c r="AF99" s="262"/>
      <c r="AG99" s="248"/>
      <c r="AH99" s="255"/>
      <c r="AI99" s="255"/>
      <c r="AJ99" s="255"/>
    </row>
    <row r="100" spans="1:36" ht="14.5" customHeight="1" x14ac:dyDescent="0.35">
      <c r="A100" s="248"/>
      <c r="B100" s="248"/>
      <c r="C100" s="241"/>
      <c r="D100" s="241"/>
      <c r="E100" s="248"/>
      <c r="F100" s="246"/>
      <c r="G100" s="46" t="s">
        <v>207</v>
      </c>
      <c r="H100" s="293"/>
      <c r="I100" s="71" t="s">
        <v>119</v>
      </c>
      <c r="J100" s="293"/>
      <c r="K100" s="293"/>
      <c r="L100" s="293"/>
      <c r="M100" s="293"/>
      <c r="N100" s="293"/>
      <c r="O100" s="293"/>
      <c r="P100" s="293"/>
      <c r="Q100" s="293"/>
      <c r="R100" s="293"/>
      <c r="S100" s="258"/>
      <c r="T100" s="68">
        <f>IF($S$97="","",IF(COUNT(J100:R100)=0,"",IF(MAX(J100:R100)&gt;3,$I100,"")))</f>
      </c>
      <c r="U100" s="248"/>
      <c r="V100" s="251"/>
      <c r="W100" s="248"/>
      <c r="X100" s="248"/>
      <c r="Y100" s="262"/>
      <c r="Z100" s="262"/>
      <c r="AA100" s="248"/>
      <c r="AB100" s="248"/>
      <c r="AC100" s="246"/>
      <c r="AD100" s="248"/>
      <c r="AE100" s="262"/>
      <c r="AF100" s="262"/>
      <c r="AG100" s="248"/>
      <c r="AH100" s="255"/>
      <c r="AI100" s="255"/>
      <c r="AJ100" s="255"/>
    </row>
    <row r="101" spans="1:36" ht="14.5" customHeight="1" x14ac:dyDescent="0.35">
      <c r="A101" s="248"/>
      <c r="B101" s="248"/>
      <c r="C101" s="241"/>
      <c r="D101" s="241"/>
      <c r="E101" s="248"/>
      <c r="F101" s="246"/>
      <c r="G101" s="46" t="s">
        <v>161</v>
      </c>
      <c r="H101" s="293"/>
      <c r="I101" s="71" t="s">
        <v>120</v>
      </c>
      <c r="J101" s="293"/>
      <c r="K101" s="293"/>
      <c r="L101" s="293"/>
      <c r="M101" s="293"/>
      <c r="N101" s="293"/>
      <c r="O101" s="293"/>
      <c r="P101" s="293"/>
      <c r="Q101" s="293"/>
      <c r="R101" s="293"/>
      <c r="S101" s="258"/>
      <c r="T101" s="68">
        <f>IF($S$97="","",IF(COUNT(J101:R101)=0,"",IF(MAX(J101:R101)&gt;3,$I101,"")))</f>
      </c>
      <c r="U101" s="248"/>
      <c r="V101" s="251"/>
      <c r="W101" s="248"/>
      <c r="X101" s="248"/>
      <c r="Y101" s="262"/>
      <c r="Z101" s="262"/>
      <c r="AA101" s="248"/>
      <c r="AB101" s="248"/>
      <c r="AC101" s="246"/>
      <c r="AD101" s="248"/>
      <c r="AE101" s="262"/>
      <c r="AF101" s="262"/>
      <c r="AG101" s="248"/>
      <c r="AH101" s="255"/>
      <c r="AI101" s="255"/>
      <c r="AJ101" s="255"/>
    </row>
    <row r="102" spans="1:36" ht="14.5" customHeight="1" x14ac:dyDescent="0.35">
      <c r="A102" s="248"/>
      <c r="B102" s="248"/>
      <c r="C102" s="241"/>
      <c r="D102" s="241"/>
      <c r="E102" s="248"/>
      <c r="F102" s="246"/>
      <c r="G102" s="46" t="s">
        <v>208</v>
      </c>
      <c r="H102" s="293"/>
      <c r="I102" s="71" t="s">
        <v>121</v>
      </c>
      <c r="J102" s="293"/>
      <c r="K102" s="293"/>
      <c r="L102" s="293"/>
      <c r="M102" s="293"/>
      <c r="N102" s="293"/>
      <c r="O102" s="293"/>
      <c r="P102" s="293"/>
      <c r="Q102" s="293"/>
      <c r="R102" s="293"/>
      <c r="S102" s="258"/>
      <c r="T102" s="68">
        <f>IF($S$97="","",IF(COUNT(J102:R102)=0,"",IF(MAX(J102:R102)&gt;3,$I102,"")))</f>
      </c>
      <c r="U102" s="248"/>
      <c r="V102" s="251"/>
      <c r="W102" s="248"/>
      <c r="X102" s="248"/>
      <c r="Y102" s="262"/>
      <c r="Z102" s="262"/>
      <c r="AA102" s="248"/>
      <c r="AB102" s="248"/>
      <c r="AC102" s="246"/>
      <c r="AD102" s="248"/>
      <c r="AE102" s="262"/>
      <c r="AF102" s="262"/>
      <c r="AG102" s="248"/>
      <c r="AH102" s="255"/>
      <c r="AI102" s="255"/>
      <c r="AJ102" s="255"/>
    </row>
    <row r="103" spans="1:36" ht="14.5" customHeight="1" x14ac:dyDescent="0.35">
      <c r="A103" s="248"/>
      <c r="B103" s="248"/>
      <c r="C103" s="242"/>
      <c r="D103" s="242"/>
      <c r="E103" s="248"/>
      <c r="F103" s="246"/>
      <c r="G103" s="46" t="s">
        <v>209</v>
      </c>
      <c r="H103" s="293"/>
      <c r="I103" s="71" t="s">
        <v>122</v>
      </c>
      <c r="J103" s="293"/>
      <c r="K103" s="293"/>
      <c r="L103" s="293"/>
      <c r="M103" s="293"/>
      <c r="N103" s="293"/>
      <c r="O103" s="293"/>
      <c r="P103" s="293"/>
      <c r="Q103" s="293"/>
      <c r="R103" s="293"/>
      <c r="S103" s="259"/>
      <c r="T103" s="68">
        <f>IF($S$97="","",IF(COUNT(J103:R103)=0,"",IF(MAX(J103:R103)&gt;3,$I103,"")))</f>
      </c>
      <c r="U103" s="248"/>
      <c r="V103" s="251"/>
      <c r="W103" s="248"/>
      <c r="X103" s="248"/>
      <c r="Y103" s="262"/>
      <c r="Z103" s="262"/>
      <c r="AA103" s="248"/>
      <c r="AB103" s="248"/>
      <c r="AC103" s="246"/>
      <c r="AD103" s="248"/>
      <c r="AE103" s="262"/>
      <c r="AF103" s="262"/>
      <c r="AG103" s="248"/>
      <c r="AH103" s="255"/>
      <c r="AI103" s="255"/>
      <c r="AJ103" s="255"/>
    </row>
    <row r="104" spans="1:36" ht="14.5" customHeight="1" x14ac:dyDescent="0.35">
      <c r="A104" s="252">
        <v>15</v>
      </c>
      <c r="B104" s="264">
        <f>IF($E104="","","BIA-"&amp;TEXT(15,"000"))</f>
      </c>
      <c r="C104" s="240">
        <f>IFERROR(INDEX(BusinessUnits1,MATCH($A104,'04. Products &amp; Services'!$N$5:$N$49,0)),"")</f>
      </c>
      <c r="D104" s="240">
        <f>IFERROR(INDEX(DivisionSites,MATCH($A104,'04. Products &amp; Services'!$N$5:$N$49,0)),"")</f>
      </c>
      <c r="E104" s="253">
        <f>IFERROR(INDEX(ScopeNames,MATCH($A104,'04. Products &amp; Services'!$N$5:$N$49,0)),"")</f>
      </c>
      <c r="F104" s="265">
        <f>IF($E104="","",IFERROR(IF(INDEX(PS_ID,MATCH($E104,ScopeNames,0))="","",INDEX(PS_ID,MATCH($E104,ScopeNames,0))),""))</f>
      </c>
      <c r="G104" s="46" t="s">
        <v>205</v>
      </c>
      <c r="H104" s="293"/>
      <c r="I104" s="71" t="s">
        <v>116</v>
      </c>
      <c r="J104" s="293"/>
      <c r="K104" s="293"/>
      <c r="L104" s="293"/>
      <c r="M104" s="293"/>
      <c r="N104" s="293"/>
      <c r="O104" s="293"/>
      <c r="P104" s="293"/>
      <c r="Q104" s="293"/>
      <c r="R104" s="293"/>
      <c r="S104" s="257">
        <f>IF(COUNT(J104:R110)=0,"",MAX(J104:R110))</f>
      </c>
      <c r="T104" s="68">
        <f>IF($S$104="","",IF(COUNT(J104:R104)=0,"",IF(MAX(J104:R104)&gt;3,$I104,"")))</f>
      </c>
      <c r="U104" s="249">
        <f>IF($E104="","",IFERROR(IF(INDEX('04. Products &amp; Services'!$J$5:$J$49,MATCH($A104,'04. Products &amp; Services'!$N$5:$N$49,0))="","",INDEX('04. Products &amp; Services'!$J$5:$J$49,MATCH($A104,'04. Products &amp; Services'!$N$5:$N$49,0))),""))</f>
      </c>
      <c r="V104" s="299"/>
      <c r="W104" s="247">
        <f>IF($E104="","",IF(OR($U104="Yes",$V104="Yes"),"Yes",IF(AND($U104="No",$V104="No"),"No",IF(AND($U104="Under Evaluation",$V104="No"),"Under Evaluation",""))))</f>
      </c>
      <c r="X104" s="270">
        <f>IF($E104="","",IFERROR(IF(INDEX('04. Products &amp; Services'!$K$5:$K$49,MATCH($A104,'04. Products &amp; Services'!$N$5:$N$49,0))="","",INDEX('04. Products &amp; Services'!$K$5:$K$49,MATCH($A104,'04. Products &amp; Services'!$N$5:$N$49,0))),""))</f>
      </c>
      <c r="Y104" s="269"/>
      <c r="Z104" s="269"/>
      <c r="AA104" s="247">
        <f>IF($E104="","",IF(COUNT(J104:R110)=0,"",IF(MAX(J104:J110)&gt;=4,6,IF(MAX(K104:K110)&gt;=4,18,IF(MAX(L104:L110)&gt;=4,36,IF(MAX(M104:M110)&gt;=4,72,IF(MAX(N104:N110)&gt;=4,168,IF(MAX(O104:O110)&gt;=4,336,IF(MAX(P104:P110)&gt;=4,504,IF(MAX(Q104:Q110)&gt;=4,672,IF(MAX(R104:R110)&gt;=4,"","")))))))))))</f>
      </c>
      <c r="AB104" s="247">
        <f>IF($E104="","",IFERROR(IF(INDEX('04. Products &amp; Services'!$M$5:$M$49,MATCH($A104,'04. Products &amp; Services'!$N$5:$N$49,0))="","",INDEX('04. Products &amp; Services'!$M$5:$M$49,MATCH($A104,'04. Products &amp; Services'!$N$5:$N$49,0))),""))</f>
      </c>
      <c r="AC104" s="245"/>
      <c r="AD104" s="260">
        <f>IF(AC104="","",IF(ISNUMBER(AC104),AC104,IFERROR(VALUE(LEFT(TRIM(AC104),FIND(" ",TRIM(AC104))-1))*VLOOKUP(LEFT(LOWER(TRIM(MID(TRIM(AC104),FIND(" ",TRIM(AC104))+1,99))),3),DurationUnits,2,FALSE),"")))</f>
      </c>
      <c r="AE104" s="261"/>
      <c r="AF104" s="263"/>
      <c r="AG104" s="256">
        <f>IF($AF104="","",EDATE($AF104,12))</f>
      </c>
      <c r="AH104" s="254" cm="1">
        <f t="array" ref="AH104">IF($B104="","",_xlfn.LET(_xlpm.ids,'15. BCM Risk Register'!$A$6:$A$65,_xlpm.links,'15. BCM Risk Register'!$I$6:$I$65,_xlpm.hit,ISNUMBER(SEARCH(","&amp;$B104&amp;",",","&amp;SUBSTITUTE(_xlpm.links," ","")&amp;",")),IFERROR(_xlfn.TEXTJOIN(", ",TRUE,_xlfn.UNIQUE(_xlfn._xlws.FILTER(_xlpm.ids,_xlpm.hit*(_xlpm.ids&lt;&gt;"")))),"Not Created")))</f>
      </c>
      <c r="AI104" s="254" cm="1">
        <f t="array" ref="AI104">IF($B104="","",_xlfn.LET(_xlpm.ids,'15. BCM Risk Register'!$L$6:$L$65,_xlpm.links,'15. BCM Risk Register'!$I$6:$I$65,_xlpm.hit,ISNUMBER(SEARCH(","&amp;$B104&amp;",",","&amp;SUBSTITUTE(_xlpm.links," ","")&amp;",")),IFERROR(_xlfn.TEXTJOIN(", ",TRUE,_xlfn.UNIQUE(_xlfn._xlws.FILTER(_xlpm.ids,_xlpm.hit*(_xlpm.ids&lt;&gt;"")*(_xlpm.ids&lt;&gt;"Not Created")))),"Not Created")))</f>
      </c>
      <c r="AJ104" s="254" cm="1">
        <f t="array" ref="AJ104">IF($B104="","",_xlfn.LET(_xlpm.ids,'15. BCM Risk Register'!$K$6:$K$65,_xlpm.links,'15. BCM Risk Register'!$I$6:$I$65,_xlpm.hit,ISNUMBER(SEARCH(","&amp;$B104&amp;",",","&amp;SUBSTITUTE(_xlpm.links," ","")&amp;",")),IFERROR(_xlfn.TEXTJOIN(", ",TRUE,_xlfn.UNIQUE(_xlfn._xlws.FILTER(_xlpm.ids,_xlpm.hit*(_xlpm.ids&lt;&gt;"")*(_xlpm.ids&lt;&gt;"Not Created")))),"Not Created")))</f>
      </c>
    </row>
    <row r="105" spans="1:36" ht="14.5" customHeight="1" x14ac:dyDescent="0.35">
      <c r="A105" s="248"/>
      <c r="B105" s="248"/>
      <c r="C105" s="241"/>
      <c r="D105" s="241"/>
      <c r="E105" s="248"/>
      <c r="F105" s="246"/>
      <c r="G105" s="46" t="s">
        <v>160</v>
      </c>
      <c r="H105" s="293"/>
      <c r="I105" s="71" t="s">
        <v>117</v>
      </c>
      <c r="J105" s="293"/>
      <c r="K105" s="293"/>
      <c r="L105" s="293"/>
      <c r="M105" s="293"/>
      <c r="N105" s="293"/>
      <c r="O105" s="293"/>
      <c r="P105" s="293"/>
      <c r="Q105" s="293"/>
      <c r="R105" s="293"/>
      <c r="S105" s="258"/>
      <c r="T105" s="68">
        <f>IF($S$104="","",IF(COUNT(J105:R105)=0,"",IF(MAX(J105:R105)&gt;3,$I105,"")))</f>
      </c>
      <c r="U105" s="248"/>
      <c r="V105" s="251"/>
      <c r="W105" s="248"/>
      <c r="X105" s="248"/>
      <c r="Y105" s="262"/>
      <c r="Z105" s="262"/>
      <c r="AA105" s="248"/>
      <c r="AB105" s="248"/>
      <c r="AC105" s="246"/>
      <c r="AD105" s="248"/>
      <c r="AE105" s="262"/>
      <c r="AF105" s="262"/>
      <c r="AG105" s="248"/>
      <c r="AH105" s="255"/>
      <c r="AI105" s="255"/>
      <c r="AJ105" s="255"/>
    </row>
    <row r="106" spans="1:36" ht="14.5" customHeight="1" x14ac:dyDescent="0.35">
      <c r="A106" s="248"/>
      <c r="B106" s="248"/>
      <c r="C106" s="241"/>
      <c r="D106" s="241"/>
      <c r="E106" s="248"/>
      <c r="F106" s="246"/>
      <c r="G106" s="46" t="s">
        <v>206</v>
      </c>
      <c r="H106" s="293"/>
      <c r="I106" s="71" t="s">
        <v>118</v>
      </c>
      <c r="J106" s="293"/>
      <c r="K106" s="293"/>
      <c r="L106" s="293"/>
      <c r="M106" s="293"/>
      <c r="N106" s="293"/>
      <c r="O106" s="293"/>
      <c r="P106" s="293"/>
      <c r="Q106" s="293"/>
      <c r="R106" s="293"/>
      <c r="S106" s="258"/>
      <c r="T106" s="68">
        <f>IF($S$104="","",IF(COUNT(J106:R106)=0,"",IF(MAX(J106:R106)&gt;3,$I106,"")))</f>
      </c>
      <c r="U106" s="248"/>
      <c r="V106" s="251"/>
      <c r="W106" s="248"/>
      <c r="X106" s="248"/>
      <c r="Y106" s="262"/>
      <c r="Z106" s="262"/>
      <c r="AA106" s="248"/>
      <c r="AB106" s="248"/>
      <c r="AC106" s="246"/>
      <c r="AD106" s="248"/>
      <c r="AE106" s="262"/>
      <c r="AF106" s="262"/>
      <c r="AG106" s="248"/>
      <c r="AH106" s="255"/>
      <c r="AI106" s="255"/>
      <c r="AJ106" s="255"/>
    </row>
    <row r="107" spans="1:36" ht="14.5" customHeight="1" x14ac:dyDescent="0.35">
      <c r="A107" s="248"/>
      <c r="B107" s="248"/>
      <c r="C107" s="241"/>
      <c r="D107" s="241"/>
      <c r="E107" s="248"/>
      <c r="F107" s="246"/>
      <c r="G107" s="46" t="s">
        <v>207</v>
      </c>
      <c r="H107" s="293"/>
      <c r="I107" s="71" t="s">
        <v>119</v>
      </c>
      <c r="J107" s="293"/>
      <c r="K107" s="293"/>
      <c r="L107" s="293"/>
      <c r="M107" s="293"/>
      <c r="N107" s="293"/>
      <c r="O107" s="293"/>
      <c r="P107" s="293"/>
      <c r="Q107" s="293"/>
      <c r="R107" s="293"/>
      <c r="S107" s="258"/>
      <c r="T107" s="68">
        <f>IF($S$104="","",IF(COUNT(J107:R107)=0,"",IF(MAX(J107:R107)&gt;3,$I107,"")))</f>
      </c>
      <c r="U107" s="248"/>
      <c r="V107" s="251"/>
      <c r="W107" s="248"/>
      <c r="X107" s="248"/>
      <c r="Y107" s="262"/>
      <c r="Z107" s="262"/>
      <c r="AA107" s="248"/>
      <c r="AB107" s="248"/>
      <c r="AC107" s="246"/>
      <c r="AD107" s="248"/>
      <c r="AE107" s="262"/>
      <c r="AF107" s="262"/>
      <c r="AG107" s="248"/>
      <c r="AH107" s="255"/>
      <c r="AI107" s="255"/>
      <c r="AJ107" s="255"/>
    </row>
    <row r="108" spans="1:36" ht="14.5" customHeight="1" x14ac:dyDescent="0.35">
      <c r="A108" s="248"/>
      <c r="B108" s="248"/>
      <c r="C108" s="241"/>
      <c r="D108" s="241"/>
      <c r="E108" s="248"/>
      <c r="F108" s="246"/>
      <c r="G108" s="46" t="s">
        <v>161</v>
      </c>
      <c r="H108" s="293"/>
      <c r="I108" s="71" t="s">
        <v>120</v>
      </c>
      <c r="J108" s="293"/>
      <c r="K108" s="293"/>
      <c r="L108" s="293"/>
      <c r="M108" s="293"/>
      <c r="N108" s="293"/>
      <c r="O108" s="293"/>
      <c r="P108" s="293"/>
      <c r="Q108" s="293"/>
      <c r="R108" s="293"/>
      <c r="S108" s="258"/>
      <c r="T108" s="68">
        <f>IF($S$104="","",IF(COUNT(J108:R108)=0,"",IF(MAX(J108:R108)&gt;3,$I108,"")))</f>
      </c>
      <c r="U108" s="248"/>
      <c r="V108" s="251"/>
      <c r="W108" s="248"/>
      <c r="X108" s="248"/>
      <c r="Y108" s="262"/>
      <c r="Z108" s="262"/>
      <c r="AA108" s="248"/>
      <c r="AB108" s="248"/>
      <c r="AC108" s="246"/>
      <c r="AD108" s="248"/>
      <c r="AE108" s="262"/>
      <c r="AF108" s="262"/>
      <c r="AG108" s="248"/>
      <c r="AH108" s="255"/>
      <c r="AI108" s="255"/>
      <c r="AJ108" s="255"/>
    </row>
    <row r="109" spans="1:36" ht="14.5" customHeight="1" x14ac:dyDescent="0.35">
      <c r="A109" s="248"/>
      <c r="B109" s="248"/>
      <c r="C109" s="241"/>
      <c r="D109" s="241"/>
      <c r="E109" s="248"/>
      <c r="F109" s="246"/>
      <c r="G109" s="46" t="s">
        <v>208</v>
      </c>
      <c r="H109" s="293"/>
      <c r="I109" s="71" t="s">
        <v>121</v>
      </c>
      <c r="J109" s="293"/>
      <c r="K109" s="293"/>
      <c r="L109" s="293"/>
      <c r="M109" s="293"/>
      <c r="N109" s="293"/>
      <c r="O109" s="293"/>
      <c r="P109" s="293"/>
      <c r="Q109" s="293"/>
      <c r="R109" s="293"/>
      <c r="S109" s="258"/>
      <c r="T109" s="68">
        <f>IF($S$104="","",IF(COUNT(J109:R109)=0,"",IF(MAX(J109:R109)&gt;3,$I109,"")))</f>
      </c>
      <c r="U109" s="248"/>
      <c r="V109" s="251"/>
      <c r="W109" s="248"/>
      <c r="X109" s="248"/>
      <c r="Y109" s="262"/>
      <c r="Z109" s="262"/>
      <c r="AA109" s="248"/>
      <c r="AB109" s="248"/>
      <c r="AC109" s="246"/>
      <c r="AD109" s="248"/>
      <c r="AE109" s="262"/>
      <c r="AF109" s="262"/>
      <c r="AG109" s="248"/>
      <c r="AH109" s="255"/>
      <c r="AI109" s="255"/>
      <c r="AJ109" s="255"/>
    </row>
    <row r="110" spans="1:36" ht="14.5" customHeight="1" x14ac:dyDescent="0.35">
      <c r="A110" s="248"/>
      <c r="B110" s="248"/>
      <c r="C110" s="242"/>
      <c r="D110" s="242"/>
      <c r="E110" s="248"/>
      <c r="F110" s="246"/>
      <c r="G110" s="46" t="s">
        <v>209</v>
      </c>
      <c r="H110" s="293"/>
      <c r="I110" s="71" t="s">
        <v>122</v>
      </c>
      <c r="J110" s="293"/>
      <c r="K110" s="293"/>
      <c r="L110" s="293"/>
      <c r="M110" s="293"/>
      <c r="N110" s="293"/>
      <c r="O110" s="293"/>
      <c r="P110" s="293"/>
      <c r="Q110" s="293"/>
      <c r="R110" s="293"/>
      <c r="S110" s="259"/>
      <c r="T110" s="68">
        <f>IF($S$104="","",IF(COUNT(J110:R110)=0,"",IF(MAX(J110:R110)&gt;3,$I110,"")))</f>
      </c>
      <c r="U110" s="248"/>
      <c r="V110" s="251"/>
      <c r="W110" s="248"/>
      <c r="X110" s="248"/>
      <c r="Y110" s="262"/>
      <c r="Z110" s="262"/>
      <c r="AA110" s="248"/>
      <c r="AB110" s="248"/>
      <c r="AC110" s="246"/>
      <c r="AD110" s="248"/>
      <c r="AE110" s="262"/>
      <c r="AF110" s="262"/>
      <c r="AG110" s="248"/>
      <c r="AH110" s="255"/>
      <c r="AI110" s="255"/>
      <c r="AJ110" s="255"/>
    </row>
    <row r="111" spans="1:36" ht="14.5" customHeight="1" x14ac:dyDescent="0.35">
      <c r="A111" s="252">
        <v>16</v>
      </c>
      <c r="B111" s="264">
        <f>IF($E111="","","BIA-"&amp;TEXT(16,"000"))</f>
      </c>
      <c r="C111" s="240">
        <f>IFERROR(INDEX(BusinessUnits1,MATCH($A111,'04. Products &amp; Services'!$N$5:$N$49,0)),"")</f>
      </c>
      <c r="D111" s="240">
        <f>IFERROR(INDEX(DivisionSites,MATCH($A111,'04. Products &amp; Services'!$N$5:$N$49,0)),"")</f>
      </c>
      <c r="E111" s="253">
        <f>IFERROR(INDEX(ScopeNames,MATCH($A111,'04. Products &amp; Services'!$N$5:$N$49,0)),"")</f>
      </c>
      <c r="F111" s="265">
        <f>IF($E111="","",IFERROR(IF(INDEX(PS_ID,MATCH($E111,ScopeNames,0))="","",INDEX(PS_ID,MATCH($E111,ScopeNames,0))),""))</f>
      </c>
      <c r="G111" s="46" t="s">
        <v>205</v>
      </c>
      <c r="H111" s="293"/>
      <c r="I111" s="71" t="s">
        <v>116</v>
      </c>
      <c r="J111" s="293"/>
      <c r="K111" s="293"/>
      <c r="L111" s="293"/>
      <c r="M111" s="293"/>
      <c r="N111" s="293"/>
      <c r="O111" s="293"/>
      <c r="P111" s="293"/>
      <c r="Q111" s="293"/>
      <c r="R111" s="293"/>
      <c r="S111" s="257">
        <f>IF(COUNT(J111:R117)=0,"",MAX(J111:R117))</f>
      </c>
      <c r="T111" s="68">
        <f>IF($S$111="","",IF(COUNT(J111:R111)=0,"",IF(MAX(J111:R111)&gt;3,$I111,"")))</f>
      </c>
      <c r="U111" s="249">
        <f>IF($E111="","",IFERROR(IF(INDEX('04. Products &amp; Services'!$J$5:$J$49,MATCH($A111,'04. Products &amp; Services'!$N$5:$N$49,0))="","",INDEX('04. Products &amp; Services'!$J$5:$J$49,MATCH($A111,'04. Products &amp; Services'!$N$5:$N$49,0))),""))</f>
      </c>
      <c r="V111" s="299"/>
      <c r="W111" s="247">
        <f>IF($E111="","",IF(OR($U111="Yes",$V111="Yes"),"Yes",IF(AND($U111="No",$V111="No"),"No",IF(AND($U111="Under Evaluation",$V111="No"),"Under Evaluation",""))))</f>
      </c>
      <c r="X111" s="270">
        <f>IF($E111="","",IFERROR(IF(INDEX('04. Products &amp; Services'!$K$5:$K$49,MATCH($A111,'04. Products &amp; Services'!$N$5:$N$49,0))="","",INDEX('04. Products &amp; Services'!$K$5:$K$49,MATCH($A111,'04. Products &amp; Services'!$N$5:$N$49,0))),""))</f>
      </c>
      <c r="Y111" s="269"/>
      <c r="Z111" s="269"/>
      <c r="AA111" s="247">
        <f>IF($E111="","",IF(COUNT(J111:R117)=0,"",IF(MAX(J111:J117)&gt;=4,6,IF(MAX(K111:K117)&gt;=4,18,IF(MAX(L111:L117)&gt;=4,36,IF(MAX(M111:M117)&gt;=4,72,IF(MAX(N111:N117)&gt;=4,168,IF(MAX(O111:O117)&gt;=4,336,IF(MAX(P111:P117)&gt;=4,504,IF(MAX(Q111:Q117)&gt;=4,672,IF(MAX(R111:R117)&gt;=4,"","")))))))))))</f>
      </c>
      <c r="AB111" s="247">
        <f>IF($E111="","",IFERROR(IF(INDEX('04. Products &amp; Services'!$M$5:$M$49,MATCH($A111,'04. Products &amp; Services'!$N$5:$N$49,0))="","",INDEX('04. Products &amp; Services'!$M$5:$M$49,MATCH($A111,'04. Products &amp; Services'!$N$5:$N$49,0))),""))</f>
      </c>
      <c r="AC111" s="245"/>
      <c r="AD111" s="260">
        <f>IF(AC111="","",IF(ISNUMBER(AC111),AC111,IFERROR(VALUE(LEFT(TRIM(AC111),FIND(" ",TRIM(AC111))-1))*VLOOKUP(LEFT(LOWER(TRIM(MID(TRIM(AC111),FIND(" ",TRIM(AC111))+1,99))),3),DurationUnits,2,FALSE),"")))</f>
      </c>
      <c r="AE111" s="261"/>
      <c r="AF111" s="263"/>
      <c r="AG111" s="256">
        <f>IF($AF111="","",EDATE($AF111,12))</f>
      </c>
      <c r="AH111" s="254" cm="1">
        <f t="array" ref="AH111">IF($B111="","",_xlfn.LET(_xlpm.ids,'15. BCM Risk Register'!$A$6:$A$65,_xlpm.links,'15. BCM Risk Register'!$I$6:$I$65,_xlpm.hit,ISNUMBER(SEARCH(","&amp;$B111&amp;",",","&amp;SUBSTITUTE(_xlpm.links," ","")&amp;",")),IFERROR(_xlfn.TEXTJOIN(", ",TRUE,_xlfn.UNIQUE(_xlfn._xlws.FILTER(_xlpm.ids,_xlpm.hit*(_xlpm.ids&lt;&gt;"")))),"Not Created")))</f>
      </c>
      <c r="AI111" s="254" cm="1">
        <f t="array" ref="AI111">IF($B111="","",_xlfn.LET(_xlpm.ids,'15. BCM Risk Register'!$L$6:$L$65,_xlpm.links,'15. BCM Risk Register'!$I$6:$I$65,_xlpm.hit,ISNUMBER(SEARCH(","&amp;$B111&amp;",",","&amp;SUBSTITUTE(_xlpm.links," ","")&amp;",")),IFERROR(_xlfn.TEXTJOIN(", ",TRUE,_xlfn.UNIQUE(_xlfn._xlws.FILTER(_xlpm.ids,_xlpm.hit*(_xlpm.ids&lt;&gt;"")*(_xlpm.ids&lt;&gt;"Not Created")))),"Not Created")))</f>
      </c>
      <c r="AJ111" s="254" cm="1">
        <f t="array" ref="AJ111">IF($B111="","",_xlfn.LET(_xlpm.ids,'15. BCM Risk Register'!$K$6:$K$65,_xlpm.links,'15. BCM Risk Register'!$I$6:$I$65,_xlpm.hit,ISNUMBER(SEARCH(","&amp;$B111&amp;",",","&amp;SUBSTITUTE(_xlpm.links," ","")&amp;",")),IFERROR(_xlfn.TEXTJOIN(", ",TRUE,_xlfn.UNIQUE(_xlfn._xlws.FILTER(_xlpm.ids,_xlpm.hit*(_xlpm.ids&lt;&gt;"")*(_xlpm.ids&lt;&gt;"Not Created")))),"Not Created")))</f>
      </c>
    </row>
    <row r="112" spans="1:36" ht="14.5" customHeight="1" x14ac:dyDescent="0.35">
      <c r="A112" s="248"/>
      <c r="B112" s="248"/>
      <c r="C112" s="241"/>
      <c r="D112" s="241"/>
      <c r="E112" s="248"/>
      <c r="F112" s="246"/>
      <c r="G112" s="46" t="s">
        <v>160</v>
      </c>
      <c r="H112" s="293"/>
      <c r="I112" s="71" t="s">
        <v>117</v>
      </c>
      <c r="J112" s="293"/>
      <c r="K112" s="293"/>
      <c r="L112" s="293"/>
      <c r="M112" s="293"/>
      <c r="N112" s="293"/>
      <c r="O112" s="293"/>
      <c r="P112" s="293"/>
      <c r="Q112" s="293"/>
      <c r="R112" s="293"/>
      <c r="S112" s="258"/>
      <c r="T112" s="68">
        <f>IF($S$111="","",IF(COUNT(J112:R112)=0,"",IF(MAX(J112:R112)&gt;3,$I112,"")))</f>
      </c>
      <c r="U112" s="248"/>
      <c r="V112" s="251"/>
      <c r="W112" s="248"/>
      <c r="X112" s="248"/>
      <c r="Y112" s="262"/>
      <c r="Z112" s="262"/>
      <c r="AA112" s="248"/>
      <c r="AB112" s="248"/>
      <c r="AC112" s="246"/>
      <c r="AD112" s="248"/>
      <c r="AE112" s="262"/>
      <c r="AF112" s="262"/>
      <c r="AG112" s="248"/>
      <c r="AH112" s="255"/>
      <c r="AI112" s="255"/>
      <c r="AJ112" s="255"/>
    </row>
    <row r="113" spans="1:36" ht="14.5" customHeight="1" x14ac:dyDescent="0.35">
      <c r="A113" s="248"/>
      <c r="B113" s="248"/>
      <c r="C113" s="241"/>
      <c r="D113" s="241"/>
      <c r="E113" s="248"/>
      <c r="F113" s="246"/>
      <c r="G113" s="46" t="s">
        <v>206</v>
      </c>
      <c r="H113" s="293"/>
      <c r="I113" s="71" t="s">
        <v>118</v>
      </c>
      <c r="J113" s="293"/>
      <c r="K113" s="293"/>
      <c r="L113" s="293"/>
      <c r="M113" s="293"/>
      <c r="N113" s="293"/>
      <c r="O113" s="293"/>
      <c r="P113" s="293"/>
      <c r="Q113" s="293"/>
      <c r="R113" s="293"/>
      <c r="S113" s="258"/>
      <c r="T113" s="68">
        <f>IF($S$111="","",IF(COUNT(J113:R113)=0,"",IF(MAX(J113:R113)&gt;3,$I113,"")))</f>
      </c>
      <c r="U113" s="248"/>
      <c r="V113" s="251"/>
      <c r="W113" s="248"/>
      <c r="X113" s="248"/>
      <c r="Y113" s="262"/>
      <c r="Z113" s="262"/>
      <c r="AA113" s="248"/>
      <c r="AB113" s="248"/>
      <c r="AC113" s="246"/>
      <c r="AD113" s="248"/>
      <c r="AE113" s="262"/>
      <c r="AF113" s="262"/>
      <c r="AG113" s="248"/>
      <c r="AH113" s="255"/>
      <c r="AI113" s="255"/>
      <c r="AJ113" s="255"/>
    </row>
    <row r="114" spans="1:36" ht="14.5" customHeight="1" x14ac:dyDescent="0.35">
      <c r="A114" s="248"/>
      <c r="B114" s="248"/>
      <c r="C114" s="241"/>
      <c r="D114" s="241"/>
      <c r="E114" s="248"/>
      <c r="F114" s="246"/>
      <c r="G114" s="46" t="s">
        <v>207</v>
      </c>
      <c r="H114" s="293"/>
      <c r="I114" s="71" t="s">
        <v>119</v>
      </c>
      <c r="J114" s="293"/>
      <c r="K114" s="293"/>
      <c r="L114" s="293"/>
      <c r="M114" s="293"/>
      <c r="N114" s="293"/>
      <c r="O114" s="293"/>
      <c r="P114" s="293"/>
      <c r="Q114" s="293"/>
      <c r="R114" s="293"/>
      <c r="S114" s="258"/>
      <c r="T114" s="68">
        <f>IF($S$111="","",IF(COUNT(J114:R114)=0,"",IF(MAX(J114:R114)&gt;3,$I114,"")))</f>
      </c>
      <c r="U114" s="248"/>
      <c r="V114" s="251"/>
      <c r="W114" s="248"/>
      <c r="X114" s="248"/>
      <c r="Y114" s="262"/>
      <c r="Z114" s="262"/>
      <c r="AA114" s="248"/>
      <c r="AB114" s="248"/>
      <c r="AC114" s="246"/>
      <c r="AD114" s="248"/>
      <c r="AE114" s="262"/>
      <c r="AF114" s="262"/>
      <c r="AG114" s="248"/>
      <c r="AH114" s="255"/>
      <c r="AI114" s="255"/>
      <c r="AJ114" s="255"/>
    </row>
    <row r="115" spans="1:36" ht="14.5" customHeight="1" x14ac:dyDescent="0.35">
      <c r="A115" s="248"/>
      <c r="B115" s="248"/>
      <c r="C115" s="241"/>
      <c r="D115" s="241"/>
      <c r="E115" s="248"/>
      <c r="F115" s="246"/>
      <c r="G115" s="46" t="s">
        <v>161</v>
      </c>
      <c r="H115" s="293"/>
      <c r="I115" s="71" t="s">
        <v>120</v>
      </c>
      <c r="J115" s="293"/>
      <c r="K115" s="293"/>
      <c r="L115" s="293"/>
      <c r="M115" s="293"/>
      <c r="N115" s="293"/>
      <c r="O115" s="293"/>
      <c r="P115" s="293"/>
      <c r="Q115" s="293"/>
      <c r="R115" s="293"/>
      <c r="S115" s="258"/>
      <c r="T115" s="68">
        <f>IF($S$111="","",IF(COUNT(J115:R115)=0,"",IF(MAX(J115:R115)&gt;3,$I115,"")))</f>
      </c>
      <c r="U115" s="248"/>
      <c r="V115" s="251"/>
      <c r="W115" s="248"/>
      <c r="X115" s="248"/>
      <c r="Y115" s="262"/>
      <c r="Z115" s="262"/>
      <c r="AA115" s="248"/>
      <c r="AB115" s="248"/>
      <c r="AC115" s="246"/>
      <c r="AD115" s="248"/>
      <c r="AE115" s="262"/>
      <c r="AF115" s="262"/>
      <c r="AG115" s="248"/>
      <c r="AH115" s="255"/>
      <c r="AI115" s="255"/>
      <c r="AJ115" s="255"/>
    </row>
    <row r="116" spans="1:36" ht="14.5" customHeight="1" x14ac:dyDescent="0.35">
      <c r="A116" s="248"/>
      <c r="B116" s="248"/>
      <c r="C116" s="241"/>
      <c r="D116" s="241"/>
      <c r="E116" s="248"/>
      <c r="F116" s="246"/>
      <c r="G116" s="46" t="s">
        <v>208</v>
      </c>
      <c r="H116" s="293"/>
      <c r="I116" s="71" t="s">
        <v>121</v>
      </c>
      <c r="J116" s="293"/>
      <c r="K116" s="293"/>
      <c r="L116" s="293"/>
      <c r="M116" s="293"/>
      <c r="N116" s="293"/>
      <c r="O116" s="293"/>
      <c r="P116" s="293"/>
      <c r="Q116" s="293"/>
      <c r="R116" s="293"/>
      <c r="S116" s="258"/>
      <c r="T116" s="68">
        <f>IF($S$111="","",IF(COUNT(J116:R116)=0,"",IF(MAX(J116:R116)&gt;3,$I116,"")))</f>
      </c>
      <c r="U116" s="248"/>
      <c r="V116" s="251"/>
      <c r="W116" s="248"/>
      <c r="X116" s="248"/>
      <c r="Y116" s="262"/>
      <c r="Z116" s="262"/>
      <c r="AA116" s="248"/>
      <c r="AB116" s="248"/>
      <c r="AC116" s="246"/>
      <c r="AD116" s="248"/>
      <c r="AE116" s="262"/>
      <c r="AF116" s="262"/>
      <c r="AG116" s="248"/>
      <c r="AH116" s="255"/>
      <c r="AI116" s="255"/>
      <c r="AJ116" s="255"/>
    </row>
    <row r="117" spans="1:36" ht="14.5" customHeight="1" x14ac:dyDescent="0.35">
      <c r="A117" s="248"/>
      <c r="B117" s="248"/>
      <c r="C117" s="242"/>
      <c r="D117" s="242"/>
      <c r="E117" s="248"/>
      <c r="F117" s="246"/>
      <c r="G117" s="46" t="s">
        <v>209</v>
      </c>
      <c r="H117" s="293"/>
      <c r="I117" s="71" t="s">
        <v>122</v>
      </c>
      <c r="J117" s="293"/>
      <c r="K117" s="293"/>
      <c r="L117" s="293"/>
      <c r="M117" s="293"/>
      <c r="N117" s="293"/>
      <c r="O117" s="293"/>
      <c r="P117" s="293"/>
      <c r="Q117" s="293"/>
      <c r="R117" s="293"/>
      <c r="S117" s="259"/>
      <c r="T117" s="68">
        <f>IF($S$111="","",IF(COUNT(J117:R117)=0,"",IF(MAX(J117:R117)&gt;3,$I117,"")))</f>
      </c>
      <c r="U117" s="248"/>
      <c r="V117" s="251"/>
      <c r="W117" s="248"/>
      <c r="X117" s="248"/>
      <c r="Y117" s="262"/>
      <c r="Z117" s="262"/>
      <c r="AA117" s="248"/>
      <c r="AB117" s="248"/>
      <c r="AC117" s="246"/>
      <c r="AD117" s="248"/>
      <c r="AE117" s="262"/>
      <c r="AF117" s="262"/>
      <c r="AG117" s="248"/>
      <c r="AH117" s="255"/>
      <c r="AI117" s="255"/>
      <c r="AJ117" s="255"/>
    </row>
    <row r="118" spans="1:36" ht="14.5" customHeight="1" x14ac:dyDescent="0.35">
      <c r="A118" s="252">
        <v>17</v>
      </c>
      <c r="B118" s="264">
        <f>IF($E118="","","BIA-"&amp;TEXT(17,"000"))</f>
      </c>
      <c r="C118" s="240">
        <f>IFERROR(INDEX(BusinessUnits1,MATCH($A118,'04. Products &amp; Services'!$N$5:$N$49,0)),"")</f>
      </c>
      <c r="D118" s="240">
        <f>IFERROR(INDEX(DivisionSites,MATCH($A118,'04. Products &amp; Services'!$N$5:$N$49,0)),"")</f>
      </c>
      <c r="E118" s="253">
        <f>IFERROR(INDEX(ScopeNames,MATCH($A118,'04. Products &amp; Services'!$N$5:$N$49,0)),"")</f>
      </c>
      <c r="F118" s="265">
        <f>IF($E118="","",IFERROR(IF(INDEX(PS_ID,MATCH($E118,ScopeNames,0))="","",INDEX(PS_ID,MATCH($E118,ScopeNames,0))),""))</f>
      </c>
      <c r="G118" s="46" t="s">
        <v>205</v>
      </c>
      <c r="H118" s="293"/>
      <c r="I118" s="71" t="s">
        <v>116</v>
      </c>
      <c r="J118" s="293"/>
      <c r="K118" s="293"/>
      <c r="L118" s="293"/>
      <c r="M118" s="293"/>
      <c r="N118" s="293"/>
      <c r="O118" s="293"/>
      <c r="P118" s="293"/>
      <c r="Q118" s="293"/>
      <c r="R118" s="293"/>
      <c r="S118" s="257">
        <f>IF(COUNT(J118:R124)=0,"",MAX(J118:R124))</f>
      </c>
      <c r="T118" s="68">
        <f>IF($S$118="","",IF(COUNT(J118:R118)=0,"",IF(MAX(J118:R118)&gt;3,$I118,"")))</f>
      </c>
      <c r="U118" s="249">
        <f>IF($E118="","",IFERROR(IF(INDEX('04. Products &amp; Services'!$J$5:$J$49,MATCH($A118,'04. Products &amp; Services'!$N$5:$N$49,0))="","",INDEX('04. Products &amp; Services'!$J$5:$J$49,MATCH($A118,'04. Products &amp; Services'!$N$5:$N$49,0))),""))</f>
      </c>
      <c r="V118" s="299"/>
      <c r="W118" s="247">
        <f>IF($E118="","",IF(OR($U118="Yes",$V118="Yes"),"Yes",IF(AND($U118="No",$V118="No"),"No",IF(AND($U118="Under Evaluation",$V118="No"),"Under Evaluation",""))))</f>
      </c>
      <c r="X118" s="270">
        <f>IF($E118="","",IFERROR(IF(INDEX('04. Products &amp; Services'!$K$5:$K$49,MATCH($A118,'04. Products &amp; Services'!$N$5:$N$49,0))="","",INDEX('04. Products &amp; Services'!$K$5:$K$49,MATCH($A118,'04. Products &amp; Services'!$N$5:$N$49,0))),""))</f>
      </c>
      <c r="Y118" s="269"/>
      <c r="Z118" s="269"/>
      <c r="AA118" s="247">
        <f>IF($E118="","",IF(COUNT(J118:R124)=0,"",IF(MAX(J118:J124)&gt;=4,6,IF(MAX(K118:K124)&gt;=4,18,IF(MAX(L118:L124)&gt;=4,36,IF(MAX(M118:M124)&gt;=4,72,IF(MAX(N118:N124)&gt;=4,168,IF(MAX(O118:O124)&gt;=4,336,IF(MAX(P118:P124)&gt;=4,504,IF(MAX(Q118:Q124)&gt;=4,672,IF(MAX(R118:R124)&gt;=4,"","")))))))))))</f>
      </c>
      <c r="AB118" s="247">
        <f>IF($E118="","",IFERROR(IF(INDEX('04. Products &amp; Services'!$M$5:$M$49,MATCH($A118,'04. Products &amp; Services'!$N$5:$N$49,0))="","",INDEX('04. Products &amp; Services'!$M$5:$M$49,MATCH($A118,'04. Products &amp; Services'!$N$5:$N$49,0))),""))</f>
      </c>
      <c r="AC118" s="245"/>
      <c r="AD118" s="260">
        <f>IF(AC118="","",IF(ISNUMBER(AC118),AC118,IFERROR(VALUE(LEFT(TRIM(AC118),FIND(" ",TRIM(AC118))-1))*VLOOKUP(LEFT(LOWER(TRIM(MID(TRIM(AC118),FIND(" ",TRIM(AC118))+1,99))),3),DurationUnits,2,FALSE),"")))</f>
      </c>
      <c r="AE118" s="261"/>
      <c r="AF118" s="263"/>
      <c r="AG118" s="256">
        <f>IF($AF118="","",EDATE($AF118,12))</f>
      </c>
      <c r="AH118" s="254" cm="1">
        <f t="array" ref="AH118">IF($B118="","",_xlfn.LET(_xlpm.ids,'15. BCM Risk Register'!$A$6:$A$65,_xlpm.links,'15. BCM Risk Register'!$I$6:$I$65,_xlpm.hit,ISNUMBER(SEARCH(","&amp;$B118&amp;",",","&amp;SUBSTITUTE(_xlpm.links," ","")&amp;",")),IFERROR(_xlfn.TEXTJOIN(", ",TRUE,_xlfn.UNIQUE(_xlfn._xlws.FILTER(_xlpm.ids,_xlpm.hit*(_xlpm.ids&lt;&gt;"")))),"Not Created")))</f>
      </c>
      <c r="AI118" s="254" cm="1">
        <f t="array" ref="AI118">IF($B118="","",_xlfn.LET(_xlpm.ids,'15. BCM Risk Register'!$L$6:$L$65,_xlpm.links,'15. BCM Risk Register'!$I$6:$I$65,_xlpm.hit,ISNUMBER(SEARCH(","&amp;$B118&amp;",",","&amp;SUBSTITUTE(_xlpm.links," ","")&amp;",")),IFERROR(_xlfn.TEXTJOIN(", ",TRUE,_xlfn.UNIQUE(_xlfn._xlws.FILTER(_xlpm.ids,_xlpm.hit*(_xlpm.ids&lt;&gt;"")*(_xlpm.ids&lt;&gt;"Not Created")))),"Not Created")))</f>
      </c>
      <c r="AJ118" s="254" cm="1">
        <f t="array" ref="AJ118">IF($B118="","",_xlfn.LET(_xlpm.ids,'15. BCM Risk Register'!$K$6:$K$65,_xlpm.links,'15. BCM Risk Register'!$I$6:$I$65,_xlpm.hit,ISNUMBER(SEARCH(","&amp;$B118&amp;",",","&amp;SUBSTITUTE(_xlpm.links," ","")&amp;",")),IFERROR(_xlfn.TEXTJOIN(", ",TRUE,_xlfn.UNIQUE(_xlfn._xlws.FILTER(_xlpm.ids,_xlpm.hit*(_xlpm.ids&lt;&gt;"")*(_xlpm.ids&lt;&gt;"Not Created")))),"Not Created")))</f>
      </c>
    </row>
    <row r="119" spans="1:36" ht="14.5" customHeight="1" x14ac:dyDescent="0.35">
      <c r="A119" s="248"/>
      <c r="B119" s="248"/>
      <c r="C119" s="241"/>
      <c r="D119" s="241"/>
      <c r="E119" s="248"/>
      <c r="F119" s="246"/>
      <c r="G119" s="46" t="s">
        <v>160</v>
      </c>
      <c r="H119" s="293"/>
      <c r="I119" s="71" t="s">
        <v>117</v>
      </c>
      <c r="J119" s="293"/>
      <c r="K119" s="293"/>
      <c r="L119" s="293"/>
      <c r="M119" s="293"/>
      <c r="N119" s="293"/>
      <c r="O119" s="293"/>
      <c r="P119" s="293"/>
      <c r="Q119" s="293"/>
      <c r="R119" s="293"/>
      <c r="S119" s="258"/>
      <c r="T119" s="68">
        <f>IF($S$118="","",IF(COUNT(J119:R119)=0,"",IF(MAX(J119:R119)&gt;3,$I119,"")))</f>
      </c>
      <c r="U119" s="248"/>
      <c r="V119" s="251"/>
      <c r="W119" s="248"/>
      <c r="X119" s="248"/>
      <c r="Y119" s="262"/>
      <c r="Z119" s="262"/>
      <c r="AA119" s="248"/>
      <c r="AB119" s="248"/>
      <c r="AC119" s="246"/>
      <c r="AD119" s="248"/>
      <c r="AE119" s="262"/>
      <c r="AF119" s="262"/>
      <c r="AG119" s="248"/>
      <c r="AH119" s="255"/>
      <c r="AI119" s="255"/>
      <c r="AJ119" s="255"/>
    </row>
    <row r="120" spans="1:36" ht="14.5" customHeight="1" x14ac:dyDescent="0.35">
      <c r="A120" s="248"/>
      <c r="B120" s="248"/>
      <c r="C120" s="241"/>
      <c r="D120" s="241"/>
      <c r="E120" s="248"/>
      <c r="F120" s="246"/>
      <c r="G120" s="46" t="s">
        <v>206</v>
      </c>
      <c r="H120" s="293"/>
      <c r="I120" s="71" t="s">
        <v>118</v>
      </c>
      <c r="J120" s="293"/>
      <c r="K120" s="293"/>
      <c r="L120" s="293"/>
      <c r="M120" s="293"/>
      <c r="N120" s="293"/>
      <c r="O120" s="293"/>
      <c r="P120" s="293"/>
      <c r="Q120" s="293"/>
      <c r="R120" s="293"/>
      <c r="S120" s="258"/>
      <c r="T120" s="68">
        <f>IF($S$118="","",IF(COUNT(J120:R120)=0,"",IF(MAX(J120:R120)&gt;3,$I120,"")))</f>
      </c>
      <c r="U120" s="248"/>
      <c r="V120" s="251"/>
      <c r="W120" s="248"/>
      <c r="X120" s="248"/>
      <c r="Y120" s="262"/>
      <c r="Z120" s="262"/>
      <c r="AA120" s="248"/>
      <c r="AB120" s="248"/>
      <c r="AC120" s="246"/>
      <c r="AD120" s="248"/>
      <c r="AE120" s="262"/>
      <c r="AF120" s="262"/>
      <c r="AG120" s="248"/>
      <c r="AH120" s="255"/>
      <c r="AI120" s="255"/>
      <c r="AJ120" s="255"/>
    </row>
    <row r="121" spans="1:36" ht="14.5" customHeight="1" x14ac:dyDescent="0.35">
      <c r="A121" s="248"/>
      <c r="B121" s="248"/>
      <c r="C121" s="241"/>
      <c r="D121" s="241"/>
      <c r="E121" s="248"/>
      <c r="F121" s="246"/>
      <c r="G121" s="46" t="s">
        <v>207</v>
      </c>
      <c r="H121" s="293"/>
      <c r="I121" s="71" t="s">
        <v>119</v>
      </c>
      <c r="J121" s="293"/>
      <c r="K121" s="293"/>
      <c r="L121" s="293"/>
      <c r="M121" s="293"/>
      <c r="N121" s="293"/>
      <c r="O121" s="293"/>
      <c r="P121" s="293"/>
      <c r="Q121" s="293"/>
      <c r="R121" s="293"/>
      <c r="S121" s="258"/>
      <c r="T121" s="68">
        <f>IF($S$118="","",IF(COUNT(J121:R121)=0,"",IF(MAX(J121:R121)&gt;3,$I121,"")))</f>
      </c>
      <c r="U121" s="248"/>
      <c r="V121" s="251"/>
      <c r="W121" s="248"/>
      <c r="X121" s="248"/>
      <c r="Y121" s="262"/>
      <c r="Z121" s="262"/>
      <c r="AA121" s="248"/>
      <c r="AB121" s="248"/>
      <c r="AC121" s="246"/>
      <c r="AD121" s="248"/>
      <c r="AE121" s="262"/>
      <c r="AF121" s="262"/>
      <c r="AG121" s="248"/>
      <c r="AH121" s="255"/>
      <c r="AI121" s="255"/>
      <c r="AJ121" s="255"/>
    </row>
    <row r="122" spans="1:36" ht="14.5" customHeight="1" x14ac:dyDescent="0.35">
      <c r="A122" s="248"/>
      <c r="B122" s="248"/>
      <c r="C122" s="241"/>
      <c r="D122" s="241"/>
      <c r="E122" s="248"/>
      <c r="F122" s="246"/>
      <c r="G122" s="46" t="s">
        <v>161</v>
      </c>
      <c r="H122" s="293"/>
      <c r="I122" s="71" t="s">
        <v>120</v>
      </c>
      <c r="J122" s="293"/>
      <c r="K122" s="293"/>
      <c r="L122" s="293"/>
      <c r="M122" s="293"/>
      <c r="N122" s="293"/>
      <c r="O122" s="293"/>
      <c r="P122" s="293"/>
      <c r="Q122" s="293"/>
      <c r="R122" s="293"/>
      <c r="S122" s="258"/>
      <c r="T122" s="68">
        <f>IF($S$118="","",IF(COUNT(J122:R122)=0,"",IF(MAX(J122:R122)&gt;3,$I122,"")))</f>
      </c>
      <c r="U122" s="248"/>
      <c r="V122" s="251"/>
      <c r="W122" s="248"/>
      <c r="X122" s="248"/>
      <c r="Y122" s="262"/>
      <c r="Z122" s="262"/>
      <c r="AA122" s="248"/>
      <c r="AB122" s="248"/>
      <c r="AC122" s="246"/>
      <c r="AD122" s="248"/>
      <c r="AE122" s="262"/>
      <c r="AF122" s="262"/>
      <c r="AG122" s="248"/>
      <c r="AH122" s="255"/>
      <c r="AI122" s="255"/>
      <c r="AJ122" s="255"/>
    </row>
    <row r="123" spans="1:36" ht="14.5" customHeight="1" x14ac:dyDescent="0.35">
      <c r="A123" s="248"/>
      <c r="B123" s="248"/>
      <c r="C123" s="241"/>
      <c r="D123" s="241"/>
      <c r="E123" s="248"/>
      <c r="F123" s="246"/>
      <c r="G123" s="46" t="s">
        <v>208</v>
      </c>
      <c r="H123" s="293"/>
      <c r="I123" s="71" t="s">
        <v>121</v>
      </c>
      <c r="J123" s="293"/>
      <c r="K123" s="293"/>
      <c r="L123" s="293"/>
      <c r="M123" s="293"/>
      <c r="N123" s="293"/>
      <c r="O123" s="293"/>
      <c r="P123" s="293"/>
      <c r="Q123" s="293"/>
      <c r="R123" s="293"/>
      <c r="S123" s="258"/>
      <c r="T123" s="68">
        <f>IF($S$118="","",IF(COUNT(J123:R123)=0,"",IF(MAX(J123:R123)&gt;3,$I123,"")))</f>
      </c>
      <c r="U123" s="248"/>
      <c r="V123" s="251"/>
      <c r="W123" s="248"/>
      <c r="X123" s="248"/>
      <c r="Y123" s="262"/>
      <c r="Z123" s="262"/>
      <c r="AA123" s="248"/>
      <c r="AB123" s="248"/>
      <c r="AC123" s="246"/>
      <c r="AD123" s="248"/>
      <c r="AE123" s="262"/>
      <c r="AF123" s="262"/>
      <c r="AG123" s="248"/>
      <c r="AH123" s="255"/>
      <c r="AI123" s="255"/>
      <c r="AJ123" s="255"/>
    </row>
    <row r="124" spans="1:36" ht="14.5" customHeight="1" x14ac:dyDescent="0.35">
      <c r="A124" s="248"/>
      <c r="B124" s="248"/>
      <c r="C124" s="242"/>
      <c r="D124" s="242"/>
      <c r="E124" s="248"/>
      <c r="F124" s="246"/>
      <c r="G124" s="46" t="s">
        <v>209</v>
      </c>
      <c r="H124" s="293"/>
      <c r="I124" s="71" t="s">
        <v>122</v>
      </c>
      <c r="J124" s="293"/>
      <c r="K124" s="293"/>
      <c r="L124" s="293"/>
      <c r="M124" s="293"/>
      <c r="N124" s="293"/>
      <c r="O124" s="293"/>
      <c r="P124" s="293"/>
      <c r="Q124" s="293"/>
      <c r="R124" s="293"/>
      <c r="S124" s="259"/>
      <c r="T124" s="68">
        <f>IF($S$118="","",IF(COUNT(J124:R124)=0,"",IF(MAX(J124:R124)&gt;3,$I124,"")))</f>
      </c>
      <c r="U124" s="248"/>
      <c r="V124" s="251"/>
      <c r="W124" s="248"/>
      <c r="X124" s="248"/>
      <c r="Y124" s="262"/>
      <c r="Z124" s="262"/>
      <c r="AA124" s="248"/>
      <c r="AB124" s="248"/>
      <c r="AC124" s="246"/>
      <c r="AD124" s="248"/>
      <c r="AE124" s="262"/>
      <c r="AF124" s="262"/>
      <c r="AG124" s="248"/>
      <c r="AH124" s="255"/>
      <c r="AI124" s="255"/>
      <c r="AJ124" s="255"/>
    </row>
    <row r="125" spans="1:36" ht="14.5" customHeight="1" x14ac:dyDescent="0.35">
      <c r="A125" s="252">
        <v>18</v>
      </c>
      <c r="B125" s="264">
        <f>IF($E125="","","BIA-"&amp;TEXT(18,"000"))</f>
      </c>
      <c r="C125" s="240">
        <f>IFERROR(INDEX(BusinessUnits1,MATCH($A125,'04. Products &amp; Services'!$N$5:$N$49,0)),"")</f>
      </c>
      <c r="D125" s="240">
        <f>IFERROR(INDEX(DivisionSites,MATCH($A125,'04. Products &amp; Services'!$N$5:$N$49,0)),"")</f>
      </c>
      <c r="E125" s="253">
        <f>IFERROR(INDEX(ScopeNames,MATCH($A125,'04. Products &amp; Services'!$N$5:$N$49,0)),"")</f>
      </c>
      <c r="F125" s="265">
        <f>IF($E125="","",IFERROR(IF(INDEX(PS_ID,MATCH($E125,ScopeNames,0))="","",INDEX(PS_ID,MATCH($E125,ScopeNames,0))),""))</f>
      </c>
      <c r="G125" s="46" t="s">
        <v>205</v>
      </c>
      <c r="H125" s="293"/>
      <c r="I125" s="71" t="s">
        <v>116</v>
      </c>
      <c r="J125" s="293"/>
      <c r="K125" s="293"/>
      <c r="L125" s="293"/>
      <c r="M125" s="293"/>
      <c r="N125" s="293"/>
      <c r="O125" s="293"/>
      <c r="P125" s="293"/>
      <c r="Q125" s="293"/>
      <c r="R125" s="293"/>
      <c r="S125" s="257">
        <f>IF(COUNT(J125:R131)=0,"",MAX(J125:R131))</f>
      </c>
      <c r="T125" s="68">
        <f>IF($S$125="","",IF(COUNT(J125:R125)=0,"",IF(MAX(J125:R125)&gt;3,$I125,"")))</f>
      </c>
      <c r="U125" s="249">
        <f>IF($E125="","",IFERROR(IF(INDEX('04. Products &amp; Services'!$J$5:$J$49,MATCH($A125,'04. Products &amp; Services'!$N$5:$N$49,0))="","",INDEX('04. Products &amp; Services'!$J$5:$J$49,MATCH($A125,'04. Products &amp; Services'!$N$5:$N$49,0))),""))</f>
      </c>
      <c r="V125" s="299"/>
      <c r="W125" s="247">
        <f>IF($E125="","",IF(OR($U125="Yes",$V125="Yes"),"Yes",IF(AND($U125="No",$V125="No"),"No",IF(AND($U125="Under Evaluation",$V125="No"),"Under Evaluation",""))))</f>
      </c>
      <c r="X125" s="270">
        <f>IF($E125="","",IFERROR(IF(INDEX('04. Products &amp; Services'!$K$5:$K$49,MATCH($A125,'04. Products &amp; Services'!$N$5:$N$49,0))="","",INDEX('04. Products &amp; Services'!$K$5:$K$49,MATCH($A125,'04. Products &amp; Services'!$N$5:$N$49,0))),""))</f>
      </c>
      <c r="Y125" s="269"/>
      <c r="Z125" s="269"/>
      <c r="AA125" s="247">
        <f>IF($E125="","",IF(COUNT(J125:R131)=0,"",IF(MAX(J125:J131)&gt;=4,6,IF(MAX(K125:K131)&gt;=4,18,IF(MAX(L125:L131)&gt;=4,36,IF(MAX(M125:M131)&gt;=4,72,IF(MAX(N125:N131)&gt;=4,168,IF(MAX(O125:O131)&gt;=4,336,IF(MAX(P125:P131)&gt;=4,504,IF(MAX(Q125:Q131)&gt;=4,672,IF(MAX(R125:R131)&gt;=4,"","")))))))))))</f>
      </c>
      <c r="AB125" s="247">
        <f>IF($E125="","",IFERROR(IF(INDEX('04. Products &amp; Services'!$M$5:$M$49,MATCH($A125,'04. Products &amp; Services'!$N$5:$N$49,0))="","",INDEX('04. Products &amp; Services'!$M$5:$M$49,MATCH($A125,'04. Products &amp; Services'!$N$5:$N$49,0))),""))</f>
      </c>
      <c r="AC125" s="245"/>
      <c r="AD125" s="260">
        <f>IF(AC125="","",IF(ISNUMBER(AC125),AC125,IFERROR(VALUE(LEFT(TRIM(AC125),FIND(" ",TRIM(AC125))-1))*VLOOKUP(LEFT(LOWER(TRIM(MID(TRIM(AC125),FIND(" ",TRIM(AC125))+1,99))),3),DurationUnits,2,FALSE),"")))</f>
      </c>
      <c r="AE125" s="261"/>
      <c r="AF125" s="263"/>
      <c r="AG125" s="256">
        <f>IF($AF125="","",EDATE($AF125,12))</f>
      </c>
      <c r="AH125" s="254" cm="1">
        <f t="array" ref="AH125">IF($B125="","",_xlfn.LET(_xlpm.ids,'15. BCM Risk Register'!$A$6:$A$65,_xlpm.links,'15. BCM Risk Register'!$I$6:$I$65,_xlpm.hit,ISNUMBER(SEARCH(","&amp;$B125&amp;",",","&amp;SUBSTITUTE(_xlpm.links," ","")&amp;",")),IFERROR(_xlfn.TEXTJOIN(", ",TRUE,_xlfn.UNIQUE(_xlfn._xlws.FILTER(_xlpm.ids,_xlpm.hit*(_xlpm.ids&lt;&gt;"")))),"Not Created")))</f>
      </c>
      <c r="AI125" s="254" cm="1">
        <f t="array" ref="AI125">IF($B125="","",_xlfn.LET(_xlpm.ids,'15. BCM Risk Register'!$L$6:$L$65,_xlpm.links,'15. BCM Risk Register'!$I$6:$I$65,_xlpm.hit,ISNUMBER(SEARCH(","&amp;$B125&amp;",",","&amp;SUBSTITUTE(_xlpm.links," ","")&amp;",")),IFERROR(_xlfn.TEXTJOIN(", ",TRUE,_xlfn.UNIQUE(_xlfn._xlws.FILTER(_xlpm.ids,_xlpm.hit*(_xlpm.ids&lt;&gt;"")*(_xlpm.ids&lt;&gt;"Not Created")))),"Not Created")))</f>
      </c>
      <c r="AJ125" s="254" cm="1">
        <f t="array" ref="AJ125">IF($B125="","",_xlfn.LET(_xlpm.ids,'15. BCM Risk Register'!$K$6:$K$65,_xlpm.links,'15. BCM Risk Register'!$I$6:$I$65,_xlpm.hit,ISNUMBER(SEARCH(","&amp;$B125&amp;",",","&amp;SUBSTITUTE(_xlpm.links," ","")&amp;",")),IFERROR(_xlfn.TEXTJOIN(", ",TRUE,_xlfn.UNIQUE(_xlfn._xlws.FILTER(_xlpm.ids,_xlpm.hit*(_xlpm.ids&lt;&gt;"")*(_xlpm.ids&lt;&gt;"Not Created")))),"Not Created")))</f>
      </c>
    </row>
    <row r="126" spans="1:36" ht="14.5" customHeight="1" x14ac:dyDescent="0.35">
      <c r="A126" s="248"/>
      <c r="B126" s="248"/>
      <c r="C126" s="241"/>
      <c r="D126" s="241"/>
      <c r="E126" s="248"/>
      <c r="F126" s="246"/>
      <c r="G126" s="46" t="s">
        <v>160</v>
      </c>
      <c r="H126" s="293"/>
      <c r="I126" s="71" t="s">
        <v>117</v>
      </c>
      <c r="J126" s="293"/>
      <c r="K126" s="293"/>
      <c r="L126" s="293"/>
      <c r="M126" s="293"/>
      <c r="N126" s="293"/>
      <c r="O126" s="293"/>
      <c r="P126" s="293"/>
      <c r="Q126" s="293"/>
      <c r="R126" s="293"/>
      <c r="S126" s="258"/>
      <c r="T126" s="68">
        <f>IF($S$125="","",IF(COUNT(J126:R126)=0,"",IF(MAX(J126:R126)&gt;3,$I126,"")))</f>
      </c>
      <c r="U126" s="248"/>
      <c r="V126" s="251"/>
      <c r="W126" s="248"/>
      <c r="X126" s="248"/>
      <c r="Y126" s="262"/>
      <c r="Z126" s="262"/>
      <c r="AA126" s="248"/>
      <c r="AB126" s="248"/>
      <c r="AC126" s="246"/>
      <c r="AD126" s="248"/>
      <c r="AE126" s="262"/>
      <c r="AF126" s="262"/>
      <c r="AG126" s="248"/>
      <c r="AH126" s="255"/>
      <c r="AI126" s="255"/>
      <c r="AJ126" s="255"/>
    </row>
    <row r="127" spans="1:36" ht="14.5" customHeight="1" x14ac:dyDescent="0.35">
      <c r="A127" s="248"/>
      <c r="B127" s="248"/>
      <c r="C127" s="241"/>
      <c r="D127" s="241"/>
      <c r="E127" s="248"/>
      <c r="F127" s="246"/>
      <c r="G127" s="46" t="s">
        <v>206</v>
      </c>
      <c r="H127" s="293"/>
      <c r="I127" s="71" t="s">
        <v>118</v>
      </c>
      <c r="J127" s="293"/>
      <c r="K127" s="293"/>
      <c r="L127" s="293"/>
      <c r="M127" s="293"/>
      <c r="N127" s="293"/>
      <c r="O127" s="293"/>
      <c r="P127" s="293"/>
      <c r="Q127" s="293"/>
      <c r="R127" s="293"/>
      <c r="S127" s="258"/>
      <c r="T127" s="68">
        <f>IF($S$125="","",IF(COUNT(J127:R127)=0,"",IF(MAX(J127:R127)&gt;3,$I127,"")))</f>
      </c>
      <c r="U127" s="248"/>
      <c r="V127" s="251"/>
      <c r="W127" s="248"/>
      <c r="X127" s="248"/>
      <c r="Y127" s="262"/>
      <c r="Z127" s="262"/>
      <c r="AA127" s="248"/>
      <c r="AB127" s="248"/>
      <c r="AC127" s="246"/>
      <c r="AD127" s="248"/>
      <c r="AE127" s="262"/>
      <c r="AF127" s="262"/>
      <c r="AG127" s="248"/>
      <c r="AH127" s="255"/>
      <c r="AI127" s="255"/>
      <c r="AJ127" s="255"/>
    </row>
    <row r="128" spans="1:36" ht="14.5" customHeight="1" x14ac:dyDescent="0.35">
      <c r="A128" s="248"/>
      <c r="B128" s="248"/>
      <c r="C128" s="241"/>
      <c r="D128" s="241"/>
      <c r="E128" s="248"/>
      <c r="F128" s="246"/>
      <c r="G128" s="46" t="s">
        <v>207</v>
      </c>
      <c r="H128" s="293"/>
      <c r="I128" s="71" t="s">
        <v>119</v>
      </c>
      <c r="J128" s="293"/>
      <c r="K128" s="293"/>
      <c r="L128" s="293"/>
      <c r="M128" s="293"/>
      <c r="N128" s="293"/>
      <c r="O128" s="293"/>
      <c r="P128" s="293"/>
      <c r="Q128" s="293"/>
      <c r="R128" s="293"/>
      <c r="S128" s="258"/>
      <c r="T128" s="68">
        <f>IF($S$125="","",IF(COUNT(J128:R128)=0,"",IF(MAX(J128:R128)&gt;3,$I128,"")))</f>
      </c>
      <c r="U128" s="248"/>
      <c r="V128" s="251"/>
      <c r="W128" s="248"/>
      <c r="X128" s="248"/>
      <c r="Y128" s="262"/>
      <c r="Z128" s="262"/>
      <c r="AA128" s="248"/>
      <c r="AB128" s="248"/>
      <c r="AC128" s="246"/>
      <c r="AD128" s="248"/>
      <c r="AE128" s="262"/>
      <c r="AF128" s="262"/>
      <c r="AG128" s="248"/>
      <c r="AH128" s="255"/>
      <c r="AI128" s="255"/>
      <c r="AJ128" s="255"/>
    </row>
    <row r="129" spans="1:36" ht="14.5" customHeight="1" x14ac:dyDescent="0.35">
      <c r="A129" s="248"/>
      <c r="B129" s="248"/>
      <c r="C129" s="241"/>
      <c r="D129" s="241"/>
      <c r="E129" s="248"/>
      <c r="F129" s="246"/>
      <c r="G129" s="46" t="s">
        <v>161</v>
      </c>
      <c r="H129" s="293"/>
      <c r="I129" s="71" t="s">
        <v>120</v>
      </c>
      <c r="J129" s="293"/>
      <c r="K129" s="293"/>
      <c r="L129" s="293"/>
      <c r="M129" s="293"/>
      <c r="N129" s="293"/>
      <c r="O129" s="293"/>
      <c r="P129" s="293"/>
      <c r="Q129" s="293"/>
      <c r="R129" s="293"/>
      <c r="S129" s="258"/>
      <c r="T129" s="68">
        <f>IF($S$125="","",IF(COUNT(J129:R129)=0,"",IF(MAX(J129:R129)&gt;3,$I129,"")))</f>
      </c>
      <c r="U129" s="248"/>
      <c r="V129" s="251"/>
      <c r="W129" s="248"/>
      <c r="X129" s="248"/>
      <c r="Y129" s="262"/>
      <c r="Z129" s="262"/>
      <c r="AA129" s="248"/>
      <c r="AB129" s="248"/>
      <c r="AC129" s="246"/>
      <c r="AD129" s="248"/>
      <c r="AE129" s="262"/>
      <c r="AF129" s="262"/>
      <c r="AG129" s="248"/>
      <c r="AH129" s="255"/>
      <c r="AI129" s="255"/>
      <c r="AJ129" s="255"/>
    </row>
    <row r="130" spans="1:36" ht="14.5" customHeight="1" x14ac:dyDescent="0.35">
      <c r="A130" s="248"/>
      <c r="B130" s="248"/>
      <c r="C130" s="241"/>
      <c r="D130" s="241"/>
      <c r="E130" s="248"/>
      <c r="F130" s="246"/>
      <c r="G130" s="46" t="s">
        <v>208</v>
      </c>
      <c r="H130" s="293"/>
      <c r="I130" s="71" t="s">
        <v>121</v>
      </c>
      <c r="J130" s="293"/>
      <c r="K130" s="293"/>
      <c r="L130" s="293"/>
      <c r="M130" s="293"/>
      <c r="N130" s="293"/>
      <c r="O130" s="293"/>
      <c r="P130" s="293"/>
      <c r="Q130" s="293"/>
      <c r="R130" s="293"/>
      <c r="S130" s="258"/>
      <c r="T130" s="68">
        <f>IF($S$125="","",IF(COUNT(J130:R130)=0,"",IF(MAX(J130:R130)&gt;3,$I130,"")))</f>
      </c>
      <c r="U130" s="248"/>
      <c r="V130" s="251"/>
      <c r="W130" s="248"/>
      <c r="X130" s="248"/>
      <c r="Y130" s="262"/>
      <c r="Z130" s="262"/>
      <c r="AA130" s="248"/>
      <c r="AB130" s="248"/>
      <c r="AC130" s="246"/>
      <c r="AD130" s="248"/>
      <c r="AE130" s="262"/>
      <c r="AF130" s="262"/>
      <c r="AG130" s="248"/>
      <c r="AH130" s="255"/>
      <c r="AI130" s="255"/>
      <c r="AJ130" s="255"/>
    </row>
    <row r="131" spans="1:36" ht="14.5" customHeight="1" x14ac:dyDescent="0.35">
      <c r="A131" s="248"/>
      <c r="B131" s="248"/>
      <c r="C131" s="242"/>
      <c r="D131" s="242"/>
      <c r="E131" s="248"/>
      <c r="F131" s="246"/>
      <c r="G131" s="46" t="s">
        <v>209</v>
      </c>
      <c r="H131" s="293"/>
      <c r="I131" s="71" t="s">
        <v>122</v>
      </c>
      <c r="J131" s="293"/>
      <c r="K131" s="293"/>
      <c r="L131" s="293"/>
      <c r="M131" s="293"/>
      <c r="N131" s="293"/>
      <c r="O131" s="293"/>
      <c r="P131" s="293"/>
      <c r="Q131" s="293"/>
      <c r="R131" s="293"/>
      <c r="S131" s="259"/>
      <c r="T131" s="68">
        <f>IF($S$125="","",IF(COUNT(J131:R131)=0,"",IF(MAX(J131:R131)&gt;3,$I131,"")))</f>
      </c>
      <c r="U131" s="248"/>
      <c r="V131" s="251"/>
      <c r="W131" s="248"/>
      <c r="X131" s="248"/>
      <c r="Y131" s="262"/>
      <c r="Z131" s="262"/>
      <c r="AA131" s="248"/>
      <c r="AB131" s="248"/>
      <c r="AC131" s="246"/>
      <c r="AD131" s="248"/>
      <c r="AE131" s="262"/>
      <c r="AF131" s="262"/>
      <c r="AG131" s="248"/>
      <c r="AH131" s="255"/>
      <c r="AI131" s="255"/>
      <c r="AJ131" s="255"/>
    </row>
    <row r="132" spans="1:36" ht="14.5" customHeight="1" x14ac:dyDescent="0.35">
      <c r="A132" s="252">
        <v>19</v>
      </c>
      <c r="B132" s="264">
        <f>IF($E132="","","BIA-"&amp;TEXT(19,"000"))</f>
      </c>
      <c r="C132" s="240">
        <f>IFERROR(INDEX(BusinessUnits1,MATCH($A132,'04. Products &amp; Services'!$N$5:$N$49,0)),"")</f>
      </c>
      <c r="D132" s="240">
        <f>IFERROR(INDEX(DivisionSites,MATCH($A132,'04. Products &amp; Services'!$N$5:$N$49,0)),"")</f>
      </c>
      <c r="E132" s="253">
        <f>IFERROR(INDEX(ScopeNames,MATCH($A132,'04. Products &amp; Services'!$N$5:$N$49,0)),"")</f>
      </c>
      <c r="F132" s="265">
        <f>IF($E132="","",IFERROR(IF(INDEX(PS_ID,MATCH($E132,ScopeNames,0))="","",INDEX(PS_ID,MATCH($E132,ScopeNames,0))),""))</f>
      </c>
      <c r="G132" s="46" t="s">
        <v>205</v>
      </c>
      <c r="H132" s="293"/>
      <c r="I132" s="71" t="s">
        <v>116</v>
      </c>
      <c r="J132" s="293"/>
      <c r="K132" s="293"/>
      <c r="L132" s="293"/>
      <c r="M132" s="293"/>
      <c r="N132" s="293"/>
      <c r="O132" s="293"/>
      <c r="P132" s="293"/>
      <c r="Q132" s="293"/>
      <c r="R132" s="293"/>
      <c r="S132" s="257">
        <f>IF(COUNT(J132:R138)=0,"",MAX(J132:R138))</f>
      </c>
      <c r="T132" s="68">
        <f>IF($S$132="","",IF(COUNT(J132:R132)=0,"",IF(MAX(J132:R132)&gt;3,$I132,"")))</f>
      </c>
      <c r="U132" s="249">
        <f>IF($E132="","",IFERROR(IF(INDEX('04. Products &amp; Services'!$J$5:$J$49,MATCH($A132,'04. Products &amp; Services'!$N$5:$N$49,0))="","",INDEX('04. Products &amp; Services'!$J$5:$J$49,MATCH($A132,'04. Products &amp; Services'!$N$5:$N$49,0))),""))</f>
      </c>
      <c r="V132" s="299"/>
      <c r="W132" s="247">
        <f>IF($E132="","",IF(OR($U132="Yes",$V132="Yes"),"Yes",IF(AND($U132="No",$V132="No"),"No",IF(AND($U132="Under Evaluation",$V132="No"),"Under Evaluation",""))))</f>
      </c>
      <c r="X132" s="270">
        <f>IF($E132="","",IFERROR(IF(INDEX('04. Products &amp; Services'!$K$5:$K$49,MATCH($A132,'04. Products &amp; Services'!$N$5:$N$49,0))="","",INDEX('04. Products &amp; Services'!$K$5:$K$49,MATCH($A132,'04. Products &amp; Services'!$N$5:$N$49,0))),""))</f>
      </c>
      <c r="Y132" s="269"/>
      <c r="Z132" s="269"/>
      <c r="AA132" s="247">
        <f>IF($E132="","",IF(COUNT(J132:R138)=0,"",IF(MAX(J132:J138)&gt;=4,6,IF(MAX(K132:K138)&gt;=4,18,IF(MAX(L132:L138)&gt;=4,36,IF(MAX(M132:M138)&gt;=4,72,IF(MAX(N132:N138)&gt;=4,168,IF(MAX(O132:O138)&gt;=4,336,IF(MAX(P132:P138)&gt;=4,504,IF(MAX(Q132:Q138)&gt;=4,672,IF(MAX(R132:R138)&gt;=4,"","")))))))))))</f>
      </c>
      <c r="AB132" s="247">
        <f>IF($E132="","",IFERROR(IF(INDEX('04. Products &amp; Services'!$M$5:$M$49,MATCH($A132,'04. Products &amp; Services'!$N$5:$N$49,0))="","",INDEX('04. Products &amp; Services'!$M$5:$M$49,MATCH($A132,'04. Products &amp; Services'!$N$5:$N$49,0))),""))</f>
      </c>
      <c r="AC132" s="245"/>
      <c r="AD132" s="260">
        <f>IF(AC132="","",IF(ISNUMBER(AC132),AC132,IFERROR(VALUE(LEFT(TRIM(AC132),FIND(" ",TRIM(AC132))-1))*VLOOKUP(LEFT(LOWER(TRIM(MID(TRIM(AC132),FIND(" ",TRIM(AC132))+1,99))),3),DurationUnits,2,FALSE),"")))</f>
      </c>
      <c r="AE132" s="261"/>
      <c r="AF132" s="263"/>
      <c r="AG132" s="256">
        <f>IF($AF132="","",EDATE($AF132,12))</f>
      </c>
      <c r="AH132" s="254" cm="1">
        <f t="array" ref="AH132">IF($B132="","",_xlfn.LET(_xlpm.ids,'15. BCM Risk Register'!$A$6:$A$65,_xlpm.links,'15. BCM Risk Register'!$I$6:$I$65,_xlpm.hit,ISNUMBER(SEARCH(","&amp;$B132&amp;",",","&amp;SUBSTITUTE(_xlpm.links," ","")&amp;",")),IFERROR(_xlfn.TEXTJOIN(", ",TRUE,_xlfn.UNIQUE(_xlfn._xlws.FILTER(_xlpm.ids,_xlpm.hit*(_xlpm.ids&lt;&gt;"")))),"Not Created")))</f>
      </c>
      <c r="AI132" s="254" cm="1">
        <f t="array" ref="AI132">IF($B132="","",_xlfn.LET(_xlpm.ids,'15. BCM Risk Register'!$L$6:$L$65,_xlpm.links,'15. BCM Risk Register'!$I$6:$I$65,_xlpm.hit,ISNUMBER(SEARCH(","&amp;$B132&amp;",",","&amp;SUBSTITUTE(_xlpm.links," ","")&amp;",")),IFERROR(_xlfn.TEXTJOIN(", ",TRUE,_xlfn.UNIQUE(_xlfn._xlws.FILTER(_xlpm.ids,_xlpm.hit*(_xlpm.ids&lt;&gt;"")*(_xlpm.ids&lt;&gt;"Not Created")))),"Not Created")))</f>
      </c>
      <c r="AJ132" s="254" cm="1">
        <f t="array" ref="AJ132">IF($B132="","",_xlfn.LET(_xlpm.ids,'15. BCM Risk Register'!$K$6:$K$65,_xlpm.links,'15. BCM Risk Register'!$I$6:$I$65,_xlpm.hit,ISNUMBER(SEARCH(","&amp;$B132&amp;",",","&amp;SUBSTITUTE(_xlpm.links," ","")&amp;",")),IFERROR(_xlfn.TEXTJOIN(", ",TRUE,_xlfn.UNIQUE(_xlfn._xlws.FILTER(_xlpm.ids,_xlpm.hit*(_xlpm.ids&lt;&gt;"")*(_xlpm.ids&lt;&gt;"Not Created")))),"Not Created")))</f>
      </c>
    </row>
    <row r="133" spans="1:36" ht="14.5" customHeight="1" x14ac:dyDescent="0.35">
      <c r="A133" s="248"/>
      <c r="B133" s="248"/>
      <c r="C133" s="241"/>
      <c r="D133" s="241"/>
      <c r="E133" s="248"/>
      <c r="F133" s="246"/>
      <c r="G133" s="46" t="s">
        <v>160</v>
      </c>
      <c r="H133" s="293"/>
      <c r="I133" s="71" t="s">
        <v>117</v>
      </c>
      <c r="J133" s="293"/>
      <c r="K133" s="293"/>
      <c r="L133" s="293"/>
      <c r="M133" s="293"/>
      <c r="N133" s="293"/>
      <c r="O133" s="293"/>
      <c r="P133" s="293"/>
      <c r="Q133" s="293"/>
      <c r="R133" s="293"/>
      <c r="S133" s="258"/>
      <c r="T133" s="68">
        <f>IF($S$132="","",IF(COUNT(J133:R133)=0,"",IF(MAX(J133:R133)&gt;3,$I133,"")))</f>
      </c>
      <c r="U133" s="248"/>
      <c r="V133" s="251"/>
      <c r="W133" s="248"/>
      <c r="X133" s="248"/>
      <c r="Y133" s="262"/>
      <c r="Z133" s="262"/>
      <c r="AA133" s="248"/>
      <c r="AB133" s="248"/>
      <c r="AC133" s="246"/>
      <c r="AD133" s="248"/>
      <c r="AE133" s="262"/>
      <c r="AF133" s="262"/>
      <c r="AG133" s="248"/>
      <c r="AH133" s="255"/>
      <c r="AI133" s="255"/>
      <c r="AJ133" s="255"/>
    </row>
    <row r="134" spans="1:36" ht="14.5" customHeight="1" x14ac:dyDescent="0.35">
      <c r="A134" s="248"/>
      <c r="B134" s="248"/>
      <c r="C134" s="241"/>
      <c r="D134" s="241"/>
      <c r="E134" s="248"/>
      <c r="F134" s="246"/>
      <c r="G134" s="46" t="s">
        <v>206</v>
      </c>
      <c r="H134" s="293"/>
      <c r="I134" s="71" t="s">
        <v>118</v>
      </c>
      <c r="J134" s="293"/>
      <c r="K134" s="293"/>
      <c r="L134" s="293"/>
      <c r="M134" s="293"/>
      <c r="N134" s="293"/>
      <c r="O134" s="293"/>
      <c r="P134" s="293"/>
      <c r="Q134" s="293"/>
      <c r="R134" s="293"/>
      <c r="S134" s="258"/>
      <c r="T134" s="68">
        <f>IF($S$132="","",IF(COUNT(J134:R134)=0,"",IF(MAX(J134:R134)&gt;3,$I134,"")))</f>
      </c>
      <c r="U134" s="248"/>
      <c r="V134" s="251"/>
      <c r="W134" s="248"/>
      <c r="X134" s="248"/>
      <c r="Y134" s="262"/>
      <c r="Z134" s="262"/>
      <c r="AA134" s="248"/>
      <c r="AB134" s="248"/>
      <c r="AC134" s="246"/>
      <c r="AD134" s="248"/>
      <c r="AE134" s="262"/>
      <c r="AF134" s="262"/>
      <c r="AG134" s="248"/>
      <c r="AH134" s="255"/>
      <c r="AI134" s="255"/>
      <c r="AJ134" s="255"/>
    </row>
    <row r="135" spans="1:36" ht="14.5" customHeight="1" x14ac:dyDescent="0.35">
      <c r="A135" s="248"/>
      <c r="B135" s="248"/>
      <c r="C135" s="241"/>
      <c r="D135" s="241"/>
      <c r="E135" s="248"/>
      <c r="F135" s="246"/>
      <c r="G135" s="46" t="s">
        <v>207</v>
      </c>
      <c r="H135" s="293"/>
      <c r="I135" s="71" t="s">
        <v>119</v>
      </c>
      <c r="J135" s="293"/>
      <c r="K135" s="293"/>
      <c r="L135" s="293"/>
      <c r="M135" s="293"/>
      <c r="N135" s="293"/>
      <c r="O135" s="293"/>
      <c r="P135" s="293"/>
      <c r="Q135" s="293"/>
      <c r="R135" s="293"/>
      <c r="S135" s="258"/>
      <c r="T135" s="68">
        <f>IF($S$132="","",IF(COUNT(J135:R135)=0,"",IF(MAX(J135:R135)&gt;3,$I135,"")))</f>
      </c>
      <c r="U135" s="248"/>
      <c r="V135" s="251"/>
      <c r="W135" s="248"/>
      <c r="X135" s="248"/>
      <c r="Y135" s="262"/>
      <c r="Z135" s="262"/>
      <c r="AA135" s="248"/>
      <c r="AB135" s="248"/>
      <c r="AC135" s="246"/>
      <c r="AD135" s="248"/>
      <c r="AE135" s="262"/>
      <c r="AF135" s="262"/>
      <c r="AG135" s="248"/>
      <c r="AH135" s="255"/>
      <c r="AI135" s="255"/>
      <c r="AJ135" s="255"/>
    </row>
    <row r="136" spans="1:36" ht="14.5" customHeight="1" x14ac:dyDescent="0.35">
      <c r="A136" s="248"/>
      <c r="B136" s="248"/>
      <c r="C136" s="241"/>
      <c r="D136" s="241"/>
      <c r="E136" s="248"/>
      <c r="F136" s="246"/>
      <c r="G136" s="46" t="s">
        <v>161</v>
      </c>
      <c r="H136" s="293"/>
      <c r="I136" s="71" t="s">
        <v>120</v>
      </c>
      <c r="J136" s="293"/>
      <c r="K136" s="293"/>
      <c r="L136" s="293"/>
      <c r="M136" s="293"/>
      <c r="N136" s="293"/>
      <c r="O136" s="293"/>
      <c r="P136" s="293"/>
      <c r="Q136" s="293"/>
      <c r="R136" s="293"/>
      <c r="S136" s="258"/>
      <c r="T136" s="68">
        <f>IF($S$132="","",IF(COUNT(J136:R136)=0,"",IF(MAX(J136:R136)&gt;3,$I136,"")))</f>
      </c>
      <c r="U136" s="248"/>
      <c r="V136" s="251"/>
      <c r="W136" s="248"/>
      <c r="X136" s="248"/>
      <c r="Y136" s="262"/>
      <c r="Z136" s="262"/>
      <c r="AA136" s="248"/>
      <c r="AB136" s="248"/>
      <c r="AC136" s="246"/>
      <c r="AD136" s="248"/>
      <c r="AE136" s="262"/>
      <c r="AF136" s="262"/>
      <c r="AG136" s="248"/>
      <c r="AH136" s="255"/>
      <c r="AI136" s="255"/>
      <c r="AJ136" s="255"/>
    </row>
    <row r="137" spans="1:36" ht="14.5" customHeight="1" x14ac:dyDescent="0.35">
      <c r="A137" s="248"/>
      <c r="B137" s="248"/>
      <c r="C137" s="241"/>
      <c r="D137" s="241"/>
      <c r="E137" s="248"/>
      <c r="F137" s="246"/>
      <c r="G137" s="46" t="s">
        <v>208</v>
      </c>
      <c r="H137" s="293"/>
      <c r="I137" s="71" t="s">
        <v>121</v>
      </c>
      <c r="J137" s="293"/>
      <c r="K137" s="293"/>
      <c r="L137" s="293"/>
      <c r="M137" s="293"/>
      <c r="N137" s="293"/>
      <c r="O137" s="293"/>
      <c r="P137" s="293"/>
      <c r="Q137" s="293"/>
      <c r="R137" s="293"/>
      <c r="S137" s="258"/>
      <c r="T137" s="68">
        <f>IF($S$132="","",IF(COUNT(J137:R137)=0,"",IF(MAX(J137:R137)&gt;3,$I137,"")))</f>
      </c>
      <c r="U137" s="248"/>
      <c r="V137" s="251"/>
      <c r="W137" s="248"/>
      <c r="X137" s="248"/>
      <c r="Y137" s="262"/>
      <c r="Z137" s="262"/>
      <c r="AA137" s="248"/>
      <c r="AB137" s="248"/>
      <c r="AC137" s="246"/>
      <c r="AD137" s="248"/>
      <c r="AE137" s="262"/>
      <c r="AF137" s="262"/>
      <c r="AG137" s="248"/>
      <c r="AH137" s="255"/>
      <c r="AI137" s="255"/>
      <c r="AJ137" s="255"/>
    </row>
    <row r="138" spans="1:36" ht="14.5" customHeight="1" x14ac:dyDescent="0.35">
      <c r="A138" s="248"/>
      <c r="B138" s="248"/>
      <c r="C138" s="242"/>
      <c r="D138" s="242"/>
      <c r="E138" s="248"/>
      <c r="F138" s="246"/>
      <c r="G138" s="46" t="s">
        <v>209</v>
      </c>
      <c r="H138" s="293"/>
      <c r="I138" s="71" t="s">
        <v>122</v>
      </c>
      <c r="J138" s="293"/>
      <c r="K138" s="293"/>
      <c r="L138" s="293"/>
      <c r="M138" s="293"/>
      <c r="N138" s="293"/>
      <c r="O138" s="293"/>
      <c r="P138" s="293"/>
      <c r="Q138" s="293"/>
      <c r="R138" s="293"/>
      <c r="S138" s="259"/>
      <c r="T138" s="68">
        <f>IF($S$132="","",IF(COUNT(J138:R138)=0,"",IF(MAX(J138:R138)&gt;3,$I138,"")))</f>
      </c>
      <c r="U138" s="248"/>
      <c r="V138" s="251"/>
      <c r="W138" s="248"/>
      <c r="X138" s="248"/>
      <c r="Y138" s="262"/>
      <c r="Z138" s="262"/>
      <c r="AA138" s="248"/>
      <c r="AB138" s="248"/>
      <c r="AC138" s="246"/>
      <c r="AD138" s="248"/>
      <c r="AE138" s="262"/>
      <c r="AF138" s="262"/>
      <c r="AG138" s="248"/>
      <c r="AH138" s="255"/>
      <c r="AI138" s="255"/>
      <c r="AJ138" s="255"/>
    </row>
    <row r="139" spans="1:36" ht="14.5" customHeight="1" x14ac:dyDescent="0.35">
      <c r="A139" s="252">
        <v>20</v>
      </c>
      <c r="B139" s="264">
        <f>IF($E139="","","BIA-"&amp;TEXT(20,"000"))</f>
      </c>
      <c r="C139" s="240">
        <f>IFERROR(INDEX(BusinessUnits1,MATCH($A139,'04. Products &amp; Services'!$N$5:$N$49,0)),"")</f>
      </c>
      <c r="D139" s="240">
        <f>IFERROR(INDEX(DivisionSites,MATCH($A139,'04. Products &amp; Services'!$N$5:$N$49,0)),"")</f>
      </c>
      <c r="E139" s="253">
        <f>IFERROR(INDEX(ScopeNames,MATCH($A139,'04. Products &amp; Services'!$N$5:$N$49,0)),"")</f>
      </c>
      <c r="F139" s="265">
        <f>IF($E139="","",IFERROR(IF(INDEX(PS_ID,MATCH($E139,ScopeNames,0))="","",INDEX(PS_ID,MATCH($E139,ScopeNames,0))),""))</f>
      </c>
      <c r="G139" s="46" t="s">
        <v>205</v>
      </c>
      <c r="H139" s="293"/>
      <c r="I139" s="71" t="s">
        <v>116</v>
      </c>
      <c r="J139" s="293"/>
      <c r="K139" s="293"/>
      <c r="L139" s="293"/>
      <c r="M139" s="293"/>
      <c r="N139" s="293"/>
      <c r="O139" s="293"/>
      <c r="P139" s="293"/>
      <c r="Q139" s="293"/>
      <c r="R139" s="293"/>
      <c r="S139" s="257">
        <f>IF(COUNT(J139:R145)=0,"",MAX(J139:R145))</f>
      </c>
      <c r="T139" s="68">
        <f>IF($S$139="","",IF(COUNT(J139:R139)=0,"",IF(MAX(J139:R139)&gt;3,$I139,"")))</f>
      </c>
      <c r="U139" s="249">
        <f>IF($E139="","",IFERROR(IF(INDEX('04. Products &amp; Services'!$J$5:$J$49,MATCH($A139,'04. Products &amp; Services'!$N$5:$N$49,0))="","",INDEX('04. Products &amp; Services'!$J$5:$J$49,MATCH($A139,'04. Products &amp; Services'!$N$5:$N$49,0))),""))</f>
      </c>
      <c r="V139" s="299"/>
      <c r="W139" s="247">
        <f>IF($E139="","",IF(OR($U139="Yes",$V139="Yes"),"Yes",IF(AND($U139="No",$V139="No"),"No",IF(AND($U139="Under Evaluation",$V139="No"),"Under Evaluation",""))))</f>
      </c>
      <c r="X139" s="270">
        <f>IF($E139="","",IFERROR(IF(INDEX('04. Products &amp; Services'!$K$5:$K$49,MATCH($A139,'04. Products &amp; Services'!$N$5:$N$49,0))="","",INDEX('04. Products &amp; Services'!$K$5:$K$49,MATCH($A139,'04. Products &amp; Services'!$N$5:$N$49,0))),""))</f>
      </c>
      <c r="Y139" s="269"/>
      <c r="Z139" s="269"/>
      <c r="AA139" s="247">
        <f>IF($E139="","",IF(COUNT(J139:R145)=0,"",IF(MAX(J139:J145)&gt;=4,6,IF(MAX(K139:K145)&gt;=4,18,IF(MAX(L139:L145)&gt;=4,36,IF(MAX(M139:M145)&gt;=4,72,IF(MAX(N139:N145)&gt;=4,168,IF(MAX(O139:O145)&gt;=4,336,IF(MAX(P139:P145)&gt;=4,504,IF(MAX(Q139:Q145)&gt;=4,672,IF(MAX(R139:R145)&gt;=4,"","")))))))))))</f>
      </c>
      <c r="AB139" s="247">
        <f>IF($E139="","",IFERROR(IF(INDEX('04. Products &amp; Services'!$M$5:$M$49,MATCH($A139,'04. Products &amp; Services'!$N$5:$N$49,0))="","",INDEX('04. Products &amp; Services'!$M$5:$M$49,MATCH($A139,'04. Products &amp; Services'!$N$5:$N$49,0))),""))</f>
      </c>
      <c r="AC139" s="245"/>
      <c r="AD139" s="260">
        <f>IF(AC139="","",IF(ISNUMBER(AC139),AC139,IFERROR(VALUE(LEFT(TRIM(AC139),FIND(" ",TRIM(AC139))-1))*VLOOKUP(LEFT(LOWER(TRIM(MID(TRIM(AC139),FIND(" ",TRIM(AC139))+1,99))),3),DurationUnits,2,FALSE),"")))</f>
      </c>
      <c r="AE139" s="261"/>
      <c r="AF139" s="263"/>
      <c r="AG139" s="256">
        <f>IF($AF139="","",EDATE($AF139,12))</f>
      </c>
      <c r="AH139" s="254" cm="1">
        <f t="array" ref="AH139">IF($B139="","",_xlfn.LET(_xlpm.ids,'15. BCM Risk Register'!$A$6:$A$65,_xlpm.links,'15. BCM Risk Register'!$I$6:$I$65,_xlpm.hit,ISNUMBER(SEARCH(","&amp;$B139&amp;",",","&amp;SUBSTITUTE(_xlpm.links," ","")&amp;",")),IFERROR(_xlfn.TEXTJOIN(", ",TRUE,_xlfn.UNIQUE(_xlfn._xlws.FILTER(_xlpm.ids,_xlpm.hit*(_xlpm.ids&lt;&gt;"")))),"Not Created")))</f>
      </c>
      <c r="AI139" s="254" cm="1">
        <f t="array" ref="AI139">IF($B139="","",_xlfn.LET(_xlpm.ids,'15. BCM Risk Register'!$L$6:$L$65,_xlpm.links,'15. BCM Risk Register'!$I$6:$I$65,_xlpm.hit,ISNUMBER(SEARCH(","&amp;$B139&amp;",",","&amp;SUBSTITUTE(_xlpm.links," ","")&amp;",")),IFERROR(_xlfn.TEXTJOIN(", ",TRUE,_xlfn.UNIQUE(_xlfn._xlws.FILTER(_xlpm.ids,_xlpm.hit*(_xlpm.ids&lt;&gt;"")*(_xlpm.ids&lt;&gt;"Not Created")))),"Not Created")))</f>
      </c>
      <c r="AJ139" s="254" cm="1">
        <f t="array" ref="AJ139">IF($B139="","",_xlfn.LET(_xlpm.ids,'15. BCM Risk Register'!$K$6:$K$65,_xlpm.links,'15. BCM Risk Register'!$I$6:$I$65,_xlpm.hit,ISNUMBER(SEARCH(","&amp;$B139&amp;",",","&amp;SUBSTITUTE(_xlpm.links," ","")&amp;",")),IFERROR(_xlfn.TEXTJOIN(", ",TRUE,_xlfn.UNIQUE(_xlfn._xlws.FILTER(_xlpm.ids,_xlpm.hit*(_xlpm.ids&lt;&gt;"")*(_xlpm.ids&lt;&gt;"Not Created")))),"Not Created")))</f>
      </c>
    </row>
    <row r="140" spans="1:36" ht="14.5" customHeight="1" x14ac:dyDescent="0.35">
      <c r="A140" s="248"/>
      <c r="B140" s="248"/>
      <c r="C140" s="241"/>
      <c r="D140" s="241"/>
      <c r="E140" s="248"/>
      <c r="F140" s="246"/>
      <c r="G140" s="46" t="s">
        <v>160</v>
      </c>
      <c r="H140" s="293"/>
      <c r="I140" s="71" t="s">
        <v>117</v>
      </c>
      <c r="J140" s="293"/>
      <c r="K140" s="293"/>
      <c r="L140" s="293"/>
      <c r="M140" s="293"/>
      <c r="N140" s="293"/>
      <c r="O140" s="293"/>
      <c r="P140" s="293"/>
      <c r="Q140" s="293"/>
      <c r="R140" s="293"/>
      <c r="S140" s="258"/>
      <c r="T140" s="68">
        <f>IF($S$139="","",IF(COUNT(J140:R140)=0,"",IF(MAX(J140:R140)&gt;3,$I140,"")))</f>
      </c>
      <c r="U140" s="248"/>
      <c r="V140" s="251"/>
      <c r="W140" s="248"/>
      <c r="X140" s="248"/>
      <c r="Y140" s="262"/>
      <c r="Z140" s="262"/>
      <c r="AA140" s="248"/>
      <c r="AB140" s="248"/>
      <c r="AC140" s="246"/>
      <c r="AD140" s="248"/>
      <c r="AE140" s="262"/>
      <c r="AF140" s="262"/>
      <c r="AG140" s="248"/>
      <c r="AH140" s="255"/>
      <c r="AI140" s="255"/>
      <c r="AJ140" s="255"/>
    </row>
    <row r="141" spans="1:36" ht="14.5" customHeight="1" x14ac:dyDescent="0.35">
      <c r="A141" s="248"/>
      <c r="B141" s="248"/>
      <c r="C141" s="241"/>
      <c r="D141" s="241"/>
      <c r="E141" s="248"/>
      <c r="F141" s="246"/>
      <c r="G141" s="46" t="s">
        <v>206</v>
      </c>
      <c r="H141" s="293"/>
      <c r="I141" s="71" t="s">
        <v>118</v>
      </c>
      <c r="J141" s="293"/>
      <c r="K141" s="293"/>
      <c r="L141" s="293"/>
      <c r="M141" s="293"/>
      <c r="N141" s="293"/>
      <c r="O141" s="293"/>
      <c r="P141" s="293"/>
      <c r="Q141" s="293"/>
      <c r="R141" s="293"/>
      <c r="S141" s="258"/>
      <c r="T141" s="68">
        <f>IF($S$139="","",IF(COUNT(J141:R141)=0,"",IF(MAX(J141:R141)&gt;3,$I141,"")))</f>
      </c>
      <c r="U141" s="248"/>
      <c r="V141" s="251"/>
      <c r="W141" s="248"/>
      <c r="X141" s="248"/>
      <c r="Y141" s="262"/>
      <c r="Z141" s="262"/>
      <c r="AA141" s="248"/>
      <c r="AB141" s="248"/>
      <c r="AC141" s="246"/>
      <c r="AD141" s="248"/>
      <c r="AE141" s="262"/>
      <c r="AF141" s="262"/>
      <c r="AG141" s="248"/>
      <c r="AH141" s="255"/>
      <c r="AI141" s="255"/>
      <c r="AJ141" s="255"/>
    </row>
    <row r="142" spans="1:36" ht="14.5" customHeight="1" x14ac:dyDescent="0.35">
      <c r="A142" s="248"/>
      <c r="B142" s="248"/>
      <c r="C142" s="241"/>
      <c r="D142" s="241"/>
      <c r="E142" s="248"/>
      <c r="F142" s="246"/>
      <c r="G142" s="46" t="s">
        <v>207</v>
      </c>
      <c r="H142" s="293"/>
      <c r="I142" s="71" t="s">
        <v>119</v>
      </c>
      <c r="J142" s="293"/>
      <c r="K142" s="293"/>
      <c r="L142" s="293"/>
      <c r="M142" s="293"/>
      <c r="N142" s="293"/>
      <c r="O142" s="293"/>
      <c r="P142" s="293"/>
      <c r="Q142" s="293"/>
      <c r="R142" s="293"/>
      <c r="S142" s="258"/>
      <c r="T142" s="68">
        <f>IF($S$139="","",IF(COUNT(J142:R142)=0,"",IF(MAX(J142:R142)&gt;3,$I142,"")))</f>
      </c>
      <c r="U142" s="248"/>
      <c r="V142" s="251"/>
      <c r="W142" s="248"/>
      <c r="X142" s="248"/>
      <c r="Y142" s="262"/>
      <c r="Z142" s="262"/>
      <c r="AA142" s="248"/>
      <c r="AB142" s="248"/>
      <c r="AC142" s="246"/>
      <c r="AD142" s="248"/>
      <c r="AE142" s="262"/>
      <c r="AF142" s="262"/>
      <c r="AG142" s="248"/>
      <c r="AH142" s="255"/>
      <c r="AI142" s="255"/>
      <c r="AJ142" s="255"/>
    </row>
    <row r="143" spans="1:36" ht="14.5" customHeight="1" x14ac:dyDescent="0.35">
      <c r="A143" s="248"/>
      <c r="B143" s="248"/>
      <c r="C143" s="241"/>
      <c r="D143" s="241"/>
      <c r="E143" s="248"/>
      <c r="F143" s="246"/>
      <c r="G143" s="46" t="s">
        <v>161</v>
      </c>
      <c r="H143" s="293"/>
      <c r="I143" s="71" t="s">
        <v>120</v>
      </c>
      <c r="J143" s="293"/>
      <c r="K143" s="293"/>
      <c r="L143" s="293"/>
      <c r="M143" s="293"/>
      <c r="N143" s="293"/>
      <c r="O143" s="293"/>
      <c r="P143" s="293"/>
      <c r="Q143" s="293"/>
      <c r="R143" s="293"/>
      <c r="S143" s="258"/>
      <c r="T143" s="68">
        <f>IF($S$139="","",IF(COUNT(J143:R143)=0,"",IF(MAX(J143:R143)&gt;3,$I143,"")))</f>
      </c>
      <c r="U143" s="248"/>
      <c r="V143" s="251"/>
      <c r="W143" s="248"/>
      <c r="X143" s="248"/>
      <c r="Y143" s="262"/>
      <c r="Z143" s="262"/>
      <c r="AA143" s="248"/>
      <c r="AB143" s="248"/>
      <c r="AC143" s="246"/>
      <c r="AD143" s="248"/>
      <c r="AE143" s="262"/>
      <c r="AF143" s="262"/>
      <c r="AG143" s="248"/>
      <c r="AH143" s="255"/>
      <c r="AI143" s="255"/>
      <c r="AJ143" s="255"/>
    </row>
    <row r="144" spans="1:36" ht="14.5" customHeight="1" x14ac:dyDescent="0.35">
      <c r="A144" s="248"/>
      <c r="B144" s="248"/>
      <c r="C144" s="241"/>
      <c r="D144" s="241"/>
      <c r="E144" s="248"/>
      <c r="F144" s="246"/>
      <c r="G144" s="46" t="s">
        <v>208</v>
      </c>
      <c r="H144" s="293"/>
      <c r="I144" s="71" t="s">
        <v>121</v>
      </c>
      <c r="J144" s="293"/>
      <c r="K144" s="293"/>
      <c r="L144" s="293"/>
      <c r="M144" s="293"/>
      <c r="N144" s="293"/>
      <c r="O144" s="293"/>
      <c r="P144" s="293"/>
      <c r="Q144" s="293"/>
      <c r="R144" s="293"/>
      <c r="S144" s="258"/>
      <c r="T144" s="68">
        <f>IF($S$139="","",IF(COUNT(J144:R144)=0,"",IF(MAX(J144:R144)&gt;3,$I144,"")))</f>
      </c>
      <c r="U144" s="248"/>
      <c r="V144" s="251"/>
      <c r="W144" s="248"/>
      <c r="X144" s="248"/>
      <c r="Y144" s="262"/>
      <c r="Z144" s="262"/>
      <c r="AA144" s="248"/>
      <c r="AB144" s="248"/>
      <c r="AC144" s="246"/>
      <c r="AD144" s="248"/>
      <c r="AE144" s="262"/>
      <c r="AF144" s="262"/>
      <c r="AG144" s="248"/>
      <c r="AH144" s="255"/>
      <c r="AI144" s="255"/>
      <c r="AJ144" s="255"/>
    </row>
    <row r="145" spans="1:36" ht="14.5" customHeight="1" x14ac:dyDescent="0.35">
      <c r="A145" s="248"/>
      <c r="B145" s="248"/>
      <c r="C145" s="242"/>
      <c r="D145" s="242"/>
      <c r="E145" s="248"/>
      <c r="F145" s="246"/>
      <c r="G145" s="46" t="s">
        <v>209</v>
      </c>
      <c r="H145" s="293"/>
      <c r="I145" s="71" t="s">
        <v>122</v>
      </c>
      <c r="J145" s="293"/>
      <c r="K145" s="293"/>
      <c r="L145" s="293"/>
      <c r="M145" s="293"/>
      <c r="N145" s="293"/>
      <c r="O145" s="293"/>
      <c r="P145" s="293"/>
      <c r="Q145" s="293"/>
      <c r="R145" s="293"/>
      <c r="S145" s="259"/>
      <c r="T145" s="68">
        <f>IF($S$139="","",IF(COUNT(J145:R145)=0,"",IF(MAX(J145:R145)&gt;3,$I145,"")))</f>
      </c>
      <c r="U145" s="248"/>
      <c r="V145" s="251"/>
      <c r="W145" s="248"/>
      <c r="X145" s="248"/>
      <c r="Y145" s="262"/>
      <c r="Z145" s="262"/>
      <c r="AA145" s="248"/>
      <c r="AB145" s="248"/>
      <c r="AC145" s="246"/>
      <c r="AD145" s="248"/>
      <c r="AE145" s="262"/>
      <c r="AF145" s="262"/>
      <c r="AG145" s="248"/>
      <c r="AH145" s="255"/>
      <c r="AI145" s="255"/>
      <c r="AJ145" s="255"/>
    </row>
    <row r="146" spans="1:36" ht="14.5" customHeight="1" x14ac:dyDescent="0.35">
      <c r="A146" s="252">
        <v>21</v>
      </c>
      <c r="B146" s="264">
        <f>IF($E146="","","BIA-"&amp;TEXT(21,"000"))</f>
      </c>
      <c r="C146" s="240">
        <f>IFERROR(INDEX(BusinessUnits1,MATCH($A146,'04. Products &amp; Services'!$N$5:$N$49,0)),"")</f>
      </c>
      <c r="D146" s="240">
        <f>IFERROR(INDEX(DivisionSites,MATCH($A146,'04. Products &amp; Services'!$N$5:$N$49,0)),"")</f>
      </c>
      <c r="E146" s="253">
        <f>IFERROR(INDEX(ScopeNames,MATCH($A146,'04. Products &amp; Services'!$N$5:$N$49,0)),"")</f>
      </c>
      <c r="F146" s="265">
        <f>IF($E146="","",IFERROR(IF(INDEX(PS_ID,MATCH($E146,ScopeNames,0))="","",INDEX(PS_ID,MATCH($E146,ScopeNames,0))),""))</f>
      </c>
      <c r="G146" s="46" t="s">
        <v>205</v>
      </c>
      <c r="H146" s="293"/>
      <c r="I146" s="71" t="s">
        <v>116</v>
      </c>
      <c r="J146" s="293"/>
      <c r="K146" s="293"/>
      <c r="L146" s="293"/>
      <c r="M146" s="293"/>
      <c r="N146" s="293"/>
      <c r="O146" s="293"/>
      <c r="P146" s="293"/>
      <c r="Q146" s="293"/>
      <c r="R146" s="293"/>
      <c r="S146" s="257">
        <f>IF(COUNT(J146:R152)=0,"",MAX(J146:R152))</f>
      </c>
      <c r="T146" s="68">
        <f>IF($S$146="","",IF(COUNT(J146:R146)=0,"",IF(MAX(J146:R146)&gt;3,$I146,"")))</f>
      </c>
      <c r="U146" s="249">
        <f>IF($E146="","",IFERROR(IF(INDEX('04. Products &amp; Services'!$J$5:$J$49,MATCH($A146,'04. Products &amp; Services'!$N$5:$N$49,0))="","",INDEX('04. Products &amp; Services'!$J$5:$J$49,MATCH($A146,'04. Products &amp; Services'!$N$5:$N$49,0))),""))</f>
      </c>
      <c r="V146" s="299"/>
      <c r="W146" s="247">
        <f>IF($E146="","",IF(OR($U146="Yes",$V146="Yes"),"Yes",IF(AND($U146="No",$V146="No"),"No",IF(AND($U146="Under Evaluation",$V146="No"),"Under Evaluation",""))))</f>
      </c>
      <c r="X146" s="270">
        <f>IF($E146="","",IFERROR(IF(INDEX('04. Products &amp; Services'!$K$5:$K$49,MATCH($A146,'04. Products &amp; Services'!$N$5:$N$49,0))="","",INDEX('04. Products &amp; Services'!$K$5:$K$49,MATCH($A146,'04. Products &amp; Services'!$N$5:$N$49,0))),""))</f>
      </c>
      <c r="Y146" s="269"/>
      <c r="Z146" s="269"/>
      <c r="AA146" s="247">
        <f>IF($E146="","",IF(COUNT(J146:R152)=0,"",IF(MAX(J146:J152)&gt;=4,6,IF(MAX(K146:K152)&gt;=4,18,IF(MAX(L146:L152)&gt;=4,36,IF(MAX(M146:M152)&gt;=4,72,IF(MAX(N146:N152)&gt;=4,168,IF(MAX(O146:O152)&gt;=4,336,IF(MAX(P146:P152)&gt;=4,504,IF(MAX(Q146:Q152)&gt;=4,672,IF(MAX(R146:R152)&gt;=4,"","")))))))))))</f>
      </c>
      <c r="AB146" s="247">
        <f>IF($E146="","",IFERROR(IF(INDEX('04. Products &amp; Services'!$M$5:$M$49,MATCH($A146,'04. Products &amp; Services'!$N$5:$N$49,0))="","",INDEX('04. Products &amp; Services'!$M$5:$M$49,MATCH($A146,'04. Products &amp; Services'!$N$5:$N$49,0))),""))</f>
      </c>
      <c r="AC146" s="245"/>
      <c r="AD146" s="260">
        <f>IF(AC146="","",IF(ISNUMBER(AC146),AC146,IFERROR(VALUE(LEFT(TRIM(AC146),FIND(" ",TRIM(AC146))-1))*VLOOKUP(LEFT(LOWER(TRIM(MID(TRIM(AC146),FIND(" ",TRIM(AC146))+1,99))),3),DurationUnits,2,FALSE),"")))</f>
      </c>
      <c r="AE146" s="261"/>
      <c r="AF146" s="263"/>
      <c r="AG146" s="256">
        <f>IF($AF146="","",EDATE($AF146,12))</f>
      </c>
      <c r="AH146" s="254" cm="1">
        <f t="array" ref="AH146">IF($B146="","",_xlfn.LET(_xlpm.ids,'15. BCM Risk Register'!$A$6:$A$65,_xlpm.links,'15. BCM Risk Register'!$I$6:$I$65,_xlpm.hit,ISNUMBER(SEARCH(","&amp;$B146&amp;",",","&amp;SUBSTITUTE(_xlpm.links," ","")&amp;",")),IFERROR(_xlfn.TEXTJOIN(", ",TRUE,_xlfn.UNIQUE(_xlfn._xlws.FILTER(_xlpm.ids,_xlpm.hit*(_xlpm.ids&lt;&gt;"")))),"Not Created")))</f>
      </c>
      <c r="AI146" s="254" cm="1">
        <f t="array" ref="AI146">IF($B146="","",_xlfn.LET(_xlpm.ids,'15. BCM Risk Register'!$L$6:$L$65,_xlpm.links,'15. BCM Risk Register'!$I$6:$I$65,_xlpm.hit,ISNUMBER(SEARCH(","&amp;$B146&amp;",",","&amp;SUBSTITUTE(_xlpm.links," ","")&amp;",")),IFERROR(_xlfn.TEXTJOIN(", ",TRUE,_xlfn.UNIQUE(_xlfn._xlws.FILTER(_xlpm.ids,_xlpm.hit*(_xlpm.ids&lt;&gt;"")*(_xlpm.ids&lt;&gt;"Not Created")))),"Not Created")))</f>
      </c>
      <c r="AJ146" s="254" cm="1">
        <f t="array" ref="AJ146">IF($B146="","",_xlfn.LET(_xlpm.ids,'15. BCM Risk Register'!$K$6:$K$65,_xlpm.links,'15. BCM Risk Register'!$I$6:$I$65,_xlpm.hit,ISNUMBER(SEARCH(","&amp;$B146&amp;",",","&amp;SUBSTITUTE(_xlpm.links," ","")&amp;",")),IFERROR(_xlfn.TEXTJOIN(", ",TRUE,_xlfn.UNIQUE(_xlfn._xlws.FILTER(_xlpm.ids,_xlpm.hit*(_xlpm.ids&lt;&gt;"")*(_xlpm.ids&lt;&gt;"Not Created")))),"Not Created")))</f>
      </c>
    </row>
    <row r="147" spans="1:36" ht="14.5" customHeight="1" x14ac:dyDescent="0.35">
      <c r="A147" s="248"/>
      <c r="B147" s="248"/>
      <c r="C147" s="241"/>
      <c r="D147" s="241"/>
      <c r="E147" s="248"/>
      <c r="F147" s="246"/>
      <c r="G147" s="46" t="s">
        <v>160</v>
      </c>
      <c r="H147" s="293"/>
      <c r="I147" s="71" t="s">
        <v>117</v>
      </c>
      <c r="J147" s="293"/>
      <c r="K147" s="293"/>
      <c r="L147" s="293"/>
      <c r="M147" s="293"/>
      <c r="N147" s="293"/>
      <c r="O147" s="293"/>
      <c r="P147" s="293"/>
      <c r="Q147" s="293"/>
      <c r="R147" s="293"/>
      <c r="S147" s="258"/>
      <c r="T147" s="68">
        <f>IF($S$146="","",IF(COUNT(J147:R147)=0,"",IF(MAX(J147:R147)&gt;3,$I147,"")))</f>
      </c>
      <c r="U147" s="248"/>
      <c r="V147" s="251"/>
      <c r="W147" s="248"/>
      <c r="X147" s="248"/>
      <c r="Y147" s="262"/>
      <c r="Z147" s="262"/>
      <c r="AA147" s="248"/>
      <c r="AB147" s="248"/>
      <c r="AC147" s="246"/>
      <c r="AD147" s="248"/>
      <c r="AE147" s="262"/>
      <c r="AF147" s="262"/>
      <c r="AG147" s="248"/>
      <c r="AH147" s="255"/>
      <c r="AI147" s="255"/>
      <c r="AJ147" s="255"/>
    </row>
    <row r="148" spans="1:36" ht="14.5" customHeight="1" x14ac:dyDescent="0.35">
      <c r="A148" s="248"/>
      <c r="B148" s="248"/>
      <c r="C148" s="241"/>
      <c r="D148" s="241"/>
      <c r="E148" s="248"/>
      <c r="F148" s="246"/>
      <c r="G148" s="46" t="s">
        <v>206</v>
      </c>
      <c r="H148" s="293"/>
      <c r="I148" s="71" t="s">
        <v>118</v>
      </c>
      <c r="J148" s="293"/>
      <c r="K148" s="293"/>
      <c r="L148" s="293"/>
      <c r="M148" s="293"/>
      <c r="N148" s="293"/>
      <c r="O148" s="293"/>
      <c r="P148" s="293"/>
      <c r="Q148" s="293"/>
      <c r="R148" s="293"/>
      <c r="S148" s="258"/>
      <c r="T148" s="68">
        <f>IF($S$146="","",IF(COUNT(J148:R148)=0,"",IF(MAX(J148:R148)&gt;3,$I148,"")))</f>
      </c>
      <c r="U148" s="248"/>
      <c r="V148" s="251"/>
      <c r="W148" s="248"/>
      <c r="X148" s="248"/>
      <c r="Y148" s="262"/>
      <c r="Z148" s="262"/>
      <c r="AA148" s="248"/>
      <c r="AB148" s="248"/>
      <c r="AC148" s="246"/>
      <c r="AD148" s="248"/>
      <c r="AE148" s="262"/>
      <c r="AF148" s="262"/>
      <c r="AG148" s="248"/>
      <c r="AH148" s="255"/>
      <c r="AI148" s="255"/>
      <c r="AJ148" s="255"/>
    </row>
    <row r="149" spans="1:36" ht="14.5" customHeight="1" x14ac:dyDescent="0.35">
      <c r="A149" s="248"/>
      <c r="B149" s="248"/>
      <c r="C149" s="241"/>
      <c r="D149" s="241"/>
      <c r="E149" s="248"/>
      <c r="F149" s="246"/>
      <c r="G149" s="46" t="s">
        <v>207</v>
      </c>
      <c r="H149" s="293"/>
      <c r="I149" s="71" t="s">
        <v>119</v>
      </c>
      <c r="J149" s="293"/>
      <c r="K149" s="293"/>
      <c r="L149" s="293"/>
      <c r="M149" s="293"/>
      <c r="N149" s="293"/>
      <c r="O149" s="293"/>
      <c r="P149" s="293"/>
      <c r="Q149" s="293"/>
      <c r="R149" s="293"/>
      <c r="S149" s="258"/>
      <c r="T149" s="68">
        <f>IF($S$146="","",IF(COUNT(J149:R149)=0,"",IF(MAX(J149:R149)&gt;3,$I149,"")))</f>
      </c>
      <c r="U149" s="248"/>
      <c r="V149" s="251"/>
      <c r="W149" s="248"/>
      <c r="X149" s="248"/>
      <c r="Y149" s="262"/>
      <c r="Z149" s="262"/>
      <c r="AA149" s="248"/>
      <c r="AB149" s="248"/>
      <c r="AC149" s="246"/>
      <c r="AD149" s="248"/>
      <c r="AE149" s="262"/>
      <c r="AF149" s="262"/>
      <c r="AG149" s="248"/>
      <c r="AH149" s="255"/>
      <c r="AI149" s="255"/>
      <c r="AJ149" s="255"/>
    </row>
    <row r="150" spans="1:36" ht="14.5" customHeight="1" x14ac:dyDescent="0.35">
      <c r="A150" s="248"/>
      <c r="B150" s="248"/>
      <c r="C150" s="241"/>
      <c r="D150" s="241"/>
      <c r="E150" s="248"/>
      <c r="F150" s="246"/>
      <c r="G150" s="46" t="s">
        <v>161</v>
      </c>
      <c r="H150" s="293"/>
      <c r="I150" s="71" t="s">
        <v>120</v>
      </c>
      <c r="J150" s="293"/>
      <c r="K150" s="293"/>
      <c r="L150" s="293"/>
      <c r="M150" s="293"/>
      <c r="N150" s="293"/>
      <c r="O150" s="293"/>
      <c r="P150" s="293"/>
      <c r="Q150" s="293"/>
      <c r="R150" s="293"/>
      <c r="S150" s="258"/>
      <c r="T150" s="68">
        <f>IF($S$146="","",IF(COUNT(J150:R150)=0,"",IF(MAX(J150:R150)&gt;3,$I150,"")))</f>
      </c>
      <c r="U150" s="248"/>
      <c r="V150" s="251"/>
      <c r="W150" s="248"/>
      <c r="X150" s="248"/>
      <c r="Y150" s="262"/>
      <c r="Z150" s="262"/>
      <c r="AA150" s="248"/>
      <c r="AB150" s="248"/>
      <c r="AC150" s="246"/>
      <c r="AD150" s="248"/>
      <c r="AE150" s="262"/>
      <c r="AF150" s="262"/>
      <c r="AG150" s="248"/>
      <c r="AH150" s="255"/>
      <c r="AI150" s="255"/>
      <c r="AJ150" s="255"/>
    </row>
    <row r="151" spans="1:36" ht="14.5" customHeight="1" x14ac:dyDescent="0.35">
      <c r="A151" s="248"/>
      <c r="B151" s="248"/>
      <c r="C151" s="241"/>
      <c r="D151" s="241"/>
      <c r="E151" s="248"/>
      <c r="F151" s="246"/>
      <c r="G151" s="46" t="s">
        <v>208</v>
      </c>
      <c r="H151" s="293"/>
      <c r="I151" s="71" t="s">
        <v>121</v>
      </c>
      <c r="J151" s="293"/>
      <c r="K151" s="293"/>
      <c r="L151" s="293"/>
      <c r="M151" s="293"/>
      <c r="N151" s="293"/>
      <c r="O151" s="293"/>
      <c r="P151" s="293"/>
      <c r="Q151" s="293"/>
      <c r="R151" s="293"/>
      <c r="S151" s="258"/>
      <c r="T151" s="68">
        <f>IF($S$146="","",IF(COUNT(J151:R151)=0,"",IF(MAX(J151:R151)&gt;3,$I151,"")))</f>
      </c>
      <c r="U151" s="248"/>
      <c r="V151" s="251"/>
      <c r="W151" s="248"/>
      <c r="X151" s="248"/>
      <c r="Y151" s="262"/>
      <c r="Z151" s="262"/>
      <c r="AA151" s="248"/>
      <c r="AB151" s="248"/>
      <c r="AC151" s="246"/>
      <c r="AD151" s="248"/>
      <c r="AE151" s="262"/>
      <c r="AF151" s="262"/>
      <c r="AG151" s="248"/>
      <c r="AH151" s="255"/>
      <c r="AI151" s="255"/>
      <c r="AJ151" s="255"/>
    </row>
    <row r="152" spans="1:36" ht="14.5" customHeight="1" x14ac:dyDescent="0.35">
      <c r="A152" s="248"/>
      <c r="B152" s="248"/>
      <c r="C152" s="242"/>
      <c r="D152" s="242"/>
      <c r="E152" s="248"/>
      <c r="F152" s="246"/>
      <c r="G152" s="46" t="s">
        <v>209</v>
      </c>
      <c r="H152" s="293"/>
      <c r="I152" s="71" t="s">
        <v>122</v>
      </c>
      <c r="J152" s="293"/>
      <c r="K152" s="293"/>
      <c r="L152" s="293"/>
      <c r="M152" s="293"/>
      <c r="N152" s="293"/>
      <c r="O152" s="293"/>
      <c r="P152" s="293"/>
      <c r="Q152" s="293"/>
      <c r="R152" s="293"/>
      <c r="S152" s="259"/>
      <c r="T152" s="68">
        <f>IF($S$146="","",IF(COUNT(J152:R152)=0,"",IF(MAX(J152:R152)&gt;3,$I152,"")))</f>
      </c>
      <c r="U152" s="248"/>
      <c r="V152" s="251"/>
      <c r="W152" s="248"/>
      <c r="X152" s="248"/>
      <c r="Y152" s="262"/>
      <c r="Z152" s="262"/>
      <c r="AA152" s="248"/>
      <c r="AB152" s="248"/>
      <c r="AC152" s="246"/>
      <c r="AD152" s="248"/>
      <c r="AE152" s="262"/>
      <c r="AF152" s="262"/>
      <c r="AG152" s="248"/>
      <c r="AH152" s="255"/>
      <c r="AI152" s="255"/>
      <c r="AJ152" s="255"/>
    </row>
    <row r="153" spans="1:36" ht="14.5" customHeight="1" x14ac:dyDescent="0.35">
      <c r="A153" s="252">
        <v>22</v>
      </c>
      <c r="B153" s="264">
        <f>IF($E153="","","BIA-"&amp;TEXT(22,"000"))</f>
      </c>
      <c r="C153" s="240">
        <f>IFERROR(INDEX(BusinessUnits1,MATCH($A153,'04. Products &amp; Services'!$N$5:$N$49,0)),"")</f>
      </c>
      <c r="D153" s="240">
        <f>IFERROR(INDEX(DivisionSites,MATCH($A153,'04. Products &amp; Services'!$N$5:$N$49,0)),"")</f>
      </c>
      <c r="E153" s="253">
        <f>IFERROR(INDEX(ScopeNames,MATCH($A153,'04. Products &amp; Services'!$N$5:$N$49,0)),"")</f>
      </c>
      <c r="F153" s="265">
        <f>IF($E153="","",IFERROR(IF(INDEX(PS_ID,MATCH($E153,ScopeNames,0))="","",INDEX(PS_ID,MATCH($E153,ScopeNames,0))),""))</f>
      </c>
      <c r="G153" s="46" t="s">
        <v>205</v>
      </c>
      <c r="H153" s="293"/>
      <c r="I153" s="71" t="s">
        <v>116</v>
      </c>
      <c r="J153" s="293"/>
      <c r="K153" s="293"/>
      <c r="L153" s="293"/>
      <c r="M153" s="293"/>
      <c r="N153" s="293"/>
      <c r="O153" s="293"/>
      <c r="P153" s="293"/>
      <c r="Q153" s="293"/>
      <c r="R153" s="293"/>
      <c r="S153" s="257">
        <f>IF(COUNT(J153:R159)=0,"",MAX(J153:R159))</f>
      </c>
      <c r="T153" s="68">
        <f>IF($S$153="","",IF(COUNT(J153:R153)=0,"",IF(MAX(J153:R153)&gt;3,$I153,"")))</f>
      </c>
      <c r="U153" s="249">
        <f>IF($E153="","",IFERROR(IF(INDEX('04. Products &amp; Services'!$J$5:$J$49,MATCH($A153,'04. Products &amp; Services'!$N$5:$N$49,0))="","",INDEX('04. Products &amp; Services'!$J$5:$J$49,MATCH($A153,'04. Products &amp; Services'!$N$5:$N$49,0))),""))</f>
      </c>
      <c r="V153" s="299"/>
      <c r="W153" s="247">
        <f>IF($E153="","",IF(OR($U153="Yes",$V153="Yes"),"Yes",IF(AND($U153="No",$V153="No"),"No",IF(AND($U153="Under Evaluation",$V153="No"),"Under Evaluation",""))))</f>
      </c>
      <c r="X153" s="270">
        <f>IF($E153="","",IFERROR(IF(INDEX('04. Products &amp; Services'!$K$5:$K$49,MATCH($A153,'04. Products &amp; Services'!$N$5:$N$49,0))="","",INDEX('04. Products &amp; Services'!$K$5:$K$49,MATCH($A153,'04. Products &amp; Services'!$N$5:$N$49,0))),""))</f>
      </c>
      <c r="Y153" s="269"/>
      <c r="Z153" s="269"/>
      <c r="AA153" s="247">
        <f>IF($E153="","",IF(COUNT(J153:R159)=0,"",IF(MAX(J153:J159)&gt;=4,6,IF(MAX(K153:K159)&gt;=4,18,IF(MAX(L153:L159)&gt;=4,36,IF(MAX(M153:M159)&gt;=4,72,IF(MAX(N153:N159)&gt;=4,168,IF(MAX(O153:O159)&gt;=4,336,IF(MAX(P153:P159)&gt;=4,504,IF(MAX(Q153:Q159)&gt;=4,672,IF(MAX(R153:R159)&gt;=4,"","")))))))))))</f>
      </c>
      <c r="AB153" s="247">
        <f>IF($E153="","",IFERROR(IF(INDEX('04. Products &amp; Services'!$M$5:$M$49,MATCH($A153,'04. Products &amp; Services'!$N$5:$N$49,0))="","",INDEX('04. Products &amp; Services'!$M$5:$M$49,MATCH($A153,'04. Products &amp; Services'!$N$5:$N$49,0))),""))</f>
      </c>
      <c r="AC153" s="245"/>
      <c r="AD153" s="260">
        <f>IF(AC153="","",IF(ISNUMBER(AC153),AC153,IFERROR(VALUE(LEFT(TRIM(AC153),FIND(" ",TRIM(AC153))-1))*VLOOKUP(LEFT(LOWER(TRIM(MID(TRIM(AC153),FIND(" ",TRIM(AC153))+1,99))),3),DurationUnits,2,FALSE),"")))</f>
      </c>
      <c r="AE153" s="261"/>
      <c r="AF153" s="263"/>
      <c r="AG153" s="256">
        <f>IF($AF153="","",EDATE($AF153,12))</f>
      </c>
      <c r="AH153" s="254" cm="1">
        <f t="array" ref="AH153">IF($B153="","",_xlfn.LET(_xlpm.ids,'15. BCM Risk Register'!$A$6:$A$65,_xlpm.links,'15. BCM Risk Register'!$I$6:$I$65,_xlpm.hit,ISNUMBER(SEARCH(","&amp;$B153&amp;",",","&amp;SUBSTITUTE(_xlpm.links," ","")&amp;",")),IFERROR(_xlfn.TEXTJOIN(", ",TRUE,_xlfn.UNIQUE(_xlfn._xlws.FILTER(_xlpm.ids,_xlpm.hit*(_xlpm.ids&lt;&gt;"")))),"Not Created")))</f>
      </c>
      <c r="AI153" s="254" cm="1">
        <f t="array" ref="AI153">IF($B153="","",_xlfn.LET(_xlpm.ids,'15. BCM Risk Register'!$L$6:$L$65,_xlpm.links,'15. BCM Risk Register'!$I$6:$I$65,_xlpm.hit,ISNUMBER(SEARCH(","&amp;$B153&amp;",",","&amp;SUBSTITUTE(_xlpm.links," ","")&amp;",")),IFERROR(_xlfn.TEXTJOIN(", ",TRUE,_xlfn.UNIQUE(_xlfn._xlws.FILTER(_xlpm.ids,_xlpm.hit*(_xlpm.ids&lt;&gt;"")*(_xlpm.ids&lt;&gt;"Not Created")))),"Not Created")))</f>
      </c>
      <c r="AJ153" s="254" cm="1">
        <f t="array" ref="AJ153">IF($B153="","",_xlfn.LET(_xlpm.ids,'15. BCM Risk Register'!$K$6:$K$65,_xlpm.links,'15. BCM Risk Register'!$I$6:$I$65,_xlpm.hit,ISNUMBER(SEARCH(","&amp;$B153&amp;",",","&amp;SUBSTITUTE(_xlpm.links," ","")&amp;",")),IFERROR(_xlfn.TEXTJOIN(", ",TRUE,_xlfn.UNIQUE(_xlfn._xlws.FILTER(_xlpm.ids,_xlpm.hit*(_xlpm.ids&lt;&gt;"")*(_xlpm.ids&lt;&gt;"Not Created")))),"Not Created")))</f>
      </c>
    </row>
    <row r="154" spans="1:36" ht="14.5" customHeight="1" x14ac:dyDescent="0.35">
      <c r="A154" s="248"/>
      <c r="B154" s="248"/>
      <c r="C154" s="241"/>
      <c r="D154" s="241"/>
      <c r="E154" s="248"/>
      <c r="F154" s="246"/>
      <c r="G154" s="46" t="s">
        <v>160</v>
      </c>
      <c r="H154" s="293"/>
      <c r="I154" s="71" t="s">
        <v>117</v>
      </c>
      <c r="J154" s="293"/>
      <c r="K154" s="293"/>
      <c r="L154" s="293"/>
      <c r="M154" s="293"/>
      <c r="N154" s="293"/>
      <c r="O154" s="293"/>
      <c r="P154" s="293"/>
      <c r="Q154" s="293"/>
      <c r="R154" s="293"/>
      <c r="S154" s="258"/>
      <c r="T154" s="68">
        <f>IF($S$153="","",IF(COUNT(J154:R154)=0,"",IF(MAX(J154:R154)&gt;3,$I154,"")))</f>
      </c>
      <c r="U154" s="248"/>
      <c r="V154" s="251"/>
      <c r="W154" s="248"/>
      <c r="X154" s="248"/>
      <c r="Y154" s="262"/>
      <c r="Z154" s="262"/>
      <c r="AA154" s="248"/>
      <c r="AB154" s="248"/>
      <c r="AC154" s="246"/>
      <c r="AD154" s="248"/>
      <c r="AE154" s="262"/>
      <c r="AF154" s="262"/>
      <c r="AG154" s="248"/>
      <c r="AH154" s="255"/>
      <c r="AI154" s="255"/>
      <c r="AJ154" s="255"/>
    </row>
    <row r="155" spans="1:36" ht="14.5" customHeight="1" x14ac:dyDescent="0.35">
      <c r="A155" s="248"/>
      <c r="B155" s="248"/>
      <c r="C155" s="241"/>
      <c r="D155" s="241"/>
      <c r="E155" s="248"/>
      <c r="F155" s="246"/>
      <c r="G155" s="46" t="s">
        <v>206</v>
      </c>
      <c r="H155" s="293"/>
      <c r="I155" s="71" t="s">
        <v>118</v>
      </c>
      <c r="J155" s="293"/>
      <c r="K155" s="293"/>
      <c r="L155" s="293"/>
      <c r="M155" s="293"/>
      <c r="N155" s="293"/>
      <c r="O155" s="293"/>
      <c r="P155" s="293"/>
      <c r="Q155" s="293"/>
      <c r="R155" s="293"/>
      <c r="S155" s="258"/>
      <c r="T155" s="68">
        <f>IF($S$153="","",IF(COUNT(J155:R155)=0,"",IF(MAX(J155:R155)&gt;3,$I155,"")))</f>
      </c>
      <c r="U155" s="248"/>
      <c r="V155" s="251"/>
      <c r="W155" s="248"/>
      <c r="X155" s="248"/>
      <c r="Y155" s="262"/>
      <c r="Z155" s="262"/>
      <c r="AA155" s="248"/>
      <c r="AB155" s="248"/>
      <c r="AC155" s="246"/>
      <c r="AD155" s="248"/>
      <c r="AE155" s="262"/>
      <c r="AF155" s="262"/>
      <c r="AG155" s="248"/>
      <c r="AH155" s="255"/>
      <c r="AI155" s="255"/>
      <c r="AJ155" s="255"/>
    </row>
    <row r="156" spans="1:36" ht="14.5" customHeight="1" x14ac:dyDescent="0.35">
      <c r="A156" s="248"/>
      <c r="B156" s="248"/>
      <c r="C156" s="241"/>
      <c r="D156" s="241"/>
      <c r="E156" s="248"/>
      <c r="F156" s="246"/>
      <c r="G156" s="46" t="s">
        <v>207</v>
      </c>
      <c r="H156" s="293"/>
      <c r="I156" s="71" t="s">
        <v>119</v>
      </c>
      <c r="J156" s="293"/>
      <c r="K156" s="293"/>
      <c r="L156" s="293"/>
      <c r="M156" s="293"/>
      <c r="N156" s="293"/>
      <c r="O156" s="293"/>
      <c r="P156" s="293"/>
      <c r="Q156" s="293"/>
      <c r="R156" s="293"/>
      <c r="S156" s="258"/>
      <c r="T156" s="68">
        <f>IF($S$153="","",IF(COUNT(J156:R156)=0,"",IF(MAX(J156:R156)&gt;3,$I156,"")))</f>
      </c>
      <c r="U156" s="248"/>
      <c r="V156" s="251"/>
      <c r="W156" s="248"/>
      <c r="X156" s="248"/>
      <c r="Y156" s="262"/>
      <c r="Z156" s="262"/>
      <c r="AA156" s="248"/>
      <c r="AB156" s="248"/>
      <c r="AC156" s="246"/>
      <c r="AD156" s="248"/>
      <c r="AE156" s="262"/>
      <c r="AF156" s="262"/>
      <c r="AG156" s="248"/>
      <c r="AH156" s="255"/>
      <c r="AI156" s="255"/>
      <c r="AJ156" s="255"/>
    </row>
    <row r="157" spans="1:36" ht="14.5" customHeight="1" x14ac:dyDescent="0.35">
      <c r="A157" s="248"/>
      <c r="B157" s="248"/>
      <c r="C157" s="241"/>
      <c r="D157" s="241"/>
      <c r="E157" s="248"/>
      <c r="F157" s="246"/>
      <c r="G157" s="46" t="s">
        <v>161</v>
      </c>
      <c r="H157" s="293"/>
      <c r="I157" s="71" t="s">
        <v>120</v>
      </c>
      <c r="J157" s="293"/>
      <c r="K157" s="293"/>
      <c r="L157" s="293"/>
      <c r="M157" s="293"/>
      <c r="N157" s="293"/>
      <c r="O157" s="293"/>
      <c r="P157" s="293"/>
      <c r="Q157" s="293"/>
      <c r="R157" s="293"/>
      <c r="S157" s="258"/>
      <c r="T157" s="68">
        <f>IF($S$153="","",IF(COUNT(J157:R157)=0,"",IF(MAX(J157:R157)&gt;3,$I157,"")))</f>
      </c>
      <c r="U157" s="248"/>
      <c r="V157" s="251"/>
      <c r="W157" s="248"/>
      <c r="X157" s="248"/>
      <c r="Y157" s="262"/>
      <c r="Z157" s="262"/>
      <c r="AA157" s="248"/>
      <c r="AB157" s="248"/>
      <c r="AC157" s="246"/>
      <c r="AD157" s="248"/>
      <c r="AE157" s="262"/>
      <c r="AF157" s="262"/>
      <c r="AG157" s="248"/>
      <c r="AH157" s="255"/>
      <c r="AI157" s="255"/>
      <c r="AJ157" s="255"/>
    </row>
    <row r="158" spans="1:36" ht="14.5" customHeight="1" x14ac:dyDescent="0.35">
      <c r="A158" s="248"/>
      <c r="B158" s="248"/>
      <c r="C158" s="241"/>
      <c r="D158" s="241"/>
      <c r="E158" s="248"/>
      <c r="F158" s="246"/>
      <c r="G158" s="46" t="s">
        <v>208</v>
      </c>
      <c r="H158" s="293"/>
      <c r="I158" s="71" t="s">
        <v>121</v>
      </c>
      <c r="J158" s="293"/>
      <c r="K158" s="293"/>
      <c r="L158" s="293"/>
      <c r="M158" s="293"/>
      <c r="N158" s="293"/>
      <c r="O158" s="293"/>
      <c r="P158" s="293"/>
      <c r="Q158" s="293"/>
      <c r="R158" s="293"/>
      <c r="S158" s="258"/>
      <c r="T158" s="68">
        <f>IF($S$153="","",IF(COUNT(J158:R158)=0,"",IF(MAX(J158:R158)&gt;3,$I158,"")))</f>
      </c>
      <c r="U158" s="248"/>
      <c r="V158" s="251"/>
      <c r="W158" s="248"/>
      <c r="X158" s="248"/>
      <c r="Y158" s="262"/>
      <c r="Z158" s="262"/>
      <c r="AA158" s="248"/>
      <c r="AB158" s="248"/>
      <c r="AC158" s="246"/>
      <c r="AD158" s="248"/>
      <c r="AE158" s="262"/>
      <c r="AF158" s="262"/>
      <c r="AG158" s="248"/>
      <c r="AH158" s="255"/>
      <c r="AI158" s="255"/>
      <c r="AJ158" s="255"/>
    </row>
    <row r="159" spans="1:36" ht="14.5" customHeight="1" x14ac:dyDescent="0.35">
      <c r="A159" s="248"/>
      <c r="B159" s="248"/>
      <c r="C159" s="242"/>
      <c r="D159" s="242"/>
      <c r="E159" s="248"/>
      <c r="F159" s="246"/>
      <c r="G159" s="46" t="s">
        <v>209</v>
      </c>
      <c r="H159" s="293"/>
      <c r="I159" s="71" t="s">
        <v>122</v>
      </c>
      <c r="J159" s="293"/>
      <c r="K159" s="293"/>
      <c r="L159" s="293"/>
      <c r="M159" s="293"/>
      <c r="N159" s="293"/>
      <c r="O159" s="293"/>
      <c r="P159" s="293"/>
      <c r="Q159" s="293"/>
      <c r="R159" s="293"/>
      <c r="S159" s="259"/>
      <c r="T159" s="68">
        <f>IF($S$153="","",IF(COUNT(J159:R159)=0,"",IF(MAX(J159:R159)&gt;3,$I159,"")))</f>
      </c>
      <c r="U159" s="248"/>
      <c r="V159" s="251"/>
      <c r="W159" s="248"/>
      <c r="X159" s="248"/>
      <c r="Y159" s="262"/>
      <c r="Z159" s="262"/>
      <c r="AA159" s="248"/>
      <c r="AB159" s="248"/>
      <c r="AC159" s="246"/>
      <c r="AD159" s="248"/>
      <c r="AE159" s="262"/>
      <c r="AF159" s="262"/>
      <c r="AG159" s="248"/>
      <c r="AH159" s="255"/>
      <c r="AI159" s="255"/>
      <c r="AJ159" s="255"/>
    </row>
    <row r="160" spans="1:36" ht="14.5" customHeight="1" x14ac:dyDescent="0.35">
      <c r="A160" s="252">
        <v>23</v>
      </c>
      <c r="B160" s="264">
        <f>IF($E160="","","BIA-"&amp;TEXT(23,"000"))</f>
      </c>
      <c r="C160" s="240">
        <f>IFERROR(INDEX(BusinessUnits1,MATCH($A160,'04. Products &amp; Services'!$N$5:$N$49,0)),"")</f>
      </c>
      <c r="D160" s="240">
        <f>IFERROR(INDEX(DivisionSites,MATCH($A160,'04. Products &amp; Services'!$N$5:$N$49,0)),"")</f>
      </c>
      <c r="E160" s="253">
        <f>IFERROR(INDEX(ScopeNames,MATCH($A160,'04. Products &amp; Services'!$N$5:$N$49,0)),"")</f>
      </c>
      <c r="F160" s="265">
        <f>IF($E160="","",IFERROR(IF(INDEX(PS_ID,MATCH($E160,ScopeNames,0))="","",INDEX(PS_ID,MATCH($E160,ScopeNames,0))),""))</f>
      </c>
      <c r="G160" s="46" t="s">
        <v>205</v>
      </c>
      <c r="H160" s="293"/>
      <c r="I160" s="71" t="s">
        <v>116</v>
      </c>
      <c r="J160" s="293"/>
      <c r="K160" s="293"/>
      <c r="L160" s="293"/>
      <c r="M160" s="293"/>
      <c r="N160" s="293"/>
      <c r="O160" s="293"/>
      <c r="P160" s="293"/>
      <c r="Q160" s="293"/>
      <c r="R160" s="293"/>
      <c r="S160" s="257">
        <f>IF(COUNT(J160:R166)=0,"",MAX(J160:R166))</f>
      </c>
      <c r="T160" s="68">
        <f>IF($S$160="","",IF(COUNT(J160:R160)=0,"",IF(MAX(J160:R160)&gt;3,$I160,"")))</f>
      </c>
      <c r="U160" s="249">
        <f>IF($E160="","",IFERROR(IF(INDEX('04. Products &amp; Services'!$J$5:$J$49,MATCH($A160,'04. Products &amp; Services'!$N$5:$N$49,0))="","",INDEX('04. Products &amp; Services'!$J$5:$J$49,MATCH($A160,'04. Products &amp; Services'!$N$5:$N$49,0))),""))</f>
      </c>
      <c r="V160" s="299"/>
      <c r="W160" s="247">
        <f>IF($E160="","",IF(OR($U160="Yes",$V160="Yes"),"Yes",IF(AND($U160="No",$V160="No"),"No",IF(AND($U160="Under Evaluation",$V160="No"),"Under Evaluation",""))))</f>
      </c>
      <c r="X160" s="270">
        <f>IF($E160="","",IFERROR(IF(INDEX('04. Products &amp; Services'!$K$5:$K$49,MATCH($A160,'04. Products &amp; Services'!$N$5:$N$49,0))="","",INDEX('04. Products &amp; Services'!$K$5:$K$49,MATCH($A160,'04. Products &amp; Services'!$N$5:$N$49,0))),""))</f>
      </c>
      <c r="Y160" s="269"/>
      <c r="Z160" s="269"/>
      <c r="AA160" s="247">
        <f>IF($E160="","",IF(COUNT(J160:R166)=0,"",IF(MAX(J160:J166)&gt;=4,6,IF(MAX(K160:K166)&gt;=4,18,IF(MAX(L160:L166)&gt;=4,36,IF(MAX(M160:M166)&gt;=4,72,IF(MAX(N160:N166)&gt;=4,168,IF(MAX(O160:O166)&gt;=4,336,IF(MAX(P160:P166)&gt;=4,504,IF(MAX(Q160:Q166)&gt;=4,672,IF(MAX(R160:R166)&gt;=4,"","")))))))))))</f>
      </c>
      <c r="AB160" s="247">
        <f>IF($E160="","",IFERROR(IF(INDEX('04. Products &amp; Services'!$M$5:$M$49,MATCH($A160,'04. Products &amp; Services'!$N$5:$N$49,0))="","",INDEX('04. Products &amp; Services'!$M$5:$M$49,MATCH($A160,'04. Products &amp; Services'!$N$5:$N$49,0))),""))</f>
      </c>
      <c r="AC160" s="245"/>
      <c r="AD160" s="260">
        <f>IF(AC160="","",IF(ISNUMBER(AC160),AC160,IFERROR(VALUE(LEFT(TRIM(AC160),FIND(" ",TRIM(AC160))-1))*VLOOKUP(LEFT(LOWER(TRIM(MID(TRIM(AC160),FIND(" ",TRIM(AC160))+1,99))),3),DurationUnits,2,FALSE),"")))</f>
      </c>
      <c r="AE160" s="261"/>
      <c r="AF160" s="263"/>
      <c r="AG160" s="256">
        <f>IF($AF160="","",EDATE($AF160,12))</f>
      </c>
      <c r="AH160" s="254" cm="1">
        <f t="array" ref="AH160">IF($B160="","",_xlfn.LET(_xlpm.ids,'15. BCM Risk Register'!$A$6:$A$65,_xlpm.links,'15. BCM Risk Register'!$I$6:$I$65,_xlpm.hit,ISNUMBER(SEARCH(","&amp;$B160&amp;",",","&amp;SUBSTITUTE(_xlpm.links," ","")&amp;",")),IFERROR(_xlfn.TEXTJOIN(", ",TRUE,_xlfn.UNIQUE(_xlfn._xlws.FILTER(_xlpm.ids,_xlpm.hit*(_xlpm.ids&lt;&gt;"")))),"Not Created")))</f>
      </c>
      <c r="AI160" s="254" cm="1">
        <f t="array" ref="AI160">IF($B160="","",_xlfn.LET(_xlpm.ids,'15. BCM Risk Register'!$L$6:$L$65,_xlpm.links,'15. BCM Risk Register'!$I$6:$I$65,_xlpm.hit,ISNUMBER(SEARCH(","&amp;$B160&amp;",",","&amp;SUBSTITUTE(_xlpm.links," ","")&amp;",")),IFERROR(_xlfn.TEXTJOIN(", ",TRUE,_xlfn.UNIQUE(_xlfn._xlws.FILTER(_xlpm.ids,_xlpm.hit*(_xlpm.ids&lt;&gt;"")*(_xlpm.ids&lt;&gt;"Not Created")))),"Not Created")))</f>
      </c>
      <c r="AJ160" s="254" cm="1">
        <f t="array" ref="AJ160">IF($B160="","",_xlfn.LET(_xlpm.ids,'15. BCM Risk Register'!$K$6:$K$65,_xlpm.links,'15. BCM Risk Register'!$I$6:$I$65,_xlpm.hit,ISNUMBER(SEARCH(","&amp;$B160&amp;",",","&amp;SUBSTITUTE(_xlpm.links," ","")&amp;",")),IFERROR(_xlfn.TEXTJOIN(", ",TRUE,_xlfn.UNIQUE(_xlfn._xlws.FILTER(_xlpm.ids,_xlpm.hit*(_xlpm.ids&lt;&gt;"")*(_xlpm.ids&lt;&gt;"Not Created")))),"Not Created")))</f>
      </c>
    </row>
    <row r="161" spans="1:36" ht="14.5" customHeight="1" x14ac:dyDescent="0.35">
      <c r="A161" s="248"/>
      <c r="B161" s="248"/>
      <c r="C161" s="241"/>
      <c r="D161" s="241"/>
      <c r="E161" s="248"/>
      <c r="F161" s="246"/>
      <c r="G161" s="46" t="s">
        <v>160</v>
      </c>
      <c r="H161" s="293"/>
      <c r="I161" s="71" t="s">
        <v>117</v>
      </c>
      <c r="J161" s="293"/>
      <c r="K161" s="293"/>
      <c r="L161" s="293"/>
      <c r="M161" s="293"/>
      <c r="N161" s="293"/>
      <c r="O161" s="293"/>
      <c r="P161" s="293"/>
      <c r="Q161" s="293"/>
      <c r="R161" s="293"/>
      <c r="S161" s="258"/>
      <c r="T161" s="68">
        <f>IF($S$160="","",IF(COUNT(J161:R161)=0,"",IF(MAX(J161:R161)&gt;3,$I161,"")))</f>
      </c>
      <c r="U161" s="248"/>
      <c r="V161" s="251"/>
      <c r="W161" s="248"/>
      <c r="X161" s="248"/>
      <c r="Y161" s="262"/>
      <c r="Z161" s="262"/>
      <c r="AA161" s="248"/>
      <c r="AB161" s="248"/>
      <c r="AC161" s="246"/>
      <c r="AD161" s="248"/>
      <c r="AE161" s="262"/>
      <c r="AF161" s="262"/>
      <c r="AG161" s="248"/>
      <c r="AH161" s="255"/>
      <c r="AI161" s="255"/>
      <c r="AJ161" s="255"/>
    </row>
    <row r="162" spans="1:36" ht="14.5" customHeight="1" x14ac:dyDescent="0.35">
      <c r="A162" s="248"/>
      <c r="B162" s="248"/>
      <c r="C162" s="241"/>
      <c r="D162" s="241"/>
      <c r="E162" s="248"/>
      <c r="F162" s="246"/>
      <c r="G162" s="46" t="s">
        <v>206</v>
      </c>
      <c r="H162" s="293"/>
      <c r="I162" s="71" t="s">
        <v>118</v>
      </c>
      <c r="J162" s="293"/>
      <c r="K162" s="293"/>
      <c r="L162" s="293"/>
      <c r="M162" s="293"/>
      <c r="N162" s="293"/>
      <c r="O162" s="293"/>
      <c r="P162" s="293"/>
      <c r="Q162" s="293"/>
      <c r="R162" s="293"/>
      <c r="S162" s="258"/>
      <c r="T162" s="68">
        <f>IF($S$160="","",IF(COUNT(J162:R162)=0,"",IF(MAX(J162:R162)&gt;3,$I162,"")))</f>
      </c>
      <c r="U162" s="248"/>
      <c r="V162" s="251"/>
      <c r="W162" s="248"/>
      <c r="X162" s="248"/>
      <c r="Y162" s="262"/>
      <c r="Z162" s="262"/>
      <c r="AA162" s="248"/>
      <c r="AB162" s="248"/>
      <c r="AC162" s="246"/>
      <c r="AD162" s="248"/>
      <c r="AE162" s="262"/>
      <c r="AF162" s="262"/>
      <c r="AG162" s="248"/>
      <c r="AH162" s="255"/>
      <c r="AI162" s="255"/>
      <c r="AJ162" s="255"/>
    </row>
    <row r="163" spans="1:36" ht="14.5" customHeight="1" x14ac:dyDescent="0.35">
      <c r="A163" s="248"/>
      <c r="B163" s="248"/>
      <c r="C163" s="241"/>
      <c r="D163" s="241"/>
      <c r="E163" s="248"/>
      <c r="F163" s="246"/>
      <c r="G163" s="46" t="s">
        <v>207</v>
      </c>
      <c r="H163" s="293"/>
      <c r="I163" s="71" t="s">
        <v>119</v>
      </c>
      <c r="J163" s="293"/>
      <c r="K163" s="293"/>
      <c r="L163" s="293"/>
      <c r="M163" s="293"/>
      <c r="N163" s="293"/>
      <c r="O163" s="293"/>
      <c r="P163" s="293"/>
      <c r="Q163" s="293"/>
      <c r="R163" s="293"/>
      <c r="S163" s="258"/>
      <c r="T163" s="68">
        <f>IF($S$160="","",IF(COUNT(J163:R163)=0,"",IF(MAX(J163:R163)&gt;3,$I163,"")))</f>
      </c>
      <c r="U163" s="248"/>
      <c r="V163" s="251"/>
      <c r="W163" s="248"/>
      <c r="X163" s="248"/>
      <c r="Y163" s="262"/>
      <c r="Z163" s="262"/>
      <c r="AA163" s="248"/>
      <c r="AB163" s="248"/>
      <c r="AC163" s="246"/>
      <c r="AD163" s="248"/>
      <c r="AE163" s="262"/>
      <c r="AF163" s="262"/>
      <c r="AG163" s="248"/>
      <c r="AH163" s="255"/>
      <c r="AI163" s="255"/>
      <c r="AJ163" s="255"/>
    </row>
    <row r="164" spans="1:36" ht="14.5" customHeight="1" x14ac:dyDescent="0.35">
      <c r="A164" s="248"/>
      <c r="B164" s="248"/>
      <c r="C164" s="241"/>
      <c r="D164" s="241"/>
      <c r="E164" s="248"/>
      <c r="F164" s="246"/>
      <c r="G164" s="46" t="s">
        <v>161</v>
      </c>
      <c r="H164" s="293"/>
      <c r="I164" s="71" t="s">
        <v>120</v>
      </c>
      <c r="J164" s="293"/>
      <c r="K164" s="293"/>
      <c r="L164" s="293"/>
      <c r="M164" s="293"/>
      <c r="N164" s="293"/>
      <c r="O164" s="293"/>
      <c r="P164" s="293"/>
      <c r="Q164" s="293"/>
      <c r="R164" s="293"/>
      <c r="S164" s="258"/>
      <c r="T164" s="68">
        <f>IF($S$160="","",IF(COUNT(J164:R164)=0,"",IF(MAX(J164:R164)&gt;3,$I164,"")))</f>
      </c>
      <c r="U164" s="248"/>
      <c r="V164" s="251"/>
      <c r="W164" s="248"/>
      <c r="X164" s="248"/>
      <c r="Y164" s="262"/>
      <c r="Z164" s="262"/>
      <c r="AA164" s="248"/>
      <c r="AB164" s="248"/>
      <c r="AC164" s="246"/>
      <c r="AD164" s="248"/>
      <c r="AE164" s="262"/>
      <c r="AF164" s="262"/>
      <c r="AG164" s="248"/>
      <c r="AH164" s="255"/>
      <c r="AI164" s="255"/>
      <c r="AJ164" s="255"/>
    </row>
    <row r="165" spans="1:36" ht="14.5" customHeight="1" x14ac:dyDescent="0.35">
      <c r="A165" s="248"/>
      <c r="B165" s="248"/>
      <c r="C165" s="241"/>
      <c r="D165" s="241"/>
      <c r="E165" s="248"/>
      <c r="F165" s="246"/>
      <c r="G165" s="46" t="s">
        <v>208</v>
      </c>
      <c r="H165" s="293"/>
      <c r="I165" s="71" t="s">
        <v>121</v>
      </c>
      <c r="J165" s="293"/>
      <c r="K165" s="293"/>
      <c r="L165" s="293"/>
      <c r="M165" s="293"/>
      <c r="N165" s="293"/>
      <c r="O165" s="293"/>
      <c r="P165" s="293"/>
      <c r="Q165" s="293"/>
      <c r="R165" s="293"/>
      <c r="S165" s="258"/>
      <c r="T165" s="68">
        <f>IF($S$160="","",IF(COUNT(J165:R165)=0,"",IF(MAX(J165:R165)&gt;3,$I165,"")))</f>
      </c>
      <c r="U165" s="248"/>
      <c r="V165" s="251"/>
      <c r="W165" s="248"/>
      <c r="X165" s="248"/>
      <c r="Y165" s="262"/>
      <c r="Z165" s="262"/>
      <c r="AA165" s="248"/>
      <c r="AB165" s="248"/>
      <c r="AC165" s="246"/>
      <c r="AD165" s="248"/>
      <c r="AE165" s="262"/>
      <c r="AF165" s="262"/>
      <c r="AG165" s="248"/>
      <c r="AH165" s="255"/>
      <c r="AI165" s="255"/>
      <c r="AJ165" s="255"/>
    </row>
    <row r="166" spans="1:36" ht="14.5" customHeight="1" x14ac:dyDescent="0.35">
      <c r="A166" s="248"/>
      <c r="B166" s="248"/>
      <c r="C166" s="242"/>
      <c r="D166" s="242"/>
      <c r="E166" s="248"/>
      <c r="F166" s="246"/>
      <c r="G166" s="46" t="s">
        <v>209</v>
      </c>
      <c r="H166" s="293"/>
      <c r="I166" s="71" t="s">
        <v>122</v>
      </c>
      <c r="J166" s="293"/>
      <c r="K166" s="293"/>
      <c r="L166" s="293"/>
      <c r="M166" s="293"/>
      <c r="N166" s="293"/>
      <c r="O166" s="293"/>
      <c r="P166" s="293"/>
      <c r="Q166" s="293"/>
      <c r="R166" s="293"/>
      <c r="S166" s="259"/>
      <c r="T166" s="68">
        <f>IF($S$160="","",IF(COUNT(J166:R166)=0,"",IF(MAX(J166:R166)&gt;3,$I166,"")))</f>
      </c>
      <c r="U166" s="248"/>
      <c r="V166" s="251"/>
      <c r="W166" s="248"/>
      <c r="X166" s="248"/>
      <c r="Y166" s="262"/>
      <c r="Z166" s="262"/>
      <c r="AA166" s="248"/>
      <c r="AB166" s="248"/>
      <c r="AC166" s="246"/>
      <c r="AD166" s="248"/>
      <c r="AE166" s="262"/>
      <c r="AF166" s="262"/>
      <c r="AG166" s="248"/>
      <c r="AH166" s="255"/>
      <c r="AI166" s="255"/>
      <c r="AJ166" s="255"/>
    </row>
    <row r="167" spans="1:36" ht="14.5" customHeight="1" x14ac:dyDescent="0.35">
      <c r="A167" s="252">
        <v>24</v>
      </c>
      <c r="B167" s="264">
        <f>IF($E167="","","BIA-"&amp;TEXT(24,"000"))</f>
      </c>
      <c r="C167" s="240">
        <f>IFERROR(INDEX(BusinessUnits1,MATCH($A167,'04. Products &amp; Services'!$N$5:$N$49,0)),"")</f>
      </c>
      <c r="D167" s="240">
        <f>IFERROR(INDEX(DivisionSites,MATCH($A167,'04. Products &amp; Services'!$N$5:$N$49,0)),"")</f>
      </c>
      <c r="E167" s="253">
        <f>IFERROR(INDEX(ScopeNames,MATCH($A167,'04. Products &amp; Services'!$N$5:$N$49,0)),"")</f>
      </c>
      <c r="F167" s="265">
        <f>IF($E167="","",IFERROR(IF(INDEX(PS_ID,MATCH($E167,ScopeNames,0))="","",INDEX(PS_ID,MATCH($E167,ScopeNames,0))),""))</f>
      </c>
      <c r="G167" s="46" t="s">
        <v>205</v>
      </c>
      <c r="H167" s="293"/>
      <c r="I167" s="71" t="s">
        <v>116</v>
      </c>
      <c r="J167" s="293"/>
      <c r="K167" s="293"/>
      <c r="L167" s="293"/>
      <c r="M167" s="293"/>
      <c r="N167" s="293"/>
      <c r="O167" s="293"/>
      <c r="P167" s="293"/>
      <c r="Q167" s="293"/>
      <c r="R167" s="293"/>
      <c r="S167" s="257">
        <f>IF(COUNT(J167:R173)=0,"",MAX(J167:R173))</f>
      </c>
      <c r="T167" s="68">
        <f>IF($S$167="","",IF(COUNT(J167:R167)=0,"",IF(MAX(J167:R167)&gt;3,$I167,"")))</f>
      </c>
      <c r="U167" s="249">
        <f>IF($E167="","",IFERROR(IF(INDEX('04. Products &amp; Services'!$J$5:$J$49,MATCH($A167,'04. Products &amp; Services'!$N$5:$N$49,0))="","",INDEX('04. Products &amp; Services'!$J$5:$J$49,MATCH($A167,'04. Products &amp; Services'!$N$5:$N$49,0))),""))</f>
      </c>
      <c r="V167" s="299"/>
      <c r="W167" s="247">
        <f>IF($E167="","",IF(OR($U167="Yes",$V167="Yes"),"Yes",IF(AND($U167="No",$V167="No"),"No",IF(AND($U167="Under Evaluation",$V167="No"),"Under Evaluation",""))))</f>
      </c>
      <c r="X167" s="270">
        <f>IF($E167="","",IFERROR(IF(INDEX('04. Products &amp; Services'!$K$5:$K$49,MATCH($A167,'04. Products &amp; Services'!$N$5:$N$49,0))="","",INDEX('04. Products &amp; Services'!$K$5:$K$49,MATCH($A167,'04. Products &amp; Services'!$N$5:$N$49,0))),""))</f>
      </c>
      <c r="Y167" s="269"/>
      <c r="Z167" s="269"/>
      <c r="AA167" s="247">
        <f>IF($E167="","",IF(COUNT(J167:R173)=0,"",IF(MAX(J167:J173)&gt;=4,6,IF(MAX(K167:K173)&gt;=4,18,IF(MAX(L167:L173)&gt;=4,36,IF(MAX(M167:M173)&gt;=4,72,IF(MAX(N167:N173)&gt;=4,168,IF(MAX(O167:O173)&gt;=4,336,IF(MAX(P167:P173)&gt;=4,504,IF(MAX(Q167:Q173)&gt;=4,672,IF(MAX(R167:R173)&gt;=4,"","")))))))))))</f>
      </c>
      <c r="AB167" s="247">
        <f>IF($E167="","",IFERROR(IF(INDEX('04. Products &amp; Services'!$M$5:$M$49,MATCH($A167,'04. Products &amp; Services'!$N$5:$N$49,0))="","",INDEX('04. Products &amp; Services'!$M$5:$M$49,MATCH($A167,'04. Products &amp; Services'!$N$5:$N$49,0))),""))</f>
      </c>
      <c r="AC167" s="245"/>
      <c r="AD167" s="260">
        <f>IF(AC167="","",IF(ISNUMBER(AC167),AC167,IFERROR(VALUE(LEFT(TRIM(AC167),FIND(" ",TRIM(AC167))-1))*VLOOKUP(LEFT(LOWER(TRIM(MID(TRIM(AC167),FIND(" ",TRIM(AC167))+1,99))),3),DurationUnits,2,FALSE),"")))</f>
      </c>
      <c r="AE167" s="261"/>
      <c r="AF167" s="263"/>
      <c r="AG167" s="256">
        <f>IF($AF167="","",EDATE($AF167,12))</f>
      </c>
      <c r="AH167" s="254" cm="1">
        <f t="array" ref="AH167">IF($B167="","",_xlfn.LET(_xlpm.ids,'15. BCM Risk Register'!$A$6:$A$65,_xlpm.links,'15. BCM Risk Register'!$I$6:$I$65,_xlpm.hit,ISNUMBER(SEARCH(","&amp;$B167&amp;",",","&amp;SUBSTITUTE(_xlpm.links," ","")&amp;",")),IFERROR(_xlfn.TEXTJOIN(", ",TRUE,_xlfn.UNIQUE(_xlfn._xlws.FILTER(_xlpm.ids,_xlpm.hit*(_xlpm.ids&lt;&gt;"")))),"Not Created")))</f>
      </c>
      <c r="AI167" s="254" cm="1">
        <f t="array" ref="AI167">IF($B167="","",_xlfn.LET(_xlpm.ids,'15. BCM Risk Register'!$L$6:$L$65,_xlpm.links,'15. BCM Risk Register'!$I$6:$I$65,_xlpm.hit,ISNUMBER(SEARCH(","&amp;$B167&amp;",",","&amp;SUBSTITUTE(_xlpm.links," ","")&amp;",")),IFERROR(_xlfn.TEXTJOIN(", ",TRUE,_xlfn.UNIQUE(_xlfn._xlws.FILTER(_xlpm.ids,_xlpm.hit*(_xlpm.ids&lt;&gt;"")*(_xlpm.ids&lt;&gt;"Not Created")))),"Not Created")))</f>
      </c>
      <c r="AJ167" s="254" cm="1">
        <f t="array" ref="AJ167">IF($B167="","",_xlfn.LET(_xlpm.ids,'15. BCM Risk Register'!$K$6:$K$65,_xlpm.links,'15. BCM Risk Register'!$I$6:$I$65,_xlpm.hit,ISNUMBER(SEARCH(","&amp;$B167&amp;",",","&amp;SUBSTITUTE(_xlpm.links," ","")&amp;",")),IFERROR(_xlfn.TEXTJOIN(", ",TRUE,_xlfn.UNIQUE(_xlfn._xlws.FILTER(_xlpm.ids,_xlpm.hit*(_xlpm.ids&lt;&gt;"")*(_xlpm.ids&lt;&gt;"Not Created")))),"Not Created")))</f>
      </c>
    </row>
    <row r="168" spans="1:36" ht="14.5" customHeight="1" x14ac:dyDescent="0.35">
      <c r="A168" s="248"/>
      <c r="B168" s="248"/>
      <c r="C168" s="241"/>
      <c r="D168" s="241"/>
      <c r="E168" s="248"/>
      <c r="F168" s="246"/>
      <c r="G168" s="46" t="s">
        <v>160</v>
      </c>
      <c r="H168" s="293"/>
      <c r="I168" s="71" t="s">
        <v>117</v>
      </c>
      <c r="J168" s="293"/>
      <c r="K168" s="293"/>
      <c r="L168" s="293"/>
      <c r="M168" s="293"/>
      <c r="N168" s="293"/>
      <c r="O168" s="293"/>
      <c r="P168" s="293"/>
      <c r="Q168" s="293"/>
      <c r="R168" s="293"/>
      <c r="S168" s="258"/>
      <c r="T168" s="68">
        <f>IF($S$167="","",IF(COUNT(J168:R168)=0,"",IF(MAX(J168:R168)&gt;3,$I168,"")))</f>
      </c>
      <c r="U168" s="248"/>
      <c r="V168" s="251"/>
      <c r="W168" s="248"/>
      <c r="X168" s="248"/>
      <c r="Y168" s="262"/>
      <c r="Z168" s="262"/>
      <c r="AA168" s="248"/>
      <c r="AB168" s="248"/>
      <c r="AC168" s="246"/>
      <c r="AD168" s="248"/>
      <c r="AE168" s="262"/>
      <c r="AF168" s="262"/>
      <c r="AG168" s="248"/>
      <c r="AH168" s="255"/>
      <c r="AI168" s="255"/>
      <c r="AJ168" s="255"/>
    </row>
    <row r="169" spans="1:36" ht="14.5" customHeight="1" x14ac:dyDescent="0.35">
      <c r="A169" s="248"/>
      <c r="B169" s="248"/>
      <c r="C169" s="241"/>
      <c r="D169" s="241"/>
      <c r="E169" s="248"/>
      <c r="F169" s="246"/>
      <c r="G169" s="46" t="s">
        <v>206</v>
      </c>
      <c r="H169" s="293"/>
      <c r="I169" s="71" t="s">
        <v>118</v>
      </c>
      <c r="J169" s="293"/>
      <c r="K169" s="293"/>
      <c r="L169" s="293"/>
      <c r="M169" s="293"/>
      <c r="N169" s="293"/>
      <c r="O169" s="293"/>
      <c r="P169" s="293"/>
      <c r="Q169" s="293"/>
      <c r="R169" s="293"/>
      <c r="S169" s="258"/>
      <c r="T169" s="68">
        <f>IF($S$167="","",IF(COUNT(J169:R169)=0,"",IF(MAX(J169:R169)&gt;3,$I169,"")))</f>
      </c>
      <c r="U169" s="248"/>
      <c r="V169" s="251"/>
      <c r="W169" s="248"/>
      <c r="X169" s="248"/>
      <c r="Y169" s="262"/>
      <c r="Z169" s="262"/>
      <c r="AA169" s="248"/>
      <c r="AB169" s="248"/>
      <c r="AC169" s="246"/>
      <c r="AD169" s="248"/>
      <c r="AE169" s="262"/>
      <c r="AF169" s="262"/>
      <c r="AG169" s="248"/>
      <c r="AH169" s="255"/>
      <c r="AI169" s="255"/>
      <c r="AJ169" s="255"/>
    </row>
    <row r="170" spans="1:36" ht="14.5" customHeight="1" x14ac:dyDescent="0.35">
      <c r="A170" s="248"/>
      <c r="B170" s="248"/>
      <c r="C170" s="241"/>
      <c r="D170" s="241"/>
      <c r="E170" s="248"/>
      <c r="F170" s="246"/>
      <c r="G170" s="46" t="s">
        <v>207</v>
      </c>
      <c r="H170" s="293"/>
      <c r="I170" s="71" t="s">
        <v>119</v>
      </c>
      <c r="J170" s="293"/>
      <c r="K170" s="293"/>
      <c r="L170" s="293"/>
      <c r="M170" s="293"/>
      <c r="N170" s="293"/>
      <c r="O170" s="293"/>
      <c r="P170" s="293"/>
      <c r="Q170" s="293"/>
      <c r="R170" s="293"/>
      <c r="S170" s="258"/>
      <c r="T170" s="68">
        <f>IF($S$167="","",IF(COUNT(J170:R170)=0,"",IF(MAX(J170:R170)&gt;3,$I170,"")))</f>
      </c>
      <c r="U170" s="248"/>
      <c r="V170" s="251"/>
      <c r="W170" s="248"/>
      <c r="X170" s="248"/>
      <c r="Y170" s="262"/>
      <c r="Z170" s="262"/>
      <c r="AA170" s="248"/>
      <c r="AB170" s="248"/>
      <c r="AC170" s="246"/>
      <c r="AD170" s="248"/>
      <c r="AE170" s="262"/>
      <c r="AF170" s="262"/>
      <c r="AG170" s="248"/>
      <c r="AH170" s="255"/>
      <c r="AI170" s="255"/>
      <c r="AJ170" s="255"/>
    </row>
    <row r="171" spans="1:36" ht="14.5" customHeight="1" x14ac:dyDescent="0.35">
      <c r="A171" s="248"/>
      <c r="B171" s="248"/>
      <c r="C171" s="241"/>
      <c r="D171" s="241"/>
      <c r="E171" s="248"/>
      <c r="F171" s="246"/>
      <c r="G171" s="46" t="s">
        <v>161</v>
      </c>
      <c r="H171" s="293"/>
      <c r="I171" s="71" t="s">
        <v>120</v>
      </c>
      <c r="J171" s="293"/>
      <c r="K171" s="293"/>
      <c r="L171" s="293"/>
      <c r="M171" s="293"/>
      <c r="N171" s="293"/>
      <c r="O171" s="293"/>
      <c r="P171" s="293"/>
      <c r="Q171" s="293"/>
      <c r="R171" s="293"/>
      <c r="S171" s="258"/>
      <c r="T171" s="68">
        <f>IF($S$167="","",IF(COUNT(J171:R171)=0,"",IF(MAX(J171:R171)&gt;3,$I171,"")))</f>
      </c>
      <c r="U171" s="248"/>
      <c r="V171" s="251"/>
      <c r="W171" s="248"/>
      <c r="X171" s="248"/>
      <c r="Y171" s="262"/>
      <c r="Z171" s="262"/>
      <c r="AA171" s="248"/>
      <c r="AB171" s="248"/>
      <c r="AC171" s="246"/>
      <c r="AD171" s="248"/>
      <c r="AE171" s="262"/>
      <c r="AF171" s="262"/>
      <c r="AG171" s="248"/>
      <c r="AH171" s="255"/>
      <c r="AI171" s="255"/>
      <c r="AJ171" s="255"/>
    </row>
    <row r="172" spans="1:36" ht="14.5" customHeight="1" x14ac:dyDescent="0.35">
      <c r="A172" s="248"/>
      <c r="B172" s="248"/>
      <c r="C172" s="241"/>
      <c r="D172" s="241"/>
      <c r="E172" s="248"/>
      <c r="F172" s="246"/>
      <c r="G172" s="46" t="s">
        <v>208</v>
      </c>
      <c r="H172" s="293"/>
      <c r="I172" s="71" t="s">
        <v>121</v>
      </c>
      <c r="J172" s="293"/>
      <c r="K172" s="293"/>
      <c r="L172" s="293"/>
      <c r="M172" s="293"/>
      <c r="N172" s="293"/>
      <c r="O172" s="293"/>
      <c r="P172" s="293"/>
      <c r="Q172" s="293"/>
      <c r="R172" s="293"/>
      <c r="S172" s="258"/>
      <c r="T172" s="68">
        <f>IF($S$167="","",IF(COUNT(J172:R172)=0,"",IF(MAX(J172:R172)&gt;3,$I172,"")))</f>
      </c>
      <c r="U172" s="248"/>
      <c r="V172" s="251"/>
      <c r="W172" s="248"/>
      <c r="X172" s="248"/>
      <c r="Y172" s="262"/>
      <c r="Z172" s="262"/>
      <c r="AA172" s="248"/>
      <c r="AB172" s="248"/>
      <c r="AC172" s="246"/>
      <c r="AD172" s="248"/>
      <c r="AE172" s="262"/>
      <c r="AF172" s="262"/>
      <c r="AG172" s="248"/>
      <c r="AH172" s="255"/>
      <c r="AI172" s="255"/>
      <c r="AJ172" s="255"/>
    </row>
    <row r="173" spans="1:36" ht="14.5" customHeight="1" x14ac:dyDescent="0.35">
      <c r="A173" s="248"/>
      <c r="B173" s="248"/>
      <c r="C173" s="242"/>
      <c r="D173" s="242"/>
      <c r="E173" s="248"/>
      <c r="F173" s="246"/>
      <c r="G173" s="46" t="s">
        <v>209</v>
      </c>
      <c r="H173" s="293"/>
      <c r="I173" s="71" t="s">
        <v>122</v>
      </c>
      <c r="J173" s="293"/>
      <c r="K173" s="293"/>
      <c r="L173" s="293"/>
      <c r="M173" s="293"/>
      <c r="N173" s="293"/>
      <c r="O173" s="293"/>
      <c r="P173" s="293"/>
      <c r="Q173" s="293"/>
      <c r="R173" s="293"/>
      <c r="S173" s="259"/>
      <c r="T173" s="68">
        <f>IF($S$167="","",IF(COUNT(J173:R173)=0,"",IF(MAX(J173:R173)&gt;3,$I173,"")))</f>
      </c>
      <c r="U173" s="248"/>
      <c r="V173" s="251"/>
      <c r="W173" s="248"/>
      <c r="X173" s="248"/>
      <c r="Y173" s="262"/>
      <c r="Z173" s="262"/>
      <c r="AA173" s="248"/>
      <c r="AB173" s="248"/>
      <c r="AC173" s="246"/>
      <c r="AD173" s="248"/>
      <c r="AE173" s="262"/>
      <c r="AF173" s="262"/>
      <c r="AG173" s="248"/>
      <c r="AH173" s="255"/>
      <c r="AI173" s="255"/>
      <c r="AJ173" s="255"/>
    </row>
    <row r="174" spans="1:36" ht="14.5" customHeight="1" x14ac:dyDescent="0.35">
      <c r="A174" s="252">
        <v>25</v>
      </c>
      <c r="B174" s="264">
        <f>IF($E174="","","BIA-"&amp;TEXT(25,"000"))</f>
      </c>
      <c r="C174" s="240">
        <f>IFERROR(INDEX(BusinessUnits1,MATCH($A174,'04. Products &amp; Services'!$N$5:$N$49,0)),"")</f>
      </c>
      <c r="D174" s="240">
        <f>IFERROR(INDEX(DivisionSites,MATCH($A174,'04. Products &amp; Services'!$N$5:$N$49,0)),"")</f>
      </c>
      <c r="E174" s="253">
        <f>IFERROR(INDEX(ScopeNames,MATCH($A174,'04. Products &amp; Services'!$N$5:$N$49,0)),"")</f>
      </c>
      <c r="F174" s="265">
        <f>IF($E174="","",IFERROR(IF(INDEX(PS_ID,MATCH($E174,ScopeNames,0))="","",INDEX(PS_ID,MATCH($E174,ScopeNames,0))),""))</f>
      </c>
      <c r="G174" s="46" t="s">
        <v>205</v>
      </c>
      <c r="H174" s="293"/>
      <c r="I174" s="71" t="s">
        <v>116</v>
      </c>
      <c r="J174" s="293"/>
      <c r="K174" s="293"/>
      <c r="L174" s="293"/>
      <c r="M174" s="293"/>
      <c r="N174" s="293"/>
      <c r="O174" s="293"/>
      <c r="P174" s="293"/>
      <c r="Q174" s="293"/>
      <c r="R174" s="293"/>
      <c r="S174" s="257">
        <f>IF(COUNT(J174:R180)=0,"",MAX(J174:R180))</f>
      </c>
      <c r="T174" s="68">
        <f>IF($S$174="","",IF(COUNT(J174:R174)=0,"",IF(MAX(J174:R174)&gt;3,$I174,"")))</f>
      </c>
      <c r="U174" s="249">
        <f>IF($E174="","",IFERROR(IF(INDEX('04. Products &amp; Services'!$J$5:$J$49,MATCH($A174,'04. Products &amp; Services'!$N$5:$N$49,0))="","",INDEX('04. Products &amp; Services'!$J$5:$J$49,MATCH($A174,'04. Products &amp; Services'!$N$5:$N$49,0))),""))</f>
      </c>
      <c r="V174" s="299"/>
      <c r="W174" s="247">
        <f>IF($E174="","",IF(OR($U174="Yes",$V174="Yes"),"Yes",IF(AND($U174="No",$V174="No"),"No",IF(AND($U174="Under Evaluation",$V174="No"),"Under Evaluation",""))))</f>
      </c>
      <c r="X174" s="270">
        <f>IF($E174="","",IFERROR(IF(INDEX('04. Products &amp; Services'!$K$5:$K$49,MATCH($A174,'04. Products &amp; Services'!$N$5:$N$49,0))="","",INDEX('04. Products &amp; Services'!$K$5:$K$49,MATCH($A174,'04. Products &amp; Services'!$N$5:$N$49,0))),""))</f>
      </c>
      <c r="Y174" s="269"/>
      <c r="Z174" s="269"/>
      <c r="AA174" s="247">
        <f>IF($E174="","",IF(COUNT(J174:R180)=0,"",IF(MAX(J174:J180)&gt;=4,6,IF(MAX(K174:K180)&gt;=4,18,IF(MAX(L174:L180)&gt;=4,36,IF(MAX(M174:M180)&gt;=4,72,IF(MAX(N174:N180)&gt;=4,168,IF(MAX(O174:O180)&gt;=4,336,IF(MAX(P174:P180)&gt;=4,504,IF(MAX(Q174:Q180)&gt;=4,672,IF(MAX(R174:R180)&gt;=4,"","")))))))))))</f>
      </c>
      <c r="AB174" s="247">
        <f>IF($E174="","",IFERROR(IF(INDEX('04. Products &amp; Services'!$M$5:$M$49,MATCH($A174,'04. Products &amp; Services'!$N$5:$N$49,0))="","",INDEX('04. Products &amp; Services'!$M$5:$M$49,MATCH($A174,'04. Products &amp; Services'!$N$5:$N$49,0))),""))</f>
      </c>
      <c r="AC174" s="245"/>
      <c r="AD174" s="260">
        <f>IF(AC174="","",IF(ISNUMBER(AC174),AC174,IFERROR(VALUE(LEFT(TRIM(AC174),FIND(" ",TRIM(AC174))-1))*VLOOKUP(LEFT(LOWER(TRIM(MID(TRIM(AC174),FIND(" ",TRIM(AC174))+1,99))),3),DurationUnits,2,FALSE),"")))</f>
      </c>
      <c r="AE174" s="261"/>
      <c r="AF174" s="263"/>
      <c r="AG174" s="256">
        <f>IF($AF174="","",EDATE($AF174,12))</f>
      </c>
      <c r="AH174" s="254" cm="1">
        <f t="array" ref="AH174">IF($B174="","",_xlfn.LET(_xlpm.ids,'15. BCM Risk Register'!$A$6:$A$65,_xlpm.links,'15. BCM Risk Register'!$I$6:$I$65,_xlpm.hit,ISNUMBER(SEARCH(","&amp;$B174&amp;",",","&amp;SUBSTITUTE(_xlpm.links," ","")&amp;",")),IFERROR(_xlfn.TEXTJOIN(", ",TRUE,_xlfn.UNIQUE(_xlfn._xlws.FILTER(_xlpm.ids,_xlpm.hit*(_xlpm.ids&lt;&gt;"")))),"Not Created")))</f>
      </c>
      <c r="AI174" s="254" cm="1">
        <f t="array" ref="AI174">IF($B174="","",_xlfn.LET(_xlpm.ids,'15. BCM Risk Register'!$L$6:$L$65,_xlpm.links,'15. BCM Risk Register'!$I$6:$I$65,_xlpm.hit,ISNUMBER(SEARCH(","&amp;$B174&amp;",",","&amp;SUBSTITUTE(_xlpm.links," ","")&amp;",")),IFERROR(_xlfn.TEXTJOIN(", ",TRUE,_xlfn.UNIQUE(_xlfn._xlws.FILTER(_xlpm.ids,_xlpm.hit*(_xlpm.ids&lt;&gt;"")*(_xlpm.ids&lt;&gt;"Not Created")))),"Not Created")))</f>
      </c>
      <c r="AJ174" s="254" cm="1">
        <f t="array" ref="AJ174">IF($B174="","",_xlfn.LET(_xlpm.ids,'15. BCM Risk Register'!$K$6:$K$65,_xlpm.links,'15. BCM Risk Register'!$I$6:$I$65,_xlpm.hit,ISNUMBER(SEARCH(","&amp;$B174&amp;",",","&amp;SUBSTITUTE(_xlpm.links," ","")&amp;",")),IFERROR(_xlfn.TEXTJOIN(", ",TRUE,_xlfn.UNIQUE(_xlfn._xlws.FILTER(_xlpm.ids,_xlpm.hit*(_xlpm.ids&lt;&gt;"")*(_xlpm.ids&lt;&gt;"Not Created")))),"Not Created")))</f>
      </c>
    </row>
    <row r="175" spans="1:36" ht="14.5" customHeight="1" x14ac:dyDescent="0.35">
      <c r="A175" s="248"/>
      <c r="B175" s="248"/>
      <c r="C175" s="241"/>
      <c r="D175" s="241"/>
      <c r="E175" s="248"/>
      <c r="F175" s="246"/>
      <c r="G175" s="46" t="s">
        <v>160</v>
      </c>
      <c r="H175" s="293"/>
      <c r="I175" s="71" t="s">
        <v>117</v>
      </c>
      <c r="J175" s="293"/>
      <c r="K175" s="293"/>
      <c r="L175" s="293"/>
      <c r="M175" s="293"/>
      <c r="N175" s="293"/>
      <c r="O175" s="293"/>
      <c r="P175" s="293"/>
      <c r="Q175" s="293"/>
      <c r="R175" s="293"/>
      <c r="S175" s="258"/>
      <c r="T175" s="68">
        <f>IF($S$174="","",IF(COUNT(J175:R175)=0,"",IF(MAX(J175:R175)&gt;3,$I175,"")))</f>
      </c>
      <c r="U175" s="248"/>
      <c r="V175" s="251"/>
      <c r="W175" s="248"/>
      <c r="X175" s="248"/>
      <c r="Y175" s="262"/>
      <c r="Z175" s="262"/>
      <c r="AA175" s="248"/>
      <c r="AB175" s="248"/>
      <c r="AC175" s="246"/>
      <c r="AD175" s="248"/>
      <c r="AE175" s="262"/>
      <c r="AF175" s="262"/>
      <c r="AG175" s="248"/>
      <c r="AH175" s="255"/>
      <c r="AI175" s="255"/>
      <c r="AJ175" s="255"/>
    </row>
    <row r="176" spans="1:36" ht="14.5" customHeight="1" x14ac:dyDescent="0.35">
      <c r="A176" s="248"/>
      <c r="B176" s="248"/>
      <c r="C176" s="241"/>
      <c r="D176" s="241"/>
      <c r="E176" s="248"/>
      <c r="F176" s="246"/>
      <c r="G176" s="46" t="s">
        <v>206</v>
      </c>
      <c r="H176" s="293"/>
      <c r="I176" s="71" t="s">
        <v>118</v>
      </c>
      <c r="J176" s="293"/>
      <c r="K176" s="293"/>
      <c r="L176" s="293"/>
      <c r="M176" s="293"/>
      <c r="N176" s="293"/>
      <c r="O176" s="293"/>
      <c r="P176" s="293"/>
      <c r="Q176" s="293"/>
      <c r="R176" s="293"/>
      <c r="S176" s="258"/>
      <c r="T176" s="68">
        <f>IF($S$174="","",IF(COUNT(J176:R176)=0,"",IF(MAX(J176:R176)&gt;3,$I176,"")))</f>
      </c>
      <c r="U176" s="248"/>
      <c r="V176" s="251"/>
      <c r="W176" s="248"/>
      <c r="X176" s="248"/>
      <c r="Y176" s="262"/>
      <c r="Z176" s="262"/>
      <c r="AA176" s="248"/>
      <c r="AB176" s="248"/>
      <c r="AC176" s="246"/>
      <c r="AD176" s="248"/>
      <c r="AE176" s="262"/>
      <c r="AF176" s="262"/>
      <c r="AG176" s="248"/>
      <c r="AH176" s="255"/>
      <c r="AI176" s="255"/>
      <c r="AJ176" s="255"/>
    </row>
    <row r="177" spans="1:36" ht="14.5" customHeight="1" x14ac:dyDescent="0.35">
      <c r="A177" s="248"/>
      <c r="B177" s="248"/>
      <c r="C177" s="241"/>
      <c r="D177" s="241"/>
      <c r="E177" s="248"/>
      <c r="F177" s="246"/>
      <c r="G177" s="46" t="s">
        <v>207</v>
      </c>
      <c r="H177" s="293"/>
      <c r="I177" s="71" t="s">
        <v>119</v>
      </c>
      <c r="J177" s="293"/>
      <c r="K177" s="293"/>
      <c r="L177" s="293"/>
      <c r="M177" s="293"/>
      <c r="N177" s="293"/>
      <c r="O177" s="293"/>
      <c r="P177" s="293"/>
      <c r="Q177" s="293"/>
      <c r="R177" s="293"/>
      <c r="S177" s="258"/>
      <c r="T177" s="68">
        <f>IF($S$174="","",IF(COUNT(J177:R177)=0,"",IF(MAX(J177:R177)&gt;3,$I177,"")))</f>
      </c>
      <c r="U177" s="248"/>
      <c r="V177" s="251"/>
      <c r="W177" s="248"/>
      <c r="X177" s="248"/>
      <c r="Y177" s="262"/>
      <c r="Z177" s="262"/>
      <c r="AA177" s="248"/>
      <c r="AB177" s="248"/>
      <c r="AC177" s="246"/>
      <c r="AD177" s="248"/>
      <c r="AE177" s="262"/>
      <c r="AF177" s="262"/>
      <c r="AG177" s="248"/>
      <c r="AH177" s="255"/>
      <c r="AI177" s="255"/>
      <c r="AJ177" s="255"/>
    </row>
    <row r="178" spans="1:36" ht="14.5" customHeight="1" x14ac:dyDescent="0.35">
      <c r="A178" s="248"/>
      <c r="B178" s="248"/>
      <c r="C178" s="241"/>
      <c r="D178" s="241"/>
      <c r="E178" s="248"/>
      <c r="F178" s="246"/>
      <c r="G178" s="46" t="s">
        <v>161</v>
      </c>
      <c r="H178" s="293"/>
      <c r="I178" s="71" t="s">
        <v>120</v>
      </c>
      <c r="J178" s="293"/>
      <c r="K178" s="293"/>
      <c r="L178" s="293"/>
      <c r="M178" s="293"/>
      <c r="N178" s="293"/>
      <c r="O178" s="293"/>
      <c r="P178" s="293"/>
      <c r="Q178" s="293"/>
      <c r="R178" s="293"/>
      <c r="S178" s="258"/>
      <c r="T178" s="68">
        <f>IF($S$174="","",IF(COUNT(J178:R178)=0,"",IF(MAX(J178:R178)&gt;3,$I178,"")))</f>
      </c>
      <c r="U178" s="248"/>
      <c r="V178" s="251"/>
      <c r="W178" s="248"/>
      <c r="X178" s="248"/>
      <c r="Y178" s="262"/>
      <c r="Z178" s="262"/>
      <c r="AA178" s="248"/>
      <c r="AB178" s="248"/>
      <c r="AC178" s="246"/>
      <c r="AD178" s="248"/>
      <c r="AE178" s="262"/>
      <c r="AF178" s="262"/>
      <c r="AG178" s="248"/>
      <c r="AH178" s="255"/>
      <c r="AI178" s="255"/>
      <c r="AJ178" s="255"/>
    </row>
    <row r="179" spans="1:36" ht="14.5" customHeight="1" x14ac:dyDescent="0.35">
      <c r="A179" s="248"/>
      <c r="B179" s="248"/>
      <c r="C179" s="241"/>
      <c r="D179" s="241"/>
      <c r="E179" s="248"/>
      <c r="F179" s="246"/>
      <c r="G179" s="46" t="s">
        <v>208</v>
      </c>
      <c r="H179" s="293"/>
      <c r="I179" s="71" t="s">
        <v>121</v>
      </c>
      <c r="J179" s="293"/>
      <c r="K179" s="293"/>
      <c r="L179" s="293"/>
      <c r="M179" s="293"/>
      <c r="N179" s="293"/>
      <c r="O179" s="293"/>
      <c r="P179" s="293"/>
      <c r="Q179" s="293"/>
      <c r="R179" s="293"/>
      <c r="S179" s="258"/>
      <c r="T179" s="68">
        <f>IF($S$174="","",IF(COUNT(J179:R179)=0,"",IF(MAX(J179:R179)&gt;3,$I179,"")))</f>
      </c>
      <c r="U179" s="248"/>
      <c r="V179" s="251"/>
      <c r="W179" s="248"/>
      <c r="X179" s="248"/>
      <c r="Y179" s="262"/>
      <c r="Z179" s="262"/>
      <c r="AA179" s="248"/>
      <c r="AB179" s="248"/>
      <c r="AC179" s="246"/>
      <c r="AD179" s="248"/>
      <c r="AE179" s="262"/>
      <c r="AF179" s="262"/>
      <c r="AG179" s="248"/>
      <c r="AH179" s="255"/>
      <c r="AI179" s="255"/>
      <c r="AJ179" s="255"/>
    </row>
    <row r="180" spans="1:36" ht="14.5" customHeight="1" x14ac:dyDescent="0.35">
      <c r="A180" s="248"/>
      <c r="B180" s="248"/>
      <c r="C180" s="242"/>
      <c r="D180" s="242"/>
      <c r="E180" s="248"/>
      <c r="F180" s="246"/>
      <c r="G180" s="46" t="s">
        <v>209</v>
      </c>
      <c r="H180" s="293"/>
      <c r="I180" s="71" t="s">
        <v>122</v>
      </c>
      <c r="J180" s="293"/>
      <c r="K180" s="293"/>
      <c r="L180" s="293"/>
      <c r="M180" s="293"/>
      <c r="N180" s="293"/>
      <c r="O180" s="293"/>
      <c r="P180" s="293"/>
      <c r="Q180" s="293"/>
      <c r="R180" s="293"/>
      <c r="S180" s="259"/>
      <c r="T180" s="68">
        <f>IF($S$174="","",IF(COUNT(J180:R180)=0,"",IF(MAX(J180:R180)&gt;3,$I180,"")))</f>
      </c>
      <c r="U180" s="248"/>
      <c r="V180" s="251"/>
      <c r="W180" s="248"/>
      <c r="X180" s="248"/>
      <c r="Y180" s="262"/>
      <c r="Z180" s="262"/>
      <c r="AA180" s="248"/>
      <c r="AB180" s="248"/>
      <c r="AC180" s="246"/>
      <c r="AD180" s="248"/>
      <c r="AE180" s="262"/>
      <c r="AF180" s="262"/>
      <c r="AG180" s="248"/>
      <c r="AH180" s="255"/>
      <c r="AI180" s="255"/>
      <c r="AJ180" s="255"/>
    </row>
    <row r="181" spans="1:36" ht="14.5" customHeight="1" x14ac:dyDescent="0.35">
      <c r="A181" s="252">
        <v>26</v>
      </c>
      <c r="B181" s="264">
        <f>IF($E181="","","BIA-"&amp;TEXT(26,"000"))</f>
      </c>
      <c r="C181" s="240">
        <f>IFERROR(INDEX(BusinessUnits1,MATCH($A181,'04. Products &amp; Services'!$N$5:$N$49,0)),"")</f>
      </c>
      <c r="D181" s="240">
        <f>IFERROR(INDEX(DivisionSites,MATCH($A181,'04. Products &amp; Services'!$N$5:$N$49,0)),"")</f>
      </c>
      <c r="E181" s="253">
        <f>IFERROR(INDEX(ScopeNames,MATCH($A181,'04. Products &amp; Services'!$N$5:$N$49,0)),"")</f>
      </c>
      <c r="F181" s="265">
        <f>IF($E181="","",IFERROR(IF(INDEX(PS_ID,MATCH($E181,ScopeNames,0))="","",INDEX(PS_ID,MATCH($E181,ScopeNames,0))),""))</f>
      </c>
      <c r="G181" s="46" t="s">
        <v>205</v>
      </c>
      <c r="H181" s="293"/>
      <c r="I181" s="71" t="s">
        <v>116</v>
      </c>
      <c r="J181" s="293"/>
      <c r="K181" s="293"/>
      <c r="L181" s="293"/>
      <c r="M181" s="293"/>
      <c r="N181" s="293"/>
      <c r="O181" s="293"/>
      <c r="P181" s="293"/>
      <c r="Q181" s="293"/>
      <c r="R181" s="293"/>
      <c r="S181" s="257">
        <f>IF(COUNT(J181:R187)=0,"",MAX(J181:R187))</f>
      </c>
      <c r="T181" s="68">
        <f>IF($S$181="","",IF(COUNT(J181:R181)=0,"",IF(MAX(J181:R181)&gt;3,$I181,"")))</f>
      </c>
      <c r="U181" s="249">
        <f>IF($E181="","",IFERROR(IF(INDEX('04. Products &amp; Services'!$J$5:$J$49,MATCH($A181,'04. Products &amp; Services'!$N$5:$N$49,0))="","",INDEX('04. Products &amp; Services'!$J$5:$J$49,MATCH($A181,'04. Products &amp; Services'!$N$5:$N$49,0))),""))</f>
      </c>
      <c r="V181" s="299"/>
      <c r="W181" s="247">
        <f>IF($E181="","",IF(OR($U181="Yes",$V181="Yes"),"Yes",IF(AND($U181="No",$V181="No"),"No",IF(AND($U181="Under Evaluation",$V181="No"),"Under Evaluation",""))))</f>
      </c>
      <c r="X181" s="270">
        <f>IF($E181="","",IFERROR(IF(INDEX('04. Products &amp; Services'!$K$5:$K$49,MATCH($A181,'04. Products &amp; Services'!$N$5:$N$49,0))="","",INDEX('04. Products &amp; Services'!$K$5:$K$49,MATCH($A181,'04. Products &amp; Services'!$N$5:$N$49,0))),""))</f>
      </c>
      <c r="Y181" s="269"/>
      <c r="Z181" s="269"/>
      <c r="AA181" s="247">
        <f>IF($E181="","",IF(COUNT(J181:R187)=0,"",IF(MAX(J181:J187)&gt;=4,6,IF(MAX(K181:K187)&gt;=4,18,IF(MAX(L181:L187)&gt;=4,36,IF(MAX(M181:M187)&gt;=4,72,IF(MAX(N181:N187)&gt;=4,168,IF(MAX(O181:O187)&gt;=4,336,IF(MAX(P181:P187)&gt;=4,504,IF(MAX(Q181:Q187)&gt;=4,672,IF(MAX(R181:R187)&gt;=4,"","")))))))))))</f>
      </c>
      <c r="AB181" s="247">
        <f>IF($E181="","",IFERROR(IF(INDEX('04. Products &amp; Services'!$M$5:$M$49,MATCH($A181,'04. Products &amp; Services'!$N$5:$N$49,0))="","",INDEX('04. Products &amp; Services'!$M$5:$M$49,MATCH($A181,'04. Products &amp; Services'!$N$5:$N$49,0))),""))</f>
      </c>
      <c r="AC181" s="245"/>
      <c r="AD181" s="260">
        <f>IF(AC181="","",IF(ISNUMBER(AC181),AC181,IFERROR(VALUE(LEFT(TRIM(AC181),FIND(" ",TRIM(AC181))-1))*VLOOKUP(LEFT(LOWER(TRIM(MID(TRIM(AC181),FIND(" ",TRIM(AC181))+1,99))),3),DurationUnits,2,FALSE),"")))</f>
      </c>
      <c r="AE181" s="261"/>
      <c r="AF181" s="263"/>
      <c r="AG181" s="256">
        <f>IF($AF181="","",EDATE($AF181,12))</f>
      </c>
      <c r="AH181" s="254" cm="1">
        <f t="array" ref="AH181">IF($B181="","",_xlfn.LET(_xlpm.ids,'15. BCM Risk Register'!$A$6:$A$65,_xlpm.links,'15. BCM Risk Register'!$I$6:$I$65,_xlpm.hit,ISNUMBER(SEARCH(","&amp;$B181&amp;",",","&amp;SUBSTITUTE(_xlpm.links," ","")&amp;",")),IFERROR(_xlfn.TEXTJOIN(", ",TRUE,_xlfn.UNIQUE(_xlfn._xlws.FILTER(_xlpm.ids,_xlpm.hit*(_xlpm.ids&lt;&gt;"")))),"Not Created")))</f>
      </c>
      <c r="AI181" s="254" cm="1">
        <f t="array" ref="AI181">IF($B181="","",_xlfn.LET(_xlpm.ids,'15. BCM Risk Register'!$L$6:$L$65,_xlpm.links,'15. BCM Risk Register'!$I$6:$I$65,_xlpm.hit,ISNUMBER(SEARCH(","&amp;$B181&amp;",",","&amp;SUBSTITUTE(_xlpm.links," ","")&amp;",")),IFERROR(_xlfn.TEXTJOIN(", ",TRUE,_xlfn.UNIQUE(_xlfn._xlws.FILTER(_xlpm.ids,_xlpm.hit*(_xlpm.ids&lt;&gt;"")*(_xlpm.ids&lt;&gt;"Not Created")))),"Not Created")))</f>
      </c>
      <c r="AJ181" s="254" cm="1">
        <f t="array" ref="AJ181">IF($B181="","",_xlfn.LET(_xlpm.ids,'15. BCM Risk Register'!$K$6:$K$65,_xlpm.links,'15. BCM Risk Register'!$I$6:$I$65,_xlpm.hit,ISNUMBER(SEARCH(","&amp;$B181&amp;",",","&amp;SUBSTITUTE(_xlpm.links," ","")&amp;",")),IFERROR(_xlfn.TEXTJOIN(", ",TRUE,_xlfn.UNIQUE(_xlfn._xlws.FILTER(_xlpm.ids,_xlpm.hit*(_xlpm.ids&lt;&gt;"")*(_xlpm.ids&lt;&gt;"Not Created")))),"Not Created")))</f>
      </c>
    </row>
    <row r="182" spans="1:36" ht="14.5" customHeight="1" x14ac:dyDescent="0.35">
      <c r="A182" s="248"/>
      <c r="B182" s="248"/>
      <c r="C182" s="241"/>
      <c r="D182" s="241"/>
      <c r="E182" s="248"/>
      <c r="F182" s="246"/>
      <c r="G182" s="46" t="s">
        <v>160</v>
      </c>
      <c r="H182" s="293"/>
      <c r="I182" s="71" t="s">
        <v>117</v>
      </c>
      <c r="J182" s="293"/>
      <c r="K182" s="293"/>
      <c r="L182" s="293"/>
      <c r="M182" s="293"/>
      <c r="N182" s="293"/>
      <c r="O182" s="293"/>
      <c r="P182" s="293"/>
      <c r="Q182" s="293"/>
      <c r="R182" s="293"/>
      <c r="S182" s="258"/>
      <c r="T182" s="68">
        <f>IF($S$181="","",IF(COUNT(J182:R182)=0,"",IF(MAX(J182:R182)&gt;3,$I182,"")))</f>
      </c>
      <c r="U182" s="248"/>
      <c r="V182" s="251"/>
      <c r="W182" s="248"/>
      <c r="X182" s="248"/>
      <c r="Y182" s="262"/>
      <c r="Z182" s="262"/>
      <c r="AA182" s="248"/>
      <c r="AB182" s="248"/>
      <c r="AC182" s="246"/>
      <c r="AD182" s="248"/>
      <c r="AE182" s="262"/>
      <c r="AF182" s="262"/>
      <c r="AG182" s="248"/>
      <c r="AH182" s="255"/>
      <c r="AI182" s="255"/>
      <c r="AJ182" s="255"/>
    </row>
    <row r="183" spans="1:36" ht="14.5" customHeight="1" x14ac:dyDescent="0.35">
      <c r="A183" s="248"/>
      <c r="B183" s="248"/>
      <c r="C183" s="241"/>
      <c r="D183" s="241"/>
      <c r="E183" s="248"/>
      <c r="F183" s="246"/>
      <c r="G183" s="46" t="s">
        <v>206</v>
      </c>
      <c r="H183" s="293"/>
      <c r="I183" s="71" t="s">
        <v>118</v>
      </c>
      <c r="J183" s="293"/>
      <c r="K183" s="293"/>
      <c r="L183" s="293"/>
      <c r="M183" s="293"/>
      <c r="N183" s="293"/>
      <c r="O183" s="293"/>
      <c r="P183" s="293"/>
      <c r="Q183" s="293"/>
      <c r="R183" s="293"/>
      <c r="S183" s="258"/>
      <c r="T183" s="68">
        <f>IF($S$181="","",IF(COUNT(J183:R183)=0,"",IF(MAX(J183:R183)&gt;3,$I183,"")))</f>
      </c>
      <c r="U183" s="248"/>
      <c r="V183" s="251"/>
      <c r="W183" s="248"/>
      <c r="X183" s="248"/>
      <c r="Y183" s="262"/>
      <c r="Z183" s="262"/>
      <c r="AA183" s="248"/>
      <c r="AB183" s="248"/>
      <c r="AC183" s="246"/>
      <c r="AD183" s="248"/>
      <c r="AE183" s="262"/>
      <c r="AF183" s="262"/>
      <c r="AG183" s="248"/>
      <c r="AH183" s="255"/>
      <c r="AI183" s="255"/>
      <c r="AJ183" s="255"/>
    </row>
    <row r="184" spans="1:36" ht="14.5" customHeight="1" x14ac:dyDescent="0.35">
      <c r="A184" s="248"/>
      <c r="B184" s="248"/>
      <c r="C184" s="241"/>
      <c r="D184" s="241"/>
      <c r="E184" s="248"/>
      <c r="F184" s="246"/>
      <c r="G184" s="46" t="s">
        <v>207</v>
      </c>
      <c r="H184" s="293"/>
      <c r="I184" s="71" t="s">
        <v>119</v>
      </c>
      <c r="J184" s="293"/>
      <c r="K184" s="293"/>
      <c r="L184" s="293"/>
      <c r="M184" s="293"/>
      <c r="N184" s="293"/>
      <c r="O184" s="293"/>
      <c r="P184" s="293"/>
      <c r="Q184" s="293"/>
      <c r="R184" s="293"/>
      <c r="S184" s="258"/>
      <c r="T184" s="68">
        <f>IF($S$181="","",IF(COUNT(J184:R184)=0,"",IF(MAX(J184:R184)&gt;3,$I184,"")))</f>
      </c>
      <c r="U184" s="248"/>
      <c r="V184" s="251"/>
      <c r="W184" s="248"/>
      <c r="X184" s="248"/>
      <c r="Y184" s="262"/>
      <c r="Z184" s="262"/>
      <c r="AA184" s="248"/>
      <c r="AB184" s="248"/>
      <c r="AC184" s="246"/>
      <c r="AD184" s="248"/>
      <c r="AE184" s="262"/>
      <c r="AF184" s="262"/>
      <c r="AG184" s="248"/>
      <c r="AH184" s="255"/>
      <c r="AI184" s="255"/>
      <c r="AJ184" s="255"/>
    </row>
    <row r="185" spans="1:36" ht="14.5" customHeight="1" x14ac:dyDescent="0.35">
      <c r="A185" s="248"/>
      <c r="B185" s="248"/>
      <c r="C185" s="241"/>
      <c r="D185" s="241"/>
      <c r="E185" s="248"/>
      <c r="F185" s="246"/>
      <c r="G185" s="46" t="s">
        <v>161</v>
      </c>
      <c r="H185" s="293"/>
      <c r="I185" s="71" t="s">
        <v>120</v>
      </c>
      <c r="J185" s="293"/>
      <c r="K185" s="293"/>
      <c r="L185" s="293"/>
      <c r="M185" s="293"/>
      <c r="N185" s="293"/>
      <c r="O185" s="293"/>
      <c r="P185" s="293"/>
      <c r="Q185" s="293"/>
      <c r="R185" s="293"/>
      <c r="S185" s="258"/>
      <c r="T185" s="68">
        <f>IF($S$181="","",IF(COUNT(J185:R185)=0,"",IF(MAX(J185:R185)&gt;3,$I185,"")))</f>
      </c>
      <c r="U185" s="248"/>
      <c r="V185" s="251"/>
      <c r="W185" s="248"/>
      <c r="X185" s="248"/>
      <c r="Y185" s="262"/>
      <c r="Z185" s="262"/>
      <c r="AA185" s="248"/>
      <c r="AB185" s="248"/>
      <c r="AC185" s="246"/>
      <c r="AD185" s="248"/>
      <c r="AE185" s="262"/>
      <c r="AF185" s="262"/>
      <c r="AG185" s="248"/>
      <c r="AH185" s="255"/>
      <c r="AI185" s="255"/>
      <c r="AJ185" s="255"/>
    </row>
    <row r="186" spans="1:36" ht="14.5" customHeight="1" x14ac:dyDescent="0.35">
      <c r="A186" s="248"/>
      <c r="B186" s="248"/>
      <c r="C186" s="241"/>
      <c r="D186" s="241"/>
      <c r="E186" s="248"/>
      <c r="F186" s="246"/>
      <c r="G186" s="46" t="s">
        <v>208</v>
      </c>
      <c r="H186" s="293"/>
      <c r="I186" s="71" t="s">
        <v>121</v>
      </c>
      <c r="J186" s="293"/>
      <c r="K186" s="293"/>
      <c r="L186" s="293"/>
      <c r="M186" s="293"/>
      <c r="N186" s="293"/>
      <c r="O186" s="293"/>
      <c r="P186" s="293"/>
      <c r="Q186" s="293"/>
      <c r="R186" s="293"/>
      <c r="S186" s="258"/>
      <c r="T186" s="68">
        <f>IF($S$181="","",IF(COUNT(J186:R186)=0,"",IF(MAX(J186:R186)&gt;3,$I186,"")))</f>
      </c>
      <c r="U186" s="248"/>
      <c r="V186" s="251"/>
      <c r="W186" s="248"/>
      <c r="X186" s="248"/>
      <c r="Y186" s="262"/>
      <c r="Z186" s="262"/>
      <c r="AA186" s="248"/>
      <c r="AB186" s="248"/>
      <c r="AC186" s="246"/>
      <c r="AD186" s="248"/>
      <c r="AE186" s="262"/>
      <c r="AF186" s="262"/>
      <c r="AG186" s="248"/>
      <c r="AH186" s="255"/>
      <c r="AI186" s="255"/>
      <c r="AJ186" s="255"/>
    </row>
    <row r="187" spans="1:36" ht="14.5" customHeight="1" x14ac:dyDescent="0.35">
      <c r="A187" s="248"/>
      <c r="B187" s="248"/>
      <c r="C187" s="242"/>
      <c r="D187" s="242"/>
      <c r="E187" s="248"/>
      <c r="F187" s="246"/>
      <c r="G187" s="46" t="s">
        <v>209</v>
      </c>
      <c r="H187" s="293"/>
      <c r="I187" s="71" t="s">
        <v>122</v>
      </c>
      <c r="J187" s="293"/>
      <c r="K187" s="293"/>
      <c r="L187" s="293"/>
      <c r="M187" s="293"/>
      <c r="N187" s="293"/>
      <c r="O187" s="293"/>
      <c r="P187" s="293"/>
      <c r="Q187" s="293"/>
      <c r="R187" s="293"/>
      <c r="S187" s="259"/>
      <c r="T187" s="68">
        <f>IF($S$181="","",IF(COUNT(J187:R187)=0,"",IF(MAX(J187:R187)&gt;3,$I187,"")))</f>
      </c>
      <c r="U187" s="248"/>
      <c r="V187" s="251"/>
      <c r="W187" s="248"/>
      <c r="X187" s="248"/>
      <c r="Y187" s="262"/>
      <c r="Z187" s="262"/>
      <c r="AA187" s="248"/>
      <c r="AB187" s="248"/>
      <c r="AC187" s="246"/>
      <c r="AD187" s="248"/>
      <c r="AE187" s="262"/>
      <c r="AF187" s="262"/>
      <c r="AG187" s="248"/>
      <c r="AH187" s="255"/>
      <c r="AI187" s="255"/>
      <c r="AJ187" s="255"/>
    </row>
    <row r="188" spans="1:36" ht="14.5" customHeight="1" x14ac:dyDescent="0.35">
      <c r="A188" s="252">
        <v>27</v>
      </c>
      <c r="B188" s="264">
        <f>IF($E188="","","BIA-"&amp;TEXT(27,"000"))</f>
      </c>
      <c r="C188" s="240">
        <f>IFERROR(INDEX(BusinessUnits1,MATCH($A188,'04. Products &amp; Services'!$N$5:$N$49,0)),"")</f>
      </c>
      <c r="D188" s="240">
        <f>IFERROR(INDEX(DivisionSites,MATCH($A188,'04. Products &amp; Services'!$N$5:$N$49,0)),"")</f>
      </c>
      <c r="E188" s="253">
        <f>IFERROR(INDEX(ScopeNames,MATCH($A188,'04. Products &amp; Services'!$N$5:$N$49,0)),"")</f>
      </c>
      <c r="F188" s="265">
        <f>IF($E188="","",IFERROR(IF(INDEX(PS_ID,MATCH($E188,ScopeNames,0))="","",INDEX(PS_ID,MATCH($E188,ScopeNames,0))),""))</f>
      </c>
      <c r="G188" s="46" t="s">
        <v>205</v>
      </c>
      <c r="H188" s="293"/>
      <c r="I188" s="71" t="s">
        <v>116</v>
      </c>
      <c r="J188" s="293"/>
      <c r="K188" s="293"/>
      <c r="L188" s="293"/>
      <c r="M188" s="293"/>
      <c r="N188" s="293"/>
      <c r="O188" s="293"/>
      <c r="P188" s="293"/>
      <c r="Q188" s="293"/>
      <c r="R188" s="293"/>
      <c r="S188" s="257">
        <f>IF(COUNT(J188:R194)=0,"",MAX(J188:R194))</f>
      </c>
      <c r="T188" s="68">
        <f>IF($S$188="","",IF(COUNT(J188:R188)=0,"",IF(MAX(J188:R188)&gt;3,$I188,"")))</f>
      </c>
      <c r="U188" s="249">
        <f>IF($E188="","",IFERROR(IF(INDEX('04. Products &amp; Services'!$J$5:$J$49,MATCH($A188,'04. Products &amp; Services'!$N$5:$N$49,0))="","",INDEX('04. Products &amp; Services'!$J$5:$J$49,MATCH($A188,'04. Products &amp; Services'!$N$5:$N$49,0))),""))</f>
      </c>
      <c r="V188" s="299"/>
      <c r="W188" s="247">
        <f>IF($E188="","",IF(OR($U188="Yes",$V188="Yes"),"Yes",IF(AND($U188="No",$V188="No"),"No",IF(AND($U188="Under Evaluation",$V188="No"),"Under Evaluation",""))))</f>
      </c>
      <c r="X188" s="270">
        <f>IF($E188="","",IFERROR(IF(INDEX('04. Products &amp; Services'!$K$5:$K$49,MATCH($A188,'04. Products &amp; Services'!$N$5:$N$49,0))="","",INDEX('04. Products &amp; Services'!$K$5:$K$49,MATCH($A188,'04. Products &amp; Services'!$N$5:$N$49,0))),""))</f>
      </c>
      <c r="Y188" s="269"/>
      <c r="Z188" s="269"/>
      <c r="AA188" s="247">
        <f>IF($E188="","",IF(COUNT(J188:R194)=0,"",IF(MAX(J188:J194)&gt;=4,6,IF(MAX(K188:K194)&gt;=4,18,IF(MAX(L188:L194)&gt;=4,36,IF(MAX(M188:M194)&gt;=4,72,IF(MAX(N188:N194)&gt;=4,168,IF(MAX(O188:O194)&gt;=4,336,IF(MAX(P188:P194)&gt;=4,504,IF(MAX(Q188:Q194)&gt;=4,672,IF(MAX(R188:R194)&gt;=4,"","")))))))))))</f>
      </c>
      <c r="AB188" s="247">
        <f>IF($E188="","",IFERROR(IF(INDEX('04. Products &amp; Services'!$M$5:$M$49,MATCH($A188,'04. Products &amp; Services'!$N$5:$N$49,0))="","",INDEX('04. Products &amp; Services'!$M$5:$M$49,MATCH($A188,'04. Products &amp; Services'!$N$5:$N$49,0))),""))</f>
      </c>
      <c r="AC188" s="245"/>
      <c r="AD188" s="260">
        <f>IF(AC188="","",IF(ISNUMBER(AC188),AC188,IFERROR(VALUE(LEFT(TRIM(AC188),FIND(" ",TRIM(AC188))-1))*VLOOKUP(LEFT(LOWER(TRIM(MID(TRIM(AC188),FIND(" ",TRIM(AC188))+1,99))),3),DurationUnits,2,FALSE),"")))</f>
      </c>
      <c r="AE188" s="261"/>
      <c r="AF188" s="263"/>
      <c r="AG188" s="256">
        <f>IF($AF188="","",EDATE($AF188,12))</f>
      </c>
      <c r="AH188" s="254" cm="1">
        <f t="array" ref="AH188">IF($B188="","",_xlfn.LET(_xlpm.ids,'15. BCM Risk Register'!$A$6:$A$65,_xlpm.links,'15. BCM Risk Register'!$I$6:$I$65,_xlpm.hit,ISNUMBER(SEARCH(","&amp;$B188&amp;",",","&amp;SUBSTITUTE(_xlpm.links," ","")&amp;",")),IFERROR(_xlfn.TEXTJOIN(", ",TRUE,_xlfn.UNIQUE(_xlfn._xlws.FILTER(_xlpm.ids,_xlpm.hit*(_xlpm.ids&lt;&gt;"")))),"Not Created")))</f>
      </c>
      <c r="AI188" s="254" cm="1">
        <f t="array" ref="AI188">IF($B188="","",_xlfn.LET(_xlpm.ids,'15. BCM Risk Register'!$L$6:$L$65,_xlpm.links,'15. BCM Risk Register'!$I$6:$I$65,_xlpm.hit,ISNUMBER(SEARCH(","&amp;$B188&amp;",",","&amp;SUBSTITUTE(_xlpm.links," ","")&amp;",")),IFERROR(_xlfn.TEXTJOIN(", ",TRUE,_xlfn.UNIQUE(_xlfn._xlws.FILTER(_xlpm.ids,_xlpm.hit*(_xlpm.ids&lt;&gt;"")*(_xlpm.ids&lt;&gt;"Not Created")))),"Not Created")))</f>
      </c>
      <c r="AJ188" s="254" cm="1">
        <f t="array" ref="AJ188">IF($B188="","",_xlfn.LET(_xlpm.ids,'15. BCM Risk Register'!$K$6:$K$65,_xlpm.links,'15. BCM Risk Register'!$I$6:$I$65,_xlpm.hit,ISNUMBER(SEARCH(","&amp;$B188&amp;",",","&amp;SUBSTITUTE(_xlpm.links," ","")&amp;",")),IFERROR(_xlfn.TEXTJOIN(", ",TRUE,_xlfn.UNIQUE(_xlfn._xlws.FILTER(_xlpm.ids,_xlpm.hit*(_xlpm.ids&lt;&gt;"")*(_xlpm.ids&lt;&gt;"Not Created")))),"Not Created")))</f>
      </c>
    </row>
    <row r="189" spans="1:36" ht="14.5" customHeight="1" x14ac:dyDescent="0.35">
      <c r="A189" s="248"/>
      <c r="B189" s="248"/>
      <c r="C189" s="241"/>
      <c r="D189" s="241"/>
      <c r="E189" s="248"/>
      <c r="F189" s="246"/>
      <c r="G189" s="46" t="s">
        <v>160</v>
      </c>
      <c r="H189" s="293"/>
      <c r="I189" s="71" t="s">
        <v>117</v>
      </c>
      <c r="J189" s="293"/>
      <c r="K189" s="293"/>
      <c r="L189" s="293"/>
      <c r="M189" s="293"/>
      <c r="N189" s="293"/>
      <c r="O189" s="293"/>
      <c r="P189" s="293"/>
      <c r="Q189" s="293"/>
      <c r="R189" s="293"/>
      <c r="S189" s="258"/>
      <c r="T189" s="68">
        <f>IF($S$188="","",IF(COUNT(J189:R189)=0,"",IF(MAX(J189:R189)&gt;3,$I189,"")))</f>
      </c>
      <c r="U189" s="248"/>
      <c r="V189" s="251"/>
      <c r="W189" s="248"/>
      <c r="X189" s="248"/>
      <c r="Y189" s="262"/>
      <c r="Z189" s="262"/>
      <c r="AA189" s="248"/>
      <c r="AB189" s="248"/>
      <c r="AC189" s="246"/>
      <c r="AD189" s="248"/>
      <c r="AE189" s="262"/>
      <c r="AF189" s="262"/>
      <c r="AG189" s="248"/>
      <c r="AH189" s="255"/>
      <c r="AI189" s="255"/>
      <c r="AJ189" s="255"/>
    </row>
    <row r="190" spans="1:36" ht="14.5" customHeight="1" x14ac:dyDescent="0.35">
      <c r="A190" s="248"/>
      <c r="B190" s="248"/>
      <c r="C190" s="241"/>
      <c r="D190" s="241"/>
      <c r="E190" s="248"/>
      <c r="F190" s="246"/>
      <c r="G190" s="46" t="s">
        <v>206</v>
      </c>
      <c r="H190" s="293"/>
      <c r="I190" s="71" t="s">
        <v>118</v>
      </c>
      <c r="J190" s="293"/>
      <c r="K190" s="293"/>
      <c r="L190" s="293"/>
      <c r="M190" s="293"/>
      <c r="N190" s="293"/>
      <c r="O190" s="293"/>
      <c r="P190" s="293"/>
      <c r="Q190" s="293"/>
      <c r="R190" s="293"/>
      <c r="S190" s="258"/>
      <c r="T190" s="68">
        <f>IF($S$188="","",IF(COUNT(J190:R190)=0,"",IF(MAX(J190:R190)&gt;3,$I190,"")))</f>
      </c>
      <c r="U190" s="248"/>
      <c r="V190" s="251"/>
      <c r="W190" s="248"/>
      <c r="X190" s="248"/>
      <c r="Y190" s="262"/>
      <c r="Z190" s="262"/>
      <c r="AA190" s="248"/>
      <c r="AB190" s="248"/>
      <c r="AC190" s="246"/>
      <c r="AD190" s="248"/>
      <c r="AE190" s="262"/>
      <c r="AF190" s="262"/>
      <c r="AG190" s="248"/>
      <c r="AH190" s="255"/>
      <c r="AI190" s="255"/>
      <c r="AJ190" s="255"/>
    </row>
    <row r="191" spans="1:36" ht="14.5" customHeight="1" x14ac:dyDescent="0.35">
      <c r="A191" s="248"/>
      <c r="B191" s="248"/>
      <c r="C191" s="241"/>
      <c r="D191" s="241"/>
      <c r="E191" s="248"/>
      <c r="F191" s="246"/>
      <c r="G191" s="46" t="s">
        <v>207</v>
      </c>
      <c r="H191" s="293"/>
      <c r="I191" s="71" t="s">
        <v>119</v>
      </c>
      <c r="J191" s="293"/>
      <c r="K191" s="293"/>
      <c r="L191" s="293"/>
      <c r="M191" s="293"/>
      <c r="N191" s="293"/>
      <c r="O191" s="293"/>
      <c r="P191" s="293"/>
      <c r="Q191" s="293"/>
      <c r="R191" s="293"/>
      <c r="S191" s="258"/>
      <c r="T191" s="68">
        <f>IF($S$188="","",IF(COUNT(J191:R191)=0,"",IF(MAX(J191:R191)&gt;3,$I191,"")))</f>
      </c>
      <c r="U191" s="248"/>
      <c r="V191" s="251"/>
      <c r="W191" s="248"/>
      <c r="X191" s="248"/>
      <c r="Y191" s="262"/>
      <c r="Z191" s="262"/>
      <c r="AA191" s="248"/>
      <c r="AB191" s="248"/>
      <c r="AC191" s="246"/>
      <c r="AD191" s="248"/>
      <c r="AE191" s="262"/>
      <c r="AF191" s="262"/>
      <c r="AG191" s="248"/>
      <c r="AH191" s="255"/>
      <c r="AI191" s="255"/>
      <c r="AJ191" s="255"/>
    </row>
    <row r="192" spans="1:36" ht="14.5" customHeight="1" x14ac:dyDescent="0.35">
      <c r="A192" s="248"/>
      <c r="B192" s="248"/>
      <c r="C192" s="241"/>
      <c r="D192" s="241"/>
      <c r="E192" s="248"/>
      <c r="F192" s="246"/>
      <c r="G192" s="46" t="s">
        <v>161</v>
      </c>
      <c r="H192" s="293"/>
      <c r="I192" s="71" t="s">
        <v>120</v>
      </c>
      <c r="J192" s="293"/>
      <c r="K192" s="293"/>
      <c r="L192" s="293"/>
      <c r="M192" s="293"/>
      <c r="N192" s="293"/>
      <c r="O192" s="293"/>
      <c r="P192" s="293"/>
      <c r="Q192" s="293"/>
      <c r="R192" s="293"/>
      <c r="S192" s="258"/>
      <c r="T192" s="68">
        <f>IF($S$188="","",IF(COUNT(J192:R192)=0,"",IF(MAX(J192:R192)&gt;3,$I192,"")))</f>
      </c>
      <c r="U192" s="248"/>
      <c r="V192" s="251"/>
      <c r="W192" s="248"/>
      <c r="X192" s="248"/>
      <c r="Y192" s="262"/>
      <c r="Z192" s="262"/>
      <c r="AA192" s="248"/>
      <c r="AB192" s="248"/>
      <c r="AC192" s="246"/>
      <c r="AD192" s="248"/>
      <c r="AE192" s="262"/>
      <c r="AF192" s="262"/>
      <c r="AG192" s="248"/>
      <c r="AH192" s="255"/>
      <c r="AI192" s="255"/>
      <c r="AJ192" s="255"/>
    </row>
    <row r="193" spans="1:36" ht="14.5" customHeight="1" x14ac:dyDescent="0.35">
      <c r="A193" s="248"/>
      <c r="B193" s="248"/>
      <c r="C193" s="241"/>
      <c r="D193" s="241"/>
      <c r="E193" s="248"/>
      <c r="F193" s="246"/>
      <c r="G193" s="46" t="s">
        <v>208</v>
      </c>
      <c r="H193" s="293"/>
      <c r="I193" s="71" t="s">
        <v>121</v>
      </c>
      <c r="J193" s="293"/>
      <c r="K193" s="293"/>
      <c r="L193" s="293"/>
      <c r="M193" s="293"/>
      <c r="N193" s="293"/>
      <c r="O193" s="293"/>
      <c r="P193" s="293"/>
      <c r="Q193" s="293"/>
      <c r="R193" s="293"/>
      <c r="S193" s="258"/>
      <c r="T193" s="68">
        <f>IF($S$188="","",IF(COUNT(J193:R193)=0,"",IF(MAX(J193:R193)&gt;3,$I193,"")))</f>
      </c>
      <c r="U193" s="248"/>
      <c r="V193" s="251"/>
      <c r="W193" s="248"/>
      <c r="X193" s="248"/>
      <c r="Y193" s="262"/>
      <c r="Z193" s="262"/>
      <c r="AA193" s="248"/>
      <c r="AB193" s="248"/>
      <c r="AC193" s="246"/>
      <c r="AD193" s="248"/>
      <c r="AE193" s="262"/>
      <c r="AF193" s="262"/>
      <c r="AG193" s="248"/>
      <c r="AH193" s="255"/>
      <c r="AI193" s="255"/>
      <c r="AJ193" s="255"/>
    </row>
    <row r="194" spans="1:36" ht="14.5" customHeight="1" x14ac:dyDescent="0.35">
      <c r="A194" s="248"/>
      <c r="B194" s="248"/>
      <c r="C194" s="242"/>
      <c r="D194" s="242"/>
      <c r="E194" s="248"/>
      <c r="F194" s="246"/>
      <c r="G194" s="46" t="s">
        <v>209</v>
      </c>
      <c r="H194" s="293"/>
      <c r="I194" s="71" t="s">
        <v>122</v>
      </c>
      <c r="J194" s="293"/>
      <c r="K194" s="293"/>
      <c r="L194" s="293"/>
      <c r="M194" s="293"/>
      <c r="N194" s="293"/>
      <c r="O194" s="293"/>
      <c r="P194" s="293"/>
      <c r="Q194" s="293"/>
      <c r="R194" s="293"/>
      <c r="S194" s="259"/>
      <c r="T194" s="68">
        <f>IF($S$188="","",IF(COUNT(J194:R194)=0,"",IF(MAX(J194:R194)&gt;3,$I194,"")))</f>
      </c>
      <c r="U194" s="248"/>
      <c r="V194" s="251"/>
      <c r="W194" s="248"/>
      <c r="X194" s="248"/>
      <c r="Y194" s="262"/>
      <c r="Z194" s="262"/>
      <c r="AA194" s="248"/>
      <c r="AB194" s="248"/>
      <c r="AC194" s="246"/>
      <c r="AD194" s="248"/>
      <c r="AE194" s="262"/>
      <c r="AF194" s="262"/>
      <c r="AG194" s="248"/>
      <c r="AH194" s="255"/>
      <c r="AI194" s="255"/>
      <c r="AJ194" s="255"/>
    </row>
    <row r="195" spans="1:36" ht="14.5" customHeight="1" x14ac:dyDescent="0.35">
      <c r="A195" s="252">
        <v>28</v>
      </c>
      <c r="B195" s="264">
        <f>IF($E195="","","BIA-"&amp;TEXT(28,"000"))</f>
      </c>
      <c r="C195" s="240">
        <f>IFERROR(INDEX(BusinessUnits1,MATCH($A195,'04. Products &amp; Services'!$N$5:$N$49,0)),"")</f>
      </c>
      <c r="D195" s="240">
        <f>IFERROR(INDEX(DivisionSites,MATCH($A195,'04. Products &amp; Services'!$N$5:$N$49,0)),"")</f>
      </c>
      <c r="E195" s="253">
        <f>IFERROR(INDEX(ScopeNames,MATCH($A195,'04. Products &amp; Services'!$N$5:$N$49,0)),"")</f>
      </c>
      <c r="F195" s="265">
        <f>IF($E195="","",IFERROR(IF(INDEX(PS_ID,MATCH($E195,ScopeNames,0))="","",INDEX(PS_ID,MATCH($E195,ScopeNames,0))),""))</f>
      </c>
      <c r="G195" s="46" t="s">
        <v>205</v>
      </c>
      <c r="H195" s="293"/>
      <c r="I195" s="71" t="s">
        <v>116</v>
      </c>
      <c r="J195" s="293"/>
      <c r="K195" s="293"/>
      <c r="L195" s="293"/>
      <c r="M195" s="293"/>
      <c r="N195" s="293"/>
      <c r="O195" s="293"/>
      <c r="P195" s="293"/>
      <c r="Q195" s="293"/>
      <c r="R195" s="293"/>
      <c r="S195" s="257">
        <f>IF(COUNT(J195:R201)=0,"",MAX(J195:R201))</f>
      </c>
      <c r="T195" s="68">
        <f>IF($S$195="","",IF(COUNT(J195:R195)=0,"",IF(MAX(J195:R195)&gt;3,$I195,"")))</f>
      </c>
      <c r="U195" s="249">
        <f>IF($E195="","",IFERROR(IF(INDEX('04. Products &amp; Services'!$J$5:$J$49,MATCH($A195,'04. Products &amp; Services'!$N$5:$N$49,0))="","",INDEX('04. Products &amp; Services'!$J$5:$J$49,MATCH($A195,'04. Products &amp; Services'!$N$5:$N$49,0))),""))</f>
      </c>
      <c r="V195" s="299"/>
      <c r="W195" s="247">
        <f>IF($E195="","",IF(OR($U195="Yes",$V195="Yes"),"Yes",IF(AND($U195="No",$V195="No"),"No",IF(AND($U195="Under Evaluation",$V195="No"),"Under Evaluation",""))))</f>
      </c>
      <c r="X195" s="270">
        <f>IF($E195="","",IFERROR(IF(INDEX('04. Products &amp; Services'!$K$5:$K$49,MATCH($A195,'04. Products &amp; Services'!$N$5:$N$49,0))="","",INDEX('04. Products &amp; Services'!$K$5:$K$49,MATCH($A195,'04. Products &amp; Services'!$N$5:$N$49,0))),""))</f>
      </c>
      <c r="Y195" s="269"/>
      <c r="Z195" s="269"/>
      <c r="AA195" s="247">
        <f>IF($E195="","",IF(COUNT(J195:R201)=0,"",IF(MAX(J195:J201)&gt;=4,6,IF(MAX(K195:K201)&gt;=4,18,IF(MAX(L195:L201)&gt;=4,36,IF(MAX(M195:M201)&gt;=4,72,IF(MAX(N195:N201)&gt;=4,168,IF(MAX(O195:O201)&gt;=4,336,IF(MAX(P195:P201)&gt;=4,504,IF(MAX(Q195:Q201)&gt;=4,672,IF(MAX(R195:R201)&gt;=4,"","")))))))))))</f>
      </c>
      <c r="AB195" s="247">
        <f>IF($E195="","",IFERROR(IF(INDEX('04. Products &amp; Services'!$M$5:$M$49,MATCH($A195,'04. Products &amp; Services'!$N$5:$N$49,0))="","",INDEX('04. Products &amp; Services'!$M$5:$M$49,MATCH($A195,'04. Products &amp; Services'!$N$5:$N$49,0))),""))</f>
      </c>
      <c r="AC195" s="245"/>
      <c r="AD195" s="260">
        <f>IF(AC195="","",IF(ISNUMBER(AC195),AC195,IFERROR(VALUE(LEFT(TRIM(AC195),FIND(" ",TRIM(AC195))-1))*VLOOKUP(LEFT(LOWER(TRIM(MID(TRIM(AC195),FIND(" ",TRIM(AC195))+1,99))),3),DurationUnits,2,FALSE),"")))</f>
      </c>
      <c r="AE195" s="261"/>
      <c r="AF195" s="263"/>
      <c r="AG195" s="256">
        <f>IF($AF195="","",EDATE($AF195,12))</f>
      </c>
      <c r="AH195" s="254" cm="1">
        <f t="array" ref="AH195">IF($B195="","",_xlfn.LET(_xlpm.ids,'15. BCM Risk Register'!$A$6:$A$65,_xlpm.links,'15. BCM Risk Register'!$I$6:$I$65,_xlpm.hit,ISNUMBER(SEARCH(","&amp;$B195&amp;",",","&amp;SUBSTITUTE(_xlpm.links," ","")&amp;",")),IFERROR(_xlfn.TEXTJOIN(", ",TRUE,_xlfn.UNIQUE(_xlfn._xlws.FILTER(_xlpm.ids,_xlpm.hit*(_xlpm.ids&lt;&gt;"")))),"Not Created")))</f>
      </c>
      <c r="AI195" s="254" cm="1">
        <f t="array" ref="AI195">IF($B195="","",_xlfn.LET(_xlpm.ids,'15. BCM Risk Register'!$L$6:$L$65,_xlpm.links,'15. BCM Risk Register'!$I$6:$I$65,_xlpm.hit,ISNUMBER(SEARCH(","&amp;$B195&amp;",",","&amp;SUBSTITUTE(_xlpm.links," ","")&amp;",")),IFERROR(_xlfn.TEXTJOIN(", ",TRUE,_xlfn.UNIQUE(_xlfn._xlws.FILTER(_xlpm.ids,_xlpm.hit*(_xlpm.ids&lt;&gt;"")*(_xlpm.ids&lt;&gt;"Not Created")))),"Not Created")))</f>
      </c>
      <c r="AJ195" s="254" cm="1">
        <f t="array" ref="AJ195">IF($B195="","",_xlfn.LET(_xlpm.ids,'15. BCM Risk Register'!$K$6:$K$65,_xlpm.links,'15. BCM Risk Register'!$I$6:$I$65,_xlpm.hit,ISNUMBER(SEARCH(","&amp;$B195&amp;",",","&amp;SUBSTITUTE(_xlpm.links," ","")&amp;",")),IFERROR(_xlfn.TEXTJOIN(", ",TRUE,_xlfn.UNIQUE(_xlfn._xlws.FILTER(_xlpm.ids,_xlpm.hit*(_xlpm.ids&lt;&gt;"")*(_xlpm.ids&lt;&gt;"Not Created")))),"Not Created")))</f>
      </c>
    </row>
    <row r="196" spans="1:36" ht="14.5" customHeight="1" x14ac:dyDescent="0.35">
      <c r="A196" s="248"/>
      <c r="B196" s="248"/>
      <c r="C196" s="241"/>
      <c r="D196" s="241"/>
      <c r="E196" s="248"/>
      <c r="F196" s="246"/>
      <c r="G196" s="46" t="s">
        <v>160</v>
      </c>
      <c r="H196" s="293"/>
      <c r="I196" s="71" t="s">
        <v>117</v>
      </c>
      <c r="J196" s="293"/>
      <c r="K196" s="293"/>
      <c r="L196" s="293"/>
      <c r="M196" s="293"/>
      <c r="N196" s="293"/>
      <c r="O196" s="293"/>
      <c r="P196" s="293"/>
      <c r="Q196" s="293"/>
      <c r="R196" s="293"/>
      <c r="S196" s="258"/>
      <c r="T196" s="68">
        <f>IF($S$195="","",IF(COUNT(J196:R196)=0,"",IF(MAX(J196:R196)&gt;3,$I196,"")))</f>
      </c>
      <c r="U196" s="248"/>
      <c r="V196" s="251"/>
      <c r="W196" s="248"/>
      <c r="X196" s="248"/>
      <c r="Y196" s="262"/>
      <c r="Z196" s="262"/>
      <c r="AA196" s="248"/>
      <c r="AB196" s="248"/>
      <c r="AC196" s="246"/>
      <c r="AD196" s="248"/>
      <c r="AE196" s="262"/>
      <c r="AF196" s="262"/>
      <c r="AG196" s="248"/>
      <c r="AH196" s="255"/>
      <c r="AI196" s="255"/>
      <c r="AJ196" s="255"/>
    </row>
    <row r="197" spans="1:36" ht="14.5" customHeight="1" x14ac:dyDescent="0.35">
      <c r="A197" s="248"/>
      <c r="B197" s="248"/>
      <c r="C197" s="241"/>
      <c r="D197" s="241"/>
      <c r="E197" s="248"/>
      <c r="F197" s="246"/>
      <c r="G197" s="46" t="s">
        <v>206</v>
      </c>
      <c r="H197" s="293"/>
      <c r="I197" s="71" t="s">
        <v>118</v>
      </c>
      <c r="J197" s="293"/>
      <c r="K197" s="293"/>
      <c r="L197" s="293"/>
      <c r="M197" s="293"/>
      <c r="N197" s="293"/>
      <c r="O197" s="293"/>
      <c r="P197" s="293"/>
      <c r="Q197" s="293"/>
      <c r="R197" s="293"/>
      <c r="S197" s="258"/>
      <c r="T197" s="68">
        <f>IF($S$195="","",IF(COUNT(J197:R197)=0,"",IF(MAX(J197:R197)&gt;3,$I197,"")))</f>
      </c>
      <c r="U197" s="248"/>
      <c r="V197" s="251"/>
      <c r="W197" s="248"/>
      <c r="X197" s="248"/>
      <c r="Y197" s="262"/>
      <c r="Z197" s="262"/>
      <c r="AA197" s="248"/>
      <c r="AB197" s="248"/>
      <c r="AC197" s="246"/>
      <c r="AD197" s="248"/>
      <c r="AE197" s="262"/>
      <c r="AF197" s="262"/>
      <c r="AG197" s="248"/>
      <c r="AH197" s="255"/>
      <c r="AI197" s="255"/>
      <c r="AJ197" s="255"/>
    </row>
    <row r="198" spans="1:36" ht="14.5" customHeight="1" x14ac:dyDescent="0.35">
      <c r="A198" s="248"/>
      <c r="B198" s="248"/>
      <c r="C198" s="241"/>
      <c r="D198" s="241"/>
      <c r="E198" s="248"/>
      <c r="F198" s="246"/>
      <c r="G198" s="46" t="s">
        <v>207</v>
      </c>
      <c r="H198" s="293"/>
      <c r="I198" s="71" t="s">
        <v>119</v>
      </c>
      <c r="J198" s="293"/>
      <c r="K198" s="293"/>
      <c r="L198" s="293"/>
      <c r="M198" s="293"/>
      <c r="N198" s="293"/>
      <c r="O198" s="293"/>
      <c r="P198" s="293"/>
      <c r="Q198" s="293"/>
      <c r="R198" s="293"/>
      <c r="S198" s="258"/>
      <c r="T198" s="68">
        <f>IF($S$195="","",IF(COUNT(J198:R198)=0,"",IF(MAX(J198:R198)&gt;3,$I198,"")))</f>
      </c>
      <c r="U198" s="248"/>
      <c r="V198" s="251"/>
      <c r="W198" s="248"/>
      <c r="X198" s="248"/>
      <c r="Y198" s="262"/>
      <c r="Z198" s="262"/>
      <c r="AA198" s="248"/>
      <c r="AB198" s="248"/>
      <c r="AC198" s="246"/>
      <c r="AD198" s="248"/>
      <c r="AE198" s="262"/>
      <c r="AF198" s="262"/>
      <c r="AG198" s="248"/>
      <c r="AH198" s="255"/>
      <c r="AI198" s="255"/>
      <c r="AJ198" s="255"/>
    </row>
    <row r="199" spans="1:36" ht="14.5" customHeight="1" x14ac:dyDescent="0.35">
      <c r="A199" s="248"/>
      <c r="B199" s="248"/>
      <c r="C199" s="241"/>
      <c r="D199" s="241"/>
      <c r="E199" s="248"/>
      <c r="F199" s="246"/>
      <c r="G199" s="46" t="s">
        <v>161</v>
      </c>
      <c r="H199" s="293"/>
      <c r="I199" s="71" t="s">
        <v>120</v>
      </c>
      <c r="J199" s="293"/>
      <c r="K199" s="293"/>
      <c r="L199" s="293"/>
      <c r="M199" s="293"/>
      <c r="N199" s="293"/>
      <c r="O199" s="293"/>
      <c r="P199" s="293"/>
      <c r="Q199" s="293"/>
      <c r="R199" s="293"/>
      <c r="S199" s="258"/>
      <c r="T199" s="68">
        <f>IF($S$195="","",IF(COUNT(J199:R199)=0,"",IF(MAX(J199:R199)&gt;3,$I199,"")))</f>
      </c>
      <c r="U199" s="248"/>
      <c r="V199" s="251"/>
      <c r="W199" s="248"/>
      <c r="X199" s="248"/>
      <c r="Y199" s="262"/>
      <c r="Z199" s="262"/>
      <c r="AA199" s="248"/>
      <c r="AB199" s="248"/>
      <c r="AC199" s="246"/>
      <c r="AD199" s="248"/>
      <c r="AE199" s="262"/>
      <c r="AF199" s="262"/>
      <c r="AG199" s="248"/>
      <c r="AH199" s="255"/>
      <c r="AI199" s="255"/>
      <c r="AJ199" s="255"/>
    </row>
    <row r="200" spans="1:36" ht="14.5" customHeight="1" x14ac:dyDescent="0.35">
      <c r="A200" s="248"/>
      <c r="B200" s="248"/>
      <c r="C200" s="241"/>
      <c r="D200" s="241"/>
      <c r="E200" s="248"/>
      <c r="F200" s="246"/>
      <c r="G200" s="46" t="s">
        <v>208</v>
      </c>
      <c r="H200" s="293"/>
      <c r="I200" s="71" t="s">
        <v>121</v>
      </c>
      <c r="J200" s="293"/>
      <c r="K200" s="293"/>
      <c r="L200" s="293"/>
      <c r="M200" s="293"/>
      <c r="N200" s="293"/>
      <c r="O200" s="293"/>
      <c r="P200" s="293"/>
      <c r="Q200" s="293"/>
      <c r="R200" s="293"/>
      <c r="S200" s="258"/>
      <c r="T200" s="68">
        <f>IF($S$195="","",IF(COUNT(J200:R200)=0,"",IF(MAX(J200:R200)&gt;3,$I200,"")))</f>
      </c>
      <c r="U200" s="248"/>
      <c r="V200" s="251"/>
      <c r="W200" s="248"/>
      <c r="X200" s="248"/>
      <c r="Y200" s="262"/>
      <c r="Z200" s="262"/>
      <c r="AA200" s="248"/>
      <c r="AB200" s="248"/>
      <c r="AC200" s="246"/>
      <c r="AD200" s="248"/>
      <c r="AE200" s="262"/>
      <c r="AF200" s="262"/>
      <c r="AG200" s="248"/>
      <c r="AH200" s="255"/>
      <c r="AI200" s="255"/>
      <c r="AJ200" s="255"/>
    </row>
    <row r="201" spans="1:36" ht="14.5" customHeight="1" x14ac:dyDescent="0.35">
      <c r="A201" s="248"/>
      <c r="B201" s="248"/>
      <c r="C201" s="242"/>
      <c r="D201" s="242"/>
      <c r="E201" s="248"/>
      <c r="F201" s="246"/>
      <c r="G201" s="46" t="s">
        <v>209</v>
      </c>
      <c r="H201" s="293"/>
      <c r="I201" s="71" t="s">
        <v>122</v>
      </c>
      <c r="J201" s="293"/>
      <c r="K201" s="293"/>
      <c r="L201" s="293"/>
      <c r="M201" s="293"/>
      <c r="N201" s="293"/>
      <c r="O201" s="293"/>
      <c r="P201" s="293"/>
      <c r="Q201" s="293"/>
      <c r="R201" s="293"/>
      <c r="S201" s="259"/>
      <c r="T201" s="68">
        <f>IF($S$195="","",IF(COUNT(J201:R201)=0,"",IF(MAX(J201:R201)&gt;3,$I201,"")))</f>
      </c>
      <c r="U201" s="248"/>
      <c r="V201" s="251"/>
      <c r="W201" s="248"/>
      <c r="X201" s="248"/>
      <c r="Y201" s="262"/>
      <c r="Z201" s="262"/>
      <c r="AA201" s="248"/>
      <c r="AB201" s="248"/>
      <c r="AC201" s="246"/>
      <c r="AD201" s="248"/>
      <c r="AE201" s="262"/>
      <c r="AF201" s="262"/>
      <c r="AG201" s="248"/>
      <c r="AH201" s="255"/>
      <c r="AI201" s="255"/>
      <c r="AJ201" s="255"/>
    </row>
    <row r="202" spans="1:36" ht="14.5" customHeight="1" x14ac:dyDescent="0.35">
      <c r="A202" s="252">
        <v>29</v>
      </c>
      <c r="B202" s="264">
        <f>IF($E202="","","BIA-"&amp;TEXT(29,"000"))</f>
      </c>
      <c r="C202" s="240">
        <f>IFERROR(INDEX(BusinessUnits1,MATCH($A202,'04. Products &amp; Services'!$N$5:$N$49,0)),"")</f>
      </c>
      <c r="D202" s="240">
        <f>IFERROR(INDEX(DivisionSites,MATCH($A202,'04. Products &amp; Services'!$N$5:$N$49,0)),"")</f>
      </c>
      <c r="E202" s="253">
        <f>IFERROR(INDEX(ScopeNames,MATCH($A202,'04. Products &amp; Services'!$N$5:$N$49,0)),"")</f>
      </c>
      <c r="F202" s="265">
        <f>IF($E202="","",IFERROR(IF(INDEX(PS_ID,MATCH($E202,ScopeNames,0))="","",INDEX(PS_ID,MATCH($E202,ScopeNames,0))),""))</f>
      </c>
      <c r="G202" s="46" t="s">
        <v>205</v>
      </c>
      <c r="H202" s="293"/>
      <c r="I202" s="71" t="s">
        <v>116</v>
      </c>
      <c r="J202" s="293"/>
      <c r="K202" s="293"/>
      <c r="L202" s="293"/>
      <c r="M202" s="293"/>
      <c r="N202" s="293"/>
      <c r="O202" s="293"/>
      <c r="P202" s="293"/>
      <c r="Q202" s="293"/>
      <c r="R202" s="293"/>
      <c r="S202" s="257">
        <f>IF(COUNT(J202:R208)=0,"",MAX(J202:R208))</f>
      </c>
      <c r="T202" s="68">
        <f>IF($S$202="","",IF(COUNT(J202:R202)=0,"",IF(MAX(J202:R202)&gt;3,$I202,"")))</f>
      </c>
      <c r="U202" s="249">
        <f>IF($E202="","",IFERROR(IF(INDEX('04. Products &amp; Services'!$J$5:$J$49,MATCH($A202,'04. Products &amp; Services'!$N$5:$N$49,0))="","",INDEX('04. Products &amp; Services'!$J$5:$J$49,MATCH($A202,'04. Products &amp; Services'!$N$5:$N$49,0))),""))</f>
      </c>
      <c r="V202" s="299"/>
      <c r="W202" s="247">
        <f>IF($E202="","",IF(OR($U202="Yes",$V202="Yes"),"Yes",IF(AND($U202="No",$V202="No"),"No",IF(AND($U202="Under Evaluation",$V202="No"),"Under Evaluation",""))))</f>
      </c>
      <c r="X202" s="270">
        <f>IF($E202="","",IFERROR(IF(INDEX('04. Products &amp; Services'!$K$5:$K$49,MATCH($A202,'04. Products &amp; Services'!$N$5:$N$49,0))="","",INDEX('04. Products &amp; Services'!$K$5:$K$49,MATCH($A202,'04. Products &amp; Services'!$N$5:$N$49,0))),""))</f>
      </c>
      <c r="Y202" s="269"/>
      <c r="Z202" s="269"/>
      <c r="AA202" s="247">
        <f>IF($E202="","",IF(COUNT(J202:R208)=0,"",IF(MAX(J202:J208)&gt;=4,6,IF(MAX(K202:K208)&gt;=4,18,IF(MAX(L202:L208)&gt;=4,36,IF(MAX(M202:M208)&gt;=4,72,IF(MAX(N202:N208)&gt;=4,168,IF(MAX(O202:O208)&gt;=4,336,IF(MAX(P202:P208)&gt;=4,504,IF(MAX(Q202:Q208)&gt;=4,672,IF(MAX(R202:R208)&gt;=4,"","")))))))))))</f>
      </c>
      <c r="AB202" s="247">
        <f>IF($E202="","",IFERROR(IF(INDEX('04. Products &amp; Services'!$M$5:$M$49,MATCH($A202,'04. Products &amp; Services'!$N$5:$N$49,0))="","",INDEX('04. Products &amp; Services'!$M$5:$M$49,MATCH($A202,'04. Products &amp; Services'!$N$5:$N$49,0))),""))</f>
      </c>
      <c r="AC202" s="245"/>
      <c r="AD202" s="260">
        <f>IF(AC202="","",IF(ISNUMBER(AC202),AC202,IFERROR(VALUE(LEFT(TRIM(AC202),FIND(" ",TRIM(AC202))-1))*VLOOKUP(LEFT(LOWER(TRIM(MID(TRIM(AC202),FIND(" ",TRIM(AC202))+1,99))),3),DurationUnits,2,FALSE),"")))</f>
      </c>
      <c r="AE202" s="261"/>
      <c r="AF202" s="263"/>
      <c r="AG202" s="256">
        <f>IF($AF202="","",EDATE($AF202,12))</f>
      </c>
      <c r="AH202" s="254" cm="1">
        <f t="array" ref="AH202">IF($B202="","",_xlfn.LET(_xlpm.ids,'15. BCM Risk Register'!$A$6:$A$65,_xlpm.links,'15. BCM Risk Register'!$I$6:$I$65,_xlpm.hit,ISNUMBER(SEARCH(","&amp;$B202&amp;",",","&amp;SUBSTITUTE(_xlpm.links," ","")&amp;",")),IFERROR(_xlfn.TEXTJOIN(", ",TRUE,_xlfn.UNIQUE(_xlfn._xlws.FILTER(_xlpm.ids,_xlpm.hit*(_xlpm.ids&lt;&gt;"")))),"Not Created")))</f>
      </c>
      <c r="AI202" s="254" cm="1">
        <f t="array" ref="AI202">IF($B202="","",_xlfn.LET(_xlpm.ids,'15. BCM Risk Register'!$L$6:$L$65,_xlpm.links,'15. BCM Risk Register'!$I$6:$I$65,_xlpm.hit,ISNUMBER(SEARCH(","&amp;$B202&amp;",",","&amp;SUBSTITUTE(_xlpm.links," ","")&amp;",")),IFERROR(_xlfn.TEXTJOIN(", ",TRUE,_xlfn.UNIQUE(_xlfn._xlws.FILTER(_xlpm.ids,_xlpm.hit*(_xlpm.ids&lt;&gt;"")*(_xlpm.ids&lt;&gt;"Not Created")))),"Not Created")))</f>
      </c>
      <c r="AJ202" s="254" cm="1">
        <f t="array" ref="AJ202">IF($B202="","",_xlfn.LET(_xlpm.ids,'15. BCM Risk Register'!$K$6:$K$65,_xlpm.links,'15. BCM Risk Register'!$I$6:$I$65,_xlpm.hit,ISNUMBER(SEARCH(","&amp;$B202&amp;",",","&amp;SUBSTITUTE(_xlpm.links," ","")&amp;",")),IFERROR(_xlfn.TEXTJOIN(", ",TRUE,_xlfn.UNIQUE(_xlfn._xlws.FILTER(_xlpm.ids,_xlpm.hit*(_xlpm.ids&lt;&gt;"")*(_xlpm.ids&lt;&gt;"Not Created")))),"Not Created")))</f>
      </c>
    </row>
    <row r="203" spans="1:36" ht="14.5" customHeight="1" x14ac:dyDescent="0.35">
      <c r="A203" s="248"/>
      <c r="B203" s="248"/>
      <c r="C203" s="241"/>
      <c r="D203" s="241"/>
      <c r="E203" s="248"/>
      <c r="F203" s="246"/>
      <c r="G203" s="46" t="s">
        <v>160</v>
      </c>
      <c r="H203" s="293"/>
      <c r="I203" s="71" t="s">
        <v>117</v>
      </c>
      <c r="J203" s="293"/>
      <c r="K203" s="293"/>
      <c r="L203" s="293"/>
      <c r="M203" s="293"/>
      <c r="N203" s="293"/>
      <c r="O203" s="293"/>
      <c r="P203" s="293"/>
      <c r="Q203" s="293"/>
      <c r="R203" s="293"/>
      <c r="S203" s="258"/>
      <c r="T203" s="68">
        <f>IF($S$202="","",IF(COUNT(J203:R203)=0,"",IF(MAX(J203:R203)&gt;3,$I203,"")))</f>
      </c>
      <c r="U203" s="248"/>
      <c r="V203" s="251"/>
      <c r="W203" s="248"/>
      <c r="X203" s="248"/>
      <c r="Y203" s="262"/>
      <c r="Z203" s="262"/>
      <c r="AA203" s="248"/>
      <c r="AB203" s="248"/>
      <c r="AC203" s="246"/>
      <c r="AD203" s="248"/>
      <c r="AE203" s="262"/>
      <c r="AF203" s="262"/>
      <c r="AG203" s="248"/>
      <c r="AH203" s="255"/>
      <c r="AI203" s="255"/>
      <c r="AJ203" s="255"/>
    </row>
    <row r="204" spans="1:36" ht="14.5" customHeight="1" x14ac:dyDescent="0.35">
      <c r="A204" s="248"/>
      <c r="B204" s="248"/>
      <c r="C204" s="241"/>
      <c r="D204" s="241"/>
      <c r="E204" s="248"/>
      <c r="F204" s="246"/>
      <c r="G204" s="46" t="s">
        <v>206</v>
      </c>
      <c r="H204" s="293"/>
      <c r="I204" s="71" t="s">
        <v>118</v>
      </c>
      <c r="J204" s="293"/>
      <c r="K204" s="293"/>
      <c r="L204" s="293"/>
      <c r="M204" s="293"/>
      <c r="N204" s="293"/>
      <c r="O204" s="293"/>
      <c r="P204" s="293"/>
      <c r="Q204" s="293"/>
      <c r="R204" s="293"/>
      <c r="S204" s="258"/>
      <c r="T204" s="68">
        <f>IF($S$202="","",IF(COUNT(J204:R204)=0,"",IF(MAX(J204:R204)&gt;3,$I204,"")))</f>
      </c>
      <c r="U204" s="248"/>
      <c r="V204" s="251"/>
      <c r="W204" s="248"/>
      <c r="X204" s="248"/>
      <c r="Y204" s="262"/>
      <c r="Z204" s="262"/>
      <c r="AA204" s="248"/>
      <c r="AB204" s="248"/>
      <c r="AC204" s="246"/>
      <c r="AD204" s="248"/>
      <c r="AE204" s="262"/>
      <c r="AF204" s="262"/>
      <c r="AG204" s="248"/>
      <c r="AH204" s="255"/>
      <c r="AI204" s="255"/>
      <c r="AJ204" s="255"/>
    </row>
    <row r="205" spans="1:36" ht="14.5" customHeight="1" x14ac:dyDescent="0.35">
      <c r="A205" s="248"/>
      <c r="B205" s="248"/>
      <c r="C205" s="241"/>
      <c r="D205" s="241"/>
      <c r="E205" s="248"/>
      <c r="F205" s="246"/>
      <c r="G205" s="46" t="s">
        <v>207</v>
      </c>
      <c r="H205" s="293"/>
      <c r="I205" s="71" t="s">
        <v>119</v>
      </c>
      <c r="J205" s="293"/>
      <c r="K205" s="293"/>
      <c r="L205" s="293"/>
      <c r="M205" s="293"/>
      <c r="N205" s="293"/>
      <c r="O205" s="293"/>
      <c r="P205" s="293"/>
      <c r="Q205" s="293"/>
      <c r="R205" s="293"/>
      <c r="S205" s="258"/>
      <c r="T205" s="68">
        <f>IF($S$202="","",IF(COUNT(J205:R205)=0,"",IF(MAX(J205:R205)&gt;3,$I205,"")))</f>
      </c>
      <c r="U205" s="248"/>
      <c r="V205" s="251"/>
      <c r="W205" s="248"/>
      <c r="X205" s="248"/>
      <c r="Y205" s="262"/>
      <c r="Z205" s="262"/>
      <c r="AA205" s="248"/>
      <c r="AB205" s="248"/>
      <c r="AC205" s="246"/>
      <c r="AD205" s="248"/>
      <c r="AE205" s="262"/>
      <c r="AF205" s="262"/>
      <c r="AG205" s="248"/>
      <c r="AH205" s="255"/>
      <c r="AI205" s="255"/>
      <c r="AJ205" s="255"/>
    </row>
    <row r="206" spans="1:36" ht="14.5" customHeight="1" x14ac:dyDescent="0.35">
      <c r="A206" s="248"/>
      <c r="B206" s="248"/>
      <c r="C206" s="241"/>
      <c r="D206" s="241"/>
      <c r="E206" s="248"/>
      <c r="F206" s="246"/>
      <c r="G206" s="46" t="s">
        <v>161</v>
      </c>
      <c r="H206" s="293"/>
      <c r="I206" s="71" t="s">
        <v>120</v>
      </c>
      <c r="J206" s="293"/>
      <c r="K206" s="293"/>
      <c r="L206" s="293"/>
      <c r="M206" s="293"/>
      <c r="N206" s="293"/>
      <c r="O206" s="293"/>
      <c r="P206" s="293"/>
      <c r="Q206" s="293"/>
      <c r="R206" s="293"/>
      <c r="S206" s="258"/>
      <c r="T206" s="68">
        <f>IF($S$202="","",IF(COUNT(J206:R206)=0,"",IF(MAX(J206:R206)&gt;3,$I206,"")))</f>
      </c>
      <c r="U206" s="248"/>
      <c r="V206" s="251"/>
      <c r="W206" s="248"/>
      <c r="X206" s="248"/>
      <c r="Y206" s="262"/>
      <c r="Z206" s="262"/>
      <c r="AA206" s="248"/>
      <c r="AB206" s="248"/>
      <c r="AC206" s="246"/>
      <c r="AD206" s="248"/>
      <c r="AE206" s="262"/>
      <c r="AF206" s="262"/>
      <c r="AG206" s="248"/>
      <c r="AH206" s="255"/>
      <c r="AI206" s="255"/>
      <c r="AJ206" s="255"/>
    </row>
    <row r="207" spans="1:36" ht="14.5" customHeight="1" x14ac:dyDescent="0.35">
      <c r="A207" s="248"/>
      <c r="B207" s="248"/>
      <c r="C207" s="241"/>
      <c r="D207" s="241"/>
      <c r="E207" s="248"/>
      <c r="F207" s="246"/>
      <c r="G207" s="46" t="s">
        <v>208</v>
      </c>
      <c r="H207" s="293"/>
      <c r="I207" s="71" t="s">
        <v>121</v>
      </c>
      <c r="J207" s="293"/>
      <c r="K207" s="293"/>
      <c r="L207" s="293"/>
      <c r="M207" s="293"/>
      <c r="N207" s="293"/>
      <c r="O207" s="293"/>
      <c r="P207" s="293"/>
      <c r="Q207" s="293"/>
      <c r="R207" s="293"/>
      <c r="S207" s="258"/>
      <c r="T207" s="68">
        <f>IF($S$202="","",IF(COUNT(J207:R207)=0,"",IF(MAX(J207:R207)&gt;3,$I207,"")))</f>
      </c>
      <c r="U207" s="248"/>
      <c r="V207" s="251"/>
      <c r="W207" s="248"/>
      <c r="X207" s="248"/>
      <c r="Y207" s="262"/>
      <c r="Z207" s="262"/>
      <c r="AA207" s="248"/>
      <c r="AB207" s="248"/>
      <c r="AC207" s="246"/>
      <c r="AD207" s="248"/>
      <c r="AE207" s="262"/>
      <c r="AF207" s="262"/>
      <c r="AG207" s="248"/>
      <c r="AH207" s="255"/>
      <c r="AI207" s="255"/>
      <c r="AJ207" s="255"/>
    </row>
    <row r="208" spans="1:36" ht="14.5" customHeight="1" x14ac:dyDescent="0.35">
      <c r="A208" s="248"/>
      <c r="B208" s="248"/>
      <c r="C208" s="242"/>
      <c r="D208" s="242"/>
      <c r="E208" s="248"/>
      <c r="F208" s="246"/>
      <c r="G208" s="46" t="s">
        <v>209</v>
      </c>
      <c r="H208" s="293"/>
      <c r="I208" s="71" t="s">
        <v>122</v>
      </c>
      <c r="J208" s="293"/>
      <c r="K208" s="293"/>
      <c r="L208" s="293"/>
      <c r="M208" s="293"/>
      <c r="N208" s="293"/>
      <c r="O208" s="293"/>
      <c r="P208" s="293"/>
      <c r="Q208" s="293"/>
      <c r="R208" s="293"/>
      <c r="S208" s="259"/>
      <c r="T208" s="68">
        <f>IF($S$202="","",IF(COUNT(J208:R208)=0,"",IF(MAX(J208:R208)&gt;3,$I208,"")))</f>
      </c>
      <c r="U208" s="248"/>
      <c r="V208" s="251"/>
      <c r="W208" s="248"/>
      <c r="X208" s="248"/>
      <c r="Y208" s="262"/>
      <c r="Z208" s="262"/>
      <c r="AA208" s="248"/>
      <c r="AB208" s="248"/>
      <c r="AC208" s="246"/>
      <c r="AD208" s="248"/>
      <c r="AE208" s="262"/>
      <c r="AF208" s="262"/>
      <c r="AG208" s="248"/>
      <c r="AH208" s="255"/>
      <c r="AI208" s="255"/>
      <c r="AJ208" s="255"/>
    </row>
    <row r="209" spans="1:36" ht="14.5" customHeight="1" x14ac:dyDescent="0.35">
      <c r="A209" s="252">
        <v>30</v>
      </c>
      <c r="B209" s="264">
        <f>IF($E209="","","BIA-"&amp;TEXT(30,"000"))</f>
      </c>
      <c r="C209" s="240">
        <f>IFERROR(INDEX(BusinessUnits1,MATCH($A209,'04. Products &amp; Services'!$N$5:$N$49,0)),"")</f>
      </c>
      <c r="D209" s="240">
        <f>IFERROR(INDEX(DivisionSites,MATCH($A209,'04. Products &amp; Services'!$N$5:$N$49,0)),"")</f>
      </c>
      <c r="E209" s="253">
        <f>IFERROR(INDEX(ScopeNames,MATCH($A209,'04. Products &amp; Services'!$N$5:$N$49,0)),"")</f>
      </c>
      <c r="F209" s="265">
        <f>IF($E209="","",IFERROR(IF(INDEX(PS_ID,MATCH($E209,ScopeNames,0))="","",INDEX(PS_ID,MATCH($E209,ScopeNames,0))),""))</f>
      </c>
      <c r="G209" s="46" t="s">
        <v>205</v>
      </c>
      <c r="H209" s="293"/>
      <c r="I209" s="71" t="s">
        <v>116</v>
      </c>
      <c r="J209" s="293"/>
      <c r="K209" s="293"/>
      <c r="L209" s="293"/>
      <c r="M209" s="293"/>
      <c r="N209" s="293"/>
      <c r="O209" s="293"/>
      <c r="P209" s="293"/>
      <c r="Q209" s="293"/>
      <c r="R209" s="293"/>
      <c r="S209" s="257">
        <f>IF(COUNT(J209:R215)=0,"",MAX(J209:R215))</f>
      </c>
      <c r="T209" s="68">
        <f>IF($S$209="","",IF(COUNT(J209:R209)=0,"",IF(MAX(J209:R209)&gt;3,$I209,"")))</f>
      </c>
      <c r="U209" s="249">
        <f>IF($E209="","",IFERROR(IF(INDEX('04. Products &amp; Services'!$J$5:$J$49,MATCH($A209,'04. Products &amp; Services'!$N$5:$N$49,0))="","",INDEX('04. Products &amp; Services'!$J$5:$J$49,MATCH($A209,'04. Products &amp; Services'!$N$5:$N$49,0))),""))</f>
      </c>
      <c r="V209" s="299"/>
      <c r="W209" s="247">
        <f>IF($E209="","",IF(OR($U209="Yes",$V209="Yes"),"Yes",IF(AND($U209="No",$V209="No"),"No",IF(AND($U209="Under Evaluation",$V209="No"),"Under Evaluation",""))))</f>
      </c>
      <c r="X209" s="270">
        <f>IF($E209="","",IFERROR(IF(INDEX('04. Products &amp; Services'!$K$5:$K$49,MATCH($A209,'04. Products &amp; Services'!$N$5:$N$49,0))="","",INDEX('04. Products &amp; Services'!$K$5:$K$49,MATCH($A209,'04. Products &amp; Services'!$N$5:$N$49,0))),""))</f>
      </c>
      <c r="Y209" s="269"/>
      <c r="Z209" s="269"/>
      <c r="AA209" s="247">
        <f>IF($E209="","",IF(COUNT(J209:R215)=0,"",IF(MAX(J209:J215)&gt;=4,6,IF(MAX(K209:K215)&gt;=4,18,IF(MAX(L209:L215)&gt;=4,36,IF(MAX(M209:M215)&gt;=4,72,IF(MAX(N209:N215)&gt;=4,168,IF(MAX(O209:O215)&gt;=4,336,IF(MAX(P209:P215)&gt;=4,504,IF(MAX(Q209:Q215)&gt;=4,672,IF(MAX(R209:R215)&gt;=4,"","")))))))))))</f>
      </c>
      <c r="AB209" s="247">
        <f>IF($E209="","",IFERROR(IF(INDEX('04. Products &amp; Services'!$M$5:$M$49,MATCH($A209,'04. Products &amp; Services'!$N$5:$N$49,0))="","",INDEX('04. Products &amp; Services'!$M$5:$M$49,MATCH($A209,'04. Products &amp; Services'!$N$5:$N$49,0))),""))</f>
      </c>
      <c r="AC209" s="245"/>
      <c r="AD209" s="260">
        <f>IF(AC209="","",IF(ISNUMBER(AC209),AC209,IFERROR(VALUE(LEFT(TRIM(AC209),FIND(" ",TRIM(AC209))-1))*VLOOKUP(LEFT(LOWER(TRIM(MID(TRIM(AC209),FIND(" ",TRIM(AC209))+1,99))),3),DurationUnits,2,FALSE),"")))</f>
      </c>
      <c r="AE209" s="261"/>
      <c r="AF209" s="263"/>
      <c r="AG209" s="256">
        <f>IF($AF209="","",EDATE($AF209,12))</f>
      </c>
      <c r="AH209" s="254" cm="1">
        <f t="array" ref="AH209">IF($B209="","",_xlfn.LET(_xlpm.ids,'15. BCM Risk Register'!$A$6:$A$65,_xlpm.links,'15. BCM Risk Register'!$I$6:$I$65,_xlpm.hit,ISNUMBER(SEARCH(","&amp;$B209&amp;",",","&amp;SUBSTITUTE(_xlpm.links," ","")&amp;",")),IFERROR(_xlfn.TEXTJOIN(", ",TRUE,_xlfn.UNIQUE(_xlfn._xlws.FILTER(_xlpm.ids,_xlpm.hit*(_xlpm.ids&lt;&gt;"")))),"Not Created")))</f>
      </c>
      <c r="AI209" s="254" cm="1">
        <f t="array" ref="AI209">IF($B209="","",_xlfn.LET(_xlpm.ids,'15. BCM Risk Register'!$L$6:$L$65,_xlpm.links,'15. BCM Risk Register'!$I$6:$I$65,_xlpm.hit,ISNUMBER(SEARCH(","&amp;$B209&amp;",",","&amp;SUBSTITUTE(_xlpm.links," ","")&amp;",")),IFERROR(_xlfn.TEXTJOIN(", ",TRUE,_xlfn.UNIQUE(_xlfn._xlws.FILTER(_xlpm.ids,_xlpm.hit*(_xlpm.ids&lt;&gt;"")*(_xlpm.ids&lt;&gt;"Not Created")))),"Not Created")))</f>
      </c>
      <c r="AJ209" s="254" cm="1">
        <f t="array" ref="AJ209">IF($B209="","",_xlfn.LET(_xlpm.ids,'15. BCM Risk Register'!$K$6:$K$65,_xlpm.links,'15. BCM Risk Register'!$I$6:$I$65,_xlpm.hit,ISNUMBER(SEARCH(","&amp;$B209&amp;",",","&amp;SUBSTITUTE(_xlpm.links," ","")&amp;",")),IFERROR(_xlfn.TEXTJOIN(", ",TRUE,_xlfn.UNIQUE(_xlfn._xlws.FILTER(_xlpm.ids,_xlpm.hit*(_xlpm.ids&lt;&gt;"")*(_xlpm.ids&lt;&gt;"Not Created")))),"Not Created")))</f>
      </c>
    </row>
    <row r="210" spans="1:36" ht="14.5" customHeight="1" x14ac:dyDescent="0.35">
      <c r="A210" s="248"/>
      <c r="B210" s="248"/>
      <c r="C210" s="241"/>
      <c r="D210" s="241"/>
      <c r="E210" s="248"/>
      <c r="F210" s="246"/>
      <c r="G210" s="46" t="s">
        <v>160</v>
      </c>
      <c r="H210" s="293"/>
      <c r="I210" s="71" t="s">
        <v>117</v>
      </c>
      <c r="J210" s="293"/>
      <c r="K210" s="293"/>
      <c r="L210" s="293"/>
      <c r="M210" s="293"/>
      <c r="N210" s="293"/>
      <c r="O210" s="293"/>
      <c r="P210" s="293"/>
      <c r="Q210" s="293"/>
      <c r="R210" s="293"/>
      <c r="S210" s="258"/>
      <c r="T210" s="68">
        <f>IF($S$209="","",IF(COUNT(J210:R210)=0,"",IF(MAX(J210:R210)&gt;3,$I210,"")))</f>
      </c>
      <c r="U210" s="248"/>
      <c r="V210" s="251"/>
      <c r="W210" s="248"/>
      <c r="X210" s="248"/>
      <c r="Y210" s="262"/>
      <c r="Z210" s="262"/>
      <c r="AA210" s="248"/>
      <c r="AB210" s="248"/>
      <c r="AC210" s="246"/>
      <c r="AD210" s="248"/>
      <c r="AE210" s="262"/>
      <c r="AF210" s="262"/>
      <c r="AG210" s="248"/>
      <c r="AH210" s="255"/>
      <c r="AI210" s="255"/>
      <c r="AJ210" s="255"/>
    </row>
    <row r="211" spans="1:36" ht="14.5" customHeight="1" x14ac:dyDescent="0.35">
      <c r="A211" s="248"/>
      <c r="B211" s="248"/>
      <c r="C211" s="241"/>
      <c r="D211" s="241"/>
      <c r="E211" s="248"/>
      <c r="F211" s="246"/>
      <c r="G211" s="46" t="s">
        <v>206</v>
      </c>
      <c r="H211" s="293"/>
      <c r="I211" s="71" t="s">
        <v>118</v>
      </c>
      <c r="J211" s="293"/>
      <c r="K211" s="293"/>
      <c r="L211" s="293"/>
      <c r="M211" s="293"/>
      <c r="N211" s="293"/>
      <c r="O211" s="293"/>
      <c r="P211" s="293"/>
      <c r="Q211" s="293"/>
      <c r="R211" s="293"/>
      <c r="S211" s="258"/>
      <c r="T211" s="68">
        <f>IF($S$209="","",IF(COUNT(J211:R211)=0,"",IF(MAX(J211:R211)&gt;3,$I211,"")))</f>
      </c>
      <c r="U211" s="248"/>
      <c r="V211" s="251"/>
      <c r="W211" s="248"/>
      <c r="X211" s="248"/>
      <c r="Y211" s="262"/>
      <c r="Z211" s="262"/>
      <c r="AA211" s="248"/>
      <c r="AB211" s="248"/>
      <c r="AC211" s="246"/>
      <c r="AD211" s="248"/>
      <c r="AE211" s="262"/>
      <c r="AF211" s="262"/>
      <c r="AG211" s="248"/>
      <c r="AH211" s="255"/>
      <c r="AI211" s="255"/>
      <c r="AJ211" s="255"/>
    </row>
    <row r="212" spans="1:36" ht="14.5" customHeight="1" x14ac:dyDescent="0.35">
      <c r="A212" s="248"/>
      <c r="B212" s="248"/>
      <c r="C212" s="241"/>
      <c r="D212" s="241"/>
      <c r="E212" s="248"/>
      <c r="F212" s="246"/>
      <c r="G212" s="46" t="s">
        <v>207</v>
      </c>
      <c r="H212" s="293"/>
      <c r="I212" s="71" t="s">
        <v>119</v>
      </c>
      <c r="J212" s="293"/>
      <c r="K212" s="293"/>
      <c r="L212" s="293"/>
      <c r="M212" s="293"/>
      <c r="N212" s="293"/>
      <c r="O212" s="293"/>
      <c r="P212" s="293"/>
      <c r="Q212" s="293"/>
      <c r="R212" s="293"/>
      <c r="S212" s="258"/>
      <c r="T212" s="68">
        <f>IF($S$209="","",IF(COUNT(J212:R212)=0,"",IF(MAX(J212:R212)&gt;3,$I212,"")))</f>
      </c>
      <c r="U212" s="248"/>
      <c r="V212" s="251"/>
      <c r="W212" s="248"/>
      <c r="X212" s="248"/>
      <c r="Y212" s="262"/>
      <c r="Z212" s="262"/>
      <c r="AA212" s="248"/>
      <c r="AB212" s="248"/>
      <c r="AC212" s="246"/>
      <c r="AD212" s="248"/>
      <c r="AE212" s="262"/>
      <c r="AF212" s="262"/>
      <c r="AG212" s="248"/>
      <c r="AH212" s="255"/>
      <c r="AI212" s="255"/>
      <c r="AJ212" s="255"/>
    </row>
    <row r="213" spans="1:36" ht="14.5" customHeight="1" x14ac:dyDescent="0.35">
      <c r="A213" s="248"/>
      <c r="B213" s="248"/>
      <c r="C213" s="241"/>
      <c r="D213" s="241"/>
      <c r="E213" s="248"/>
      <c r="F213" s="246"/>
      <c r="G213" s="46" t="s">
        <v>161</v>
      </c>
      <c r="H213" s="293"/>
      <c r="I213" s="71" t="s">
        <v>120</v>
      </c>
      <c r="J213" s="293"/>
      <c r="K213" s="293"/>
      <c r="L213" s="293"/>
      <c r="M213" s="293"/>
      <c r="N213" s="293"/>
      <c r="O213" s="293"/>
      <c r="P213" s="293"/>
      <c r="Q213" s="293"/>
      <c r="R213" s="293"/>
      <c r="S213" s="258"/>
      <c r="T213" s="68">
        <f>IF($S$209="","",IF(COUNT(J213:R213)=0,"",IF(MAX(J213:R213)&gt;3,$I213,"")))</f>
      </c>
      <c r="U213" s="248"/>
      <c r="V213" s="251"/>
      <c r="W213" s="248"/>
      <c r="X213" s="248"/>
      <c r="Y213" s="262"/>
      <c r="Z213" s="262"/>
      <c r="AA213" s="248"/>
      <c r="AB213" s="248"/>
      <c r="AC213" s="246"/>
      <c r="AD213" s="248"/>
      <c r="AE213" s="262"/>
      <c r="AF213" s="262"/>
      <c r="AG213" s="248"/>
      <c r="AH213" s="255"/>
      <c r="AI213" s="255"/>
      <c r="AJ213" s="255"/>
    </row>
    <row r="214" spans="1:36" ht="14.5" customHeight="1" x14ac:dyDescent="0.35">
      <c r="A214" s="248"/>
      <c r="B214" s="248"/>
      <c r="C214" s="241"/>
      <c r="D214" s="241"/>
      <c r="E214" s="248"/>
      <c r="F214" s="246"/>
      <c r="G214" s="46" t="s">
        <v>208</v>
      </c>
      <c r="H214" s="293"/>
      <c r="I214" s="71" t="s">
        <v>121</v>
      </c>
      <c r="J214" s="293"/>
      <c r="K214" s="293"/>
      <c r="L214" s="293"/>
      <c r="M214" s="293"/>
      <c r="N214" s="293"/>
      <c r="O214" s="293"/>
      <c r="P214" s="293"/>
      <c r="Q214" s="293"/>
      <c r="R214" s="293"/>
      <c r="S214" s="258"/>
      <c r="T214" s="68">
        <f>IF($S$209="","",IF(COUNT(J214:R214)=0,"",IF(MAX(J214:R214)&gt;3,$I214,"")))</f>
      </c>
      <c r="U214" s="248"/>
      <c r="V214" s="251"/>
      <c r="W214" s="248"/>
      <c r="X214" s="248"/>
      <c r="Y214" s="262"/>
      <c r="Z214" s="262"/>
      <c r="AA214" s="248"/>
      <c r="AB214" s="248"/>
      <c r="AC214" s="246"/>
      <c r="AD214" s="248"/>
      <c r="AE214" s="262"/>
      <c r="AF214" s="262"/>
      <c r="AG214" s="248"/>
      <c r="AH214" s="255"/>
      <c r="AI214" s="255"/>
      <c r="AJ214" s="255"/>
    </row>
    <row r="215" spans="1:36" ht="14.5" customHeight="1" x14ac:dyDescent="0.35">
      <c r="A215" s="248"/>
      <c r="B215" s="248"/>
      <c r="C215" s="242"/>
      <c r="D215" s="242"/>
      <c r="E215" s="248"/>
      <c r="F215" s="246"/>
      <c r="G215" s="46" t="s">
        <v>209</v>
      </c>
      <c r="H215" s="293"/>
      <c r="I215" s="71" t="s">
        <v>122</v>
      </c>
      <c r="J215" s="293"/>
      <c r="K215" s="293"/>
      <c r="L215" s="293"/>
      <c r="M215" s="293"/>
      <c r="N215" s="293"/>
      <c r="O215" s="293"/>
      <c r="P215" s="293"/>
      <c r="Q215" s="293"/>
      <c r="R215" s="293"/>
      <c r="S215" s="259"/>
      <c r="T215" s="68">
        <f>IF($S$209="","",IF(COUNT(J215:R215)=0,"",IF(MAX(J215:R215)&gt;3,$I215,"")))</f>
      </c>
      <c r="U215" s="248"/>
      <c r="V215" s="251"/>
      <c r="W215" s="248"/>
      <c r="X215" s="248"/>
      <c r="Y215" s="262"/>
      <c r="Z215" s="262"/>
      <c r="AA215" s="248"/>
      <c r="AB215" s="248"/>
      <c r="AC215" s="246"/>
      <c r="AD215" s="248"/>
      <c r="AE215" s="262"/>
      <c r="AF215" s="262"/>
      <c r="AG215" s="248"/>
      <c r="AH215" s="255"/>
      <c r="AI215" s="255"/>
      <c r="AJ215" s="255"/>
    </row>
    <row r="216" spans="1:36" ht="14.5" customHeight="1" x14ac:dyDescent="0.35">
      <c r="A216" s="252">
        <v>31</v>
      </c>
      <c r="B216" s="264">
        <f>IF($E216="","","BIA-"&amp;TEXT(31,"000"))</f>
      </c>
      <c r="C216" s="240">
        <f>IFERROR(INDEX(BusinessUnits1,MATCH($A216,'04. Products &amp; Services'!$N$5:$N$49,0)),"")</f>
      </c>
      <c r="D216" s="240">
        <f>IFERROR(INDEX(DivisionSites,MATCH($A216,'04. Products &amp; Services'!$N$5:$N$49,0)),"")</f>
      </c>
      <c r="E216" s="253">
        <f>IFERROR(INDEX(ScopeNames,MATCH($A216,'04. Products &amp; Services'!$N$5:$N$49,0)),"")</f>
      </c>
      <c r="F216" s="265">
        <f>IF($E216="","",IFERROR(IF(INDEX(PS_ID,MATCH($E216,ScopeNames,0))="","",INDEX(PS_ID,MATCH($E216,ScopeNames,0))),""))</f>
      </c>
      <c r="G216" s="46" t="s">
        <v>205</v>
      </c>
      <c r="H216" s="293"/>
      <c r="I216" s="71" t="s">
        <v>116</v>
      </c>
      <c r="J216" s="293"/>
      <c r="K216" s="293"/>
      <c r="L216" s="293"/>
      <c r="M216" s="293"/>
      <c r="N216" s="293"/>
      <c r="O216" s="293"/>
      <c r="P216" s="293"/>
      <c r="Q216" s="293"/>
      <c r="R216" s="293"/>
      <c r="S216" s="257">
        <f>IF(COUNT(J216:R222)=0,"",MAX(J216:R222))</f>
      </c>
      <c r="T216" s="68">
        <f>IF($S$216="","",IF(COUNT(J216:R216)=0,"",IF(MAX(J216:R216)&gt;3,$I216,"")))</f>
      </c>
      <c r="U216" s="249">
        <f>IF($E216="","",IFERROR(IF(INDEX('04. Products &amp; Services'!$J$5:$J$49,MATCH($A216,'04. Products &amp; Services'!$N$5:$N$49,0))="","",INDEX('04. Products &amp; Services'!$J$5:$J$49,MATCH($A216,'04. Products &amp; Services'!$N$5:$N$49,0))),""))</f>
      </c>
      <c r="V216" s="299"/>
      <c r="W216" s="247">
        <f>IF($E216="","",IF(OR($U216="Yes",$V216="Yes"),"Yes",IF(AND($U216="No",$V216="No"),"No",IF(AND($U216="Under Evaluation",$V216="No"),"Under Evaluation",""))))</f>
      </c>
      <c r="X216" s="270">
        <f>IF($E216="","",IFERROR(IF(INDEX('04. Products &amp; Services'!$K$5:$K$49,MATCH($A216,'04. Products &amp; Services'!$N$5:$N$49,0))="","",INDEX('04. Products &amp; Services'!$K$5:$K$49,MATCH($A216,'04. Products &amp; Services'!$N$5:$N$49,0))),""))</f>
      </c>
      <c r="Y216" s="269"/>
      <c r="Z216" s="269"/>
      <c r="AA216" s="247">
        <f>IF($E216="","",IF(COUNT(J216:R222)=0,"",IF(MAX(J216:J222)&gt;=4,6,IF(MAX(K216:K222)&gt;=4,18,IF(MAX(L216:L222)&gt;=4,36,IF(MAX(M216:M222)&gt;=4,72,IF(MAX(N216:N222)&gt;=4,168,IF(MAX(O216:O222)&gt;=4,336,IF(MAX(P216:P222)&gt;=4,504,IF(MAX(Q216:Q222)&gt;=4,672,IF(MAX(R216:R222)&gt;=4,"","")))))))))))</f>
      </c>
      <c r="AB216" s="247">
        <f>IF($E216="","",IFERROR(IF(INDEX('04. Products &amp; Services'!$M$5:$M$49,MATCH($A216,'04. Products &amp; Services'!$N$5:$N$49,0))="","",INDEX('04. Products &amp; Services'!$M$5:$M$49,MATCH($A216,'04. Products &amp; Services'!$N$5:$N$49,0))),""))</f>
      </c>
      <c r="AC216" s="245"/>
      <c r="AD216" s="260">
        <f>IF(AC216="","",IF(ISNUMBER(AC216),AC216,IFERROR(VALUE(LEFT(TRIM(AC216),FIND(" ",TRIM(AC216))-1))*VLOOKUP(LEFT(LOWER(TRIM(MID(TRIM(AC216),FIND(" ",TRIM(AC216))+1,99))),3),DurationUnits,2,FALSE),"")))</f>
      </c>
      <c r="AE216" s="261"/>
      <c r="AF216" s="263"/>
      <c r="AG216" s="256">
        <f>IF($AF216="","",EDATE($AF216,12))</f>
      </c>
      <c r="AH216" s="254" cm="1">
        <f t="array" ref="AH216">IF($B216="","",_xlfn.LET(_xlpm.ids,'15. BCM Risk Register'!$A$6:$A$65,_xlpm.links,'15. BCM Risk Register'!$I$6:$I$65,_xlpm.hit,ISNUMBER(SEARCH(","&amp;$B216&amp;",",","&amp;SUBSTITUTE(_xlpm.links," ","")&amp;",")),IFERROR(_xlfn.TEXTJOIN(", ",TRUE,_xlfn.UNIQUE(_xlfn._xlws.FILTER(_xlpm.ids,_xlpm.hit*(_xlpm.ids&lt;&gt;"")))),"Not Created")))</f>
      </c>
      <c r="AI216" s="254" cm="1">
        <f t="array" ref="AI216">IF($B216="","",_xlfn.LET(_xlpm.ids,'15. BCM Risk Register'!$L$6:$L$65,_xlpm.links,'15. BCM Risk Register'!$I$6:$I$65,_xlpm.hit,ISNUMBER(SEARCH(","&amp;$B216&amp;",",","&amp;SUBSTITUTE(_xlpm.links," ","")&amp;",")),IFERROR(_xlfn.TEXTJOIN(", ",TRUE,_xlfn.UNIQUE(_xlfn._xlws.FILTER(_xlpm.ids,_xlpm.hit*(_xlpm.ids&lt;&gt;"")*(_xlpm.ids&lt;&gt;"Not Created")))),"Not Created")))</f>
      </c>
      <c r="AJ216" s="254" cm="1">
        <f t="array" ref="AJ216">IF($B216="","",_xlfn.LET(_xlpm.ids,'15. BCM Risk Register'!$K$6:$K$65,_xlpm.links,'15. BCM Risk Register'!$I$6:$I$65,_xlpm.hit,ISNUMBER(SEARCH(","&amp;$B216&amp;",",","&amp;SUBSTITUTE(_xlpm.links," ","")&amp;",")),IFERROR(_xlfn.TEXTJOIN(", ",TRUE,_xlfn.UNIQUE(_xlfn._xlws.FILTER(_xlpm.ids,_xlpm.hit*(_xlpm.ids&lt;&gt;"")*(_xlpm.ids&lt;&gt;"Not Created")))),"Not Created")))</f>
      </c>
    </row>
    <row r="217" spans="1:36" ht="14.5" customHeight="1" x14ac:dyDescent="0.35">
      <c r="A217" s="248"/>
      <c r="B217" s="248"/>
      <c r="C217" s="241"/>
      <c r="D217" s="241"/>
      <c r="E217" s="248"/>
      <c r="F217" s="246"/>
      <c r="G217" s="46" t="s">
        <v>160</v>
      </c>
      <c r="H217" s="293"/>
      <c r="I217" s="71" t="s">
        <v>117</v>
      </c>
      <c r="J217" s="293"/>
      <c r="K217" s="293"/>
      <c r="L217" s="293"/>
      <c r="M217" s="293"/>
      <c r="N217" s="293"/>
      <c r="O217" s="293"/>
      <c r="P217" s="293"/>
      <c r="Q217" s="293"/>
      <c r="R217" s="293"/>
      <c r="S217" s="258"/>
      <c r="T217" s="68">
        <f>IF($S$216="","",IF(COUNT(J217:R217)=0,"",IF(MAX(J217:R217)&gt;3,$I217,"")))</f>
      </c>
      <c r="U217" s="248"/>
      <c r="V217" s="251"/>
      <c r="W217" s="248"/>
      <c r="X217" s="248"/>
      <c r="Y217" s="262"/>
      <c r="Z217" s="262"/>
      <c r="AA217" s="248"/>
      <c r="AB217" s="248"/>
      <c r="AC217" s="246"/>
      <c r="AD217" s="248"/>
      <c r="AE217" s="262"/>
      <c r="AF217" s="262"/>
      <c r="AG217" s="248"/>
      <c r="AH217" s="255"/>
      <c r="AI217" s="255"/>
      <c r="AJ217" s="255"/>
    </row>
    <row r="218" spans="1:36" ht="14.5" customHeight="1" x14ac:dyDescent="0.35">
      <c r="A218" s="248"/>
      <c r="B218" s="248"/>
      <c r="C218" s="241"/>
      <c r="D218" s="241"/>
      <c r="E218" s="248"/>
      <c r="F218" s="246"/>
      <c r="G218" s="46" t="s">
        <v>206</v>
      </c>
      <c r="H218" s="293"/>
      <c r="I218" s="71" t="s">
        <v>118</v>
      </c>
      <c r="J218" s="293"/>
      <c r="K218" s="293"/>
      <c r="L218" s="293"/>
      <c r="M218" s="293"/>
      <c r="N218" s="293"/>
      <c r="O218" s="293"/>
      <c r="P218" s="293"/>
      <c r="Q218" s="293"/>
      <c r="R218" s="293"/>
      <c r="S218" s="258"/>
      <c r="T218" s="68">
        <f>IF($S$216="","",IF(COUNT(J218:R218)=0,"",IF(MAX(J218:R218)&gt;3,$I218,"")))</f>
      </c>
      <c r="U218" s="248"/>
      <c r="V218" s="251"/>
      <c r="W218" s="248"/>
      <c r="X218" s="248"/>
      <c r="Y218" s="262"/>
      <c r="Z218" s="262"/>
      <c r="AA218" s="248"/>
      <c r="AB218" s="248"/>
      <c r="AC218" s="246"/>
      <c r="AD218" s="248"/>
      <c r="AE218" s="262"/>
      <c r="AF218" s="262"/>
      <c r="AG218" s="248"/>
      <c r="AH218" s="255"/>
      <c r="AI218" s="255"/>
      <c r="AJ218" s="255"/>
    </row>
    <row r="219" spans="1:36" ht="14.5" customHeight="1" x14ac:dyDescent="0.35">
      <c r="A219" s="248"/>
      <c r="B219" s="248"/>
      <c r="C219" s="241"/>
      <c r="D219" s="241"/>
      <c r="E219" s="248"/>
      <c r="F219" s="246"/>
      <c r="G219" s="46" t="s">
        <v>207</v>
      </c>
      <c r="H219" s="293"/>
      <c r="I219" s="71" t="s">
        <v>119</v>
      </c>
      <c r="J219" s="293"/>
      <c r="K219" s="293"/>
      <c r="L219" s="293"/>
      <c r="M219" s="293"/>
      <c r="N219" s="293"/>
      <c r="O219" s="293"/>
      <c r="P219" s="293"/>
      <c r="Q219" s="293"/>
      <c r="R219" s="293"/>
      <c r="S219" s="258"/>
      <c r="T219" s="68">
        <f>IF($S$216="","",IF(COUNT(J219:R219)=0,"",IF(MAX(J219:R219)&gt;3,$I219,"")))</f>
      </c>
      <c r="U219" s="248"/>
      <c r="V219" s="251"/>
      <c r="W219" s="248"/>
      <c r="X219" s="248"/>
      <c r="Y219" s="262"/>
      <c r="Z219" s="262"/>
      <c r="AA219" s="248"/>
      <c r="AB219" s="248"/>
      <c r="AC219" s="246"/>
      <c r="AD219" s="248"/>
      <c r="AE219" s="262"/>
      <c r="AF219" s="262"/>
      <c r="AG219" s="248"/>
      <c r="AH219" s="255"/>
      <c r="AI219" s="255"/>
      <c r="AJ219" s="255"/>
    </row>
    <row r="220" spans="1:36" ht="14.5" customHeight="1" x14ac:dyDescent="0.35">
      <c r="A220" s="248"/>
      <c r="B220" s="248"/>
      <c r="C220" s="241"/>
      <c r="D220" s="241"/>
      <c r="E220" s="248"/>
      <c r="F220" s="246"/>
      <c r="G220" s="46" t="s">
        <v>161</v>
      </c>
      <c r="H220" s="293"/>
      <c r="I220" s="71" t="s">
        <v>120</v>
      </c>
      <c r="J220" s="293"/>
      <c r="K220" s="293"/>
      <c r="L220" s="293"/>
      <c r="M220" s="293"/>
      <c r="N220" s="293"/>
      <c r="O220" s="293"/>
      <c r="P220" s="293"/>
      <c r="Q220" s="293"/>
      <c r="R220" s="293"/>
      <c r="S220" s="258"/>
      <c r="T220" s="68">
        <f>IF($S$216="","",IF(COUNT(J220:R220)=0,"",IF(MAX(J220:R220)&gt;3,$I220,"")))</f>
      </c>
      <c r="U220" s="248"/>
      <c r="V220" s="251"/>
      <c r="W220" s="248"/>
      <c r="X220" s="248"/>
      <c r="Y220" s="262"/>
      <c r="Z220" s="262"/>
      <c r="AA220" s="248"/>
      <c r="AB220" s="248"/>
      <c r="AC220" s="246"/>
      <c r="AD220" s="248"/>
      <c r="AE220" s="262"/>
      <c r="AF220" s="262"/>
      <c r="AG220" s="248"/>
      <c r="AH220" s="255"/>
      <c r="AI220" s="255"/>
      <c r="AJ220" s="255"/>
    </row>
    <row r="221" spans="1:36" ht="14.5" customHeight="1" x14ac:dyDescent="0.35">
      <c r="A221" s="248"/>
      <c r="B221" s="248"/>
      <c r="C221" s="241"/>
      <c r="D221" s="241"/>
      <c r="E221" s="248"/>
      <c r="F221" s="246"/>
      <c r="G221" s="46" t="s">
        <v>208</v>
      </c>
      <c r="H221" s="293"/>
      <c r="I221" s="71" t="s">
        <v>121</v>
      </c>
      <c r="J221" s="293"/>
      <c r="K221" s="293"/>
      <c r="L221" s="293"/>
      <c r="M221" s="293"/>
      <c r="N221" s="293"/>
      <c r="O221" s="293"/>
      <c r="P221" s="293"/>
      <c r="Q221" s="293"/>
      <c r="R221" s="293"/>
      <c r="S221" s="258"/>
      <c r="T221" s="68">
        <f>IF($S$216="","",IF(COUNT(J221:R221)=0,"",IF(MAX(J221:R221)&gt;3,$I221,"")))</f>
      </c>
      <c r="U221" s="248"/>
      <c r="V221" s="251"/>
      <c r="W221" s="248"/>
      <c r="X221" s="248"/>
      <c r="Y221" s="262"/>
      <c r="Z221" s="262"/>
      <c r="AA221" s="248"/>
      <c r="AB221" s="248"/>
      <c r="AC221" s="246"/>
      <c r="AD221" s="248"/>
      <c r="AE221" s="262"/>
      <c r="AF221" s="262"/>
      <c r="AG221" s="248"/>
      <c r="AH221" s="255"/>
      <c r="AI221" s="255"/>
      <c r="AJ221" s="255"/>
    </row>
    <row r="222" spans="1:36" ht="14.5" customHeight="1" x14ac:dyDescent="0.35">
      <c r="A222" s="248"/>
      <c r="B222" s="248"/>
      <c r="C222" s="242"/>
      <c r="D222" s="242"/>
      <c r="E222" s="248"/>
      <c r="F222" s="246"/>
      <c r="G222" s="46" t="s">
        <v>209</v>
      </c>
      <c r="H222" s="293"/>
      <c r="I222" s="71" t="s">
        <v>122</v>
      </c>
      <c r="J222" s="293"/>
      <c r="K222" s="293"/>
      <c r="L222" s="293"/>
      <c r="M222" s="293"/>
      <c r="N222" s="293"/>
      <c r="O222" s="293"/>
      <c r="P222" s="293"/>
      <c r="Q222" s="293"/>
      <c r="R222" s="293"/>
      <c r="S222" s="259"/>
      <c r="T222" s="68">
        <f>IF($S$216="","",IF(COUNT(J222:R222)=0,"",IF(MAX(J222:R222)&gt;3,$I222,"")))</f>
      </c>
      <c r="U222" s="248"/>
      <c r="V222" s="251"/>
      <c r="W222" s="248"/>
      <c r="X222" s="248"/>
      <c r="Y222" s="262"/>
      <c r="Z222" s="262"/>
      <c r="AA222" s="248"/>
      <c r="AB222" s="248"/>
      <c r="AC222" s="246"/>
      <c r="AD222" s="248"/>
      <c r="AE222" s="262"/>
      <c r="AF222" s="262"/>
      <c r="AG222" s="248"/>
      <c r="AH222" s="255"/>
      <c r="AI222" s="255"/>
      <c r="AJ222" s="255"/>
    </row>
    <row r="223" spans="1:36" ht="14.5" customHeight="1" x14ac:dyDescent="0.35">
      <c r="A223" s="252">
        <v>32</v>
      </c>
      <c r="B223" s="264">
        <f>IF($E223="","","BIA-"&amp;TEXT(32,"000"))</f>
      </c>
      <c r="C223" s="240">
        <f>IFERROR(INDEX(BusinessUnits1,MATCH($A223,'04. Products &amp; Services'!$N$5:$N$49,0)),"")</f>
      </c>
      <c r="D223" s="240">
        <f>IFERROR(INDEX(DivisionSites,MATCH($A223,'04. Products &amp; Services'!$N$5:$N$49,0)),"")</f>
      </c>
      <c r="E223" s="253">
        <f>IFERROR(INDEX(ScopeNames,MATCH($A223,'04. Products &amp; Services'!$N$5:$N$49,0)),"")</f>
      </c>
      <c r="F223" s="265">
        <f>IF($E223="","",IFERROR(IF(INDEX(PS_ID,MATCH($E223,ScopeNames,0))="","",INDEX(PS_ID,MATCH($E223,ScopeNames,0))),""))</f>
      </c>
      <c r="G223" s="46" t="s">
        <v>205</v>
      </c>
      <c r="H223" s="293"/>
      <c r="I223" s="71" t="s">
        <v>116</v>
      </c>
      <c r="J223" s="293"/>
      <c r="K223" s="293"/>
      <c r="L223" s="293"/>
      <c r="M223" s="293"/>
      <c r="N223" s="293"/>
      <c r="O223" s="293"/>
      <c r="P223" s="293"/>
      <c r="Q223" s="293"/>
      <c r="R223" s="293"/>
      <c r="S223" s="257">
        <f>IF(COUNT(J223:R229)=0,"",MAX(J223:R229))</f>
      </c>
      <c r="T223" s="68">
        <f>IF($S$223="","",IF(COUNT(J223:R223)=0,"",IF(MAX(J223:R223)&gt;3,$I223,"")))</f>
      </c>
      <c r="U223" s="249">
        <f>IF($E223="","",IFERROR(IF(INDEX('04. Products &amp; Services'!$J$5:$J$49,MATCH($A223,'04. Products &amp; Services'!$N$5:$N$49,0))="","",INDEX('04. Products &amp; Services'!$J$5:$J$49,MATCH($A223,'04. Products &amp; Services'!$N$5:$N$49,0))),""))</f>
      </c>
      <c r="V223" s="299"/>
      <c r="W223" s="247">
        <f>IF($E223="","",IF(OR($U223="Yes",$V223="Yes"),"Yes",IF(AND($U223="No",$V223="No"),"No",IF(AND($U223="Under Evaluation",$V223="No"),"Under Evaluation",""))))</f>
      </c>
      <c r="X223" s="270">
        <f>IF($E223="","",IFERROR(IF(INDEX('04. Products &amp; Services'!$K$5:$K$49,MATCH($A223,'04. Products &amp; Services'!$N$5:$N$49,0))="","",INDEX('04. Products &amp; Services'!$K$5:$K$49,MATCH($A223,'04. Products &amp; Services'!$N$5:$N$49,0))),""))</f>
      </c>
      <c r="Y223" s="269"/>
      <c r="Z223" s="269"/>
      <c r="AA223" s="247">
        <f>IF($E223="","",IF(COUNT(J223:R229)=0,"",IF(MAX(J223:J229)&gt;=4,6,IF(MAX(K223:K229)&gt;=4,18,IF(MAX(L223:L229)&gt;=4,36,IF(MAX(M223:M229)&gt;=4,72,IF(MAX(N223:N229)&gt;=4,168,IF(MAX(O223:O229)&gt;=4,336,IF(MAX(P223:P229)&gt;=4,504,IF(MAX(Q223:Q229)&gt;=4,672,IF(MAX(R223:R229)&gt;=4,"","")))))))))))</f>
      </c>
      <c r="AB223" s="247">
        <f>IF($E223="","",IFERROR(IF(INDEX('04. Products &amp; Services'!$M$5:$M$49,MATCH($A223,'04. Products &amp; Services'!$N$5:$N$49,0))="","",INDEX('04. Products &amp; Services'!$M$5:$M$49,MATCH($A223,'04. Products &amp; Services'!$N$5:$N$49,0))),""))</f>
      </c>
      <c r="AC223" s="245"/>
      <c r="AD223" s="260">
        <f>IF(AC223="","",IF(ISNUMBER(AC223),AC223,IFERROR(VALUE(LEFT(TRIM(AC223),FIND(" ",TRIM(AC223))-1))*VLOOKUP(LEFT(LOWER(TRIM(MID(TRIM(AC223),FIND(" ",TRIM(AC223))+1,99))),3),DurationUnits,2,FALSE),"")))</f>
      </c>
      <c r="AE223" s="261"/>
      <c r="AF223" s="263"/>
      <c r="AG223" s="256">
        <f>IF($AF223="","",EDATE($AF223,12))</f>
      </c>
      <c r="AH223" s="254" cm="1">
        <f t="array" ref="AH223">IF($B223="","",_xlfn.LET(_xlpm.ids,'15. BCM Risk Register'!$A$6:$A$65,_xlpm.links,'15. BCM Risk Register'!$I$6:$I$65,_xlpm.hit,ISNUMBER(SEARCH(","&amp;$B223&amp;",",","&amp;SUBSTITUTE(_xlpm.links," ","")&amp;",")),IFERROR(_xlfn.TEXTJOIN(", ",TRUE,_xlfn.UNIQUE(_xlfn._xlws.FILTER(_xlpm.ids,_xlpm.hit*(_xlpm.ids&lt;&gt;"")))),"Not Created")))</f>
      </c>
      <c r="AI223" s="254" cm="1">
        <f t="array" ref="AI223">IF($B223="","",_xlfn.LET(_xlpm.ids,'15. BCM Risk Register'!$L$6:$L$65,_xlpm.links,'15. BCM Risk Register'!$I$6:$I$65,_xlpm.hit,ISNUMBER(SEARCH(","&amp;$B223&amp;",",","&amp;SUBSTITUTE(_xlpm.links," ","")&amp;",")),IFERROR(_xlfn.TEXTJOIN(", ",TRUE,_xlfn.UNIQUE(_xlfn._xlws.FILTER(_xlpm.ids,_xlpm.hit*(_xlpm.ids&lt;&gt;"")*(_xlpm.ids&lt;&gt;"Not Created")))),"Not Created")))</f>
      </c>
      <c r="AJ223" s="254" cm="1">
        <f t="array" ref="AJ223">IF($B223="","",_xlfn.LET(_xlpm.ids,'15. BCM Risk Register'!$K$6:$K$65,_xlpm.links,'15. BCM Risk Register'!$I$6:$I$65,_xlpm.hit,ISNUMBER(SEARCH(","&amp;$B223&amp;",",","&amp;SUBSTITUTE(_xlpm.links," ","")&amp;",")),IFERROR(_xlfn.TEXTJOIN(", ",TRUE,_xlfn.UNIQUE(_xlfn._xlws.FILTER(_xlpm.ids,_xlpm.hit*(_xlpm.ids&lt;&gt;"")*(_xlpm.ids&lt;&gt;"Not Created")))),"Not Created")))</f>
      </c>
    </row>
    <row r="224" spans="1:36" ht="14.5" customHeight="1" x14ac:dyDescent="0.35">
      <c r="A224" s="248"/>
      <c r="B224" s="248"/>
      <c r="C224" s="241"/>
      <c r="D224" s="241"/>
      <c r="E224" s="248"/>
      <c r="F224" s="246"/>
      <c r="G224" s="46" t="s">
        <v>160</v>
      </c>
      <c r="H224" s="293"/>
      <c r="I224" s="71" t="s">
        <v>117</v>
      </c>
      <c r="J224" s="293"/>
      <c r="K224" s="293"/>
      <c r="L224" s="293"/>
      <c r="M224" s="293"/>
      <c r="N224" s="293"/>
      <c r="O224" s="293"/>
      <c r="P224" s="293"/>
      <c r="Q224" s="293"/>
      <c r="R224" s="293"/>
      <c r="S224" s="258"/>
      <c r="T224" s="68">
        <f>IF($S$223="","",IF(COUNT(J224:R224)=0,"",IF(MAX(J224:R224)&gt;3,$I224,"")))</f>
      </c>
      <c r="U224" s="248"/>
      <c r="V224" s="251"/>
      <c r="W224" s="248"/>
      <c r="X224" s="248"/>
      <c r="Y224" s="262"/>
      <c r="Z224" s="262"/>
      <c r="AA224" s="248"/>
      <c r="AB224" s="248"/>
      <c r="AC224" s="246"/>
      <c r="AD224" s="248"/>
      <c r="AE224" s="262"/>
      <c r="AF224" s="262"/>
      <c r="AG224" s="248"/>
      <c r="AH224" s="255"/>
      <c r="AI224" s="255"/>
      <c r="AJ224" s="255"/>
    </row>
    <row r="225" spans="1:36" ht="14.5" customHeight="1" x14ac:dyDescent="0.35">
      <c r="A225" s="248"/>
      <c r="B225" s="248"/>
      <c r="C225" s="241"/>
      <c r="D225" s="241"/>
      <c r="E225" s="248"/>
      <c r="F225" s="246"/>
      <c r="G225" s="46" t="s">
        <v>206</v>
      </c>
      <c r="H225" s="293"/>
      <c r="I225" s="71" t="s">
        <v>118</v>
      </c>
      <c r="J225" s="293"/>
      <c r="K225" s="293"/>
      <c r="L225" s="293"/>
      <c r="M225" s="293"/>
      <c r="N225" s="293"/>
      <c r="O225" s="293"/>
      <c r="P225" s="293"/>
      <c r="Q225" s="293"/>
      <c r="R225" s="293"/>
      <c r="S225" s="258"/>
      <c r="T225" s="68">
        <f>IF($S$223="","",IF(COUNT(J225:R225)=0,"",IF(MAX(J225:R225)&gt;3,$I225,"")))</f>
      </c>
      <c r="U225" s="248"/>
      <c r="V225" s="251"/>
      <c r="W225" s="248"/>
      <c r="X225" s="248"/>
      <c r="Y225" s="262"/>
      <c r="Z225" s="262"/>
      <c r="AA225" s="248"/>
      <c r="AB225" s="248"/>
      <c r="AC225" s="246"/>
      <c r="AD225" s="248"/>
      <c r="AE225" s="262"/>
      <c r="AF225" s="262"/>
      <c r="AG225" s="248"/>
      <c r="AH225" s="255"/>
      <c r="AI225" s="255"/>
      <c r="AJ225" s="255"/>
    </row>
    <row r="226" spans="1:36" ht="14.5" customHeight="1" x14ac:dyDescent="0.35">
      <c r="A226" s="248"/>
      <c r="B226" s="248"/>
      <c r="C226" s="241"/>
      <c r="D226" s="241"/>
      <c r="E226" s="248"/>
      <c r="F226" s="246"/>
      <c r="G226" s="46" t="s">
        <v>207</v>
      </c>
      <c r="H226" s="293"/>
      <c r="I226" s="71" t="s">
        <v>119</v>
      </c>
      <c r="J226" s="293"/>
      <c r="K226" s="293"/>
      <c r="L226" s="293"/>
      <c r="M226" s="293"/>
      <c r="N226" s="293"/>
      <c r="O226" s="293"/>
      <c r="P226" s="293"/>
      <c r="Q226" s="293"/>
      <c r="R226" s="293"/>
      <c r="S226" s="258"/>
      <c r="T226" s="68">
        <f>IF($S$223="","",IF(COUNT(J226:R226)=0,"",IF(MAX(J226:R226)&gt;3,$I226,"")))</f>
      </c>
      <c r="U226" s="248"/>
      <c r="V226" s="251"/>
      <c r="W226" s="248"/>
      <c r="X226" s="248"/>
      <c r="Y226" s="262"/>
      <c r="Z226" s="262"/>
      <c r="AA226" s="248"/>
      <c r="AB226" s="248"/>
      <c r="AC226" s="246"/>
      <c r="AD226" s="248"/>
      <c r="AE226" s="262"/>
      <c r="AF226" s="262"/>
      <c r="AG226" s="248"/>
      <c r="AH226" s="255"/>
      <c r="AI226" s="255"/>
      <c r="AJ226" s="255"/>
    </row>
    <row r="227" spans="1:36" ht="14.5" customHeight="1" x14ac:dyDescent="0.35">
      <c r="A227" s="248"/>
      <c r="B227" s="248"/>
      <c r="C227" s="241"/>
      <c r="D227" s="241"/>
      <c r="E227" s="248"/>
      <c r="F227" s="246"/>
      <c r="G227" s="46" t="s">
        <v>161</v>
      </c>
      <c r="H227" s="293"/>
      <c r="I227" s="71" t="s">
        <v>120</v>
      </c>
      <c r="J227" s="293"/>
      <c r="K227" s="293"/>
      <c r="L227" s="293"/>
      <c r="M227" s="293"/>
      <c r="N227" s="293"/>
      <c r="O227" s="293"/>
      <c r="P227" s="293"/>
      <c r="Q227" s="293"/>
      <c r="R227" s="293"/>
      <c r="S227" s="258"/>
      <c r="T227" s="68">
        <f>IF($S$223="","",IF(COUNT(J227:R227)=0,"",IF(MAX(J227:R227)&gt;3,$I227,"")))</f>
      </c>
      <c r="U227" s="248"/>
      <c r="V227" s="251"/>
      <c r="W227" s="248"/>
      <c r="X227" s="248"/>
      <c r="Y227" s="262"/>
      <c r="Z227" s="262"/>
      <c r="AA227" s="248"/>
      <c r="AB227" s="248"/>
      <c r="AC227" s="246"/>
      <c r="AD227" s="248"/>
      <c r="AE227" s="262"/>
      <c r="AF227" s="262"/>
      <c r="AG227" s="248"/>
      <c r="AH227" s="255"/>
      <c r="AI227" s="255"/>
      <c r="AJ227" s="255"/>
    </row>
    <row r="228" spans="1:36" ht="14.5" customHeight="1" x14ac:dyDescent="0.35">
      <c r="A228" s="248"/>
      <c r="B228" s="248"/>
      <c r="C228" s="241"/>
      <c r="D228" s="241"/>
      <c r="E228" s="248"/>
      <c r="F228" s="246"/>
      <c r="G228" s="46" t="s">
        <v>208</v>
      </c>
      <c r="H228" s="293"/>
      <c r="I228" s="71" t="s">
        <v>121</v>
      </c>
      <c r="J228" s="293"/>
      <c r="K228" s="293"/>
      <c r="L228" s="293"/>
      <c r="M228" s="293"/>
      <c r="N228" s="293"/>
      <c r="O228" s="293"/>
      <c r="P228" s="293"/>
      <c r="Q228" s="293"/>
      <c r="R228" s="293"/>
      <c r="S228" s="258"/>
      <c r="T228" s="68">
        <f>IF($S$223="","",IF(COUNT(J228:R228)=0,"",IF(MAX(J228:R228)&gt;3,$I228,"")))</f>
      </c>
      <c r="U228" s="248"/>
      <c r="V228" s="251"/>
      <c r="W228" s="248"/>
      <c r="X228" s="248"/>
      <c r="Y228" s="262"/>
      <c r="Z228" s="262"/>
      <c r="AA228" s="248"/>
      <c r="AB228" s="248"/>
      <c r="AC228" s="246"/>
      <c r="AD228" s="248"/>
      <c r="AE228" s="262"/>
      <c r="AF228" s="262"/>
      <c r="AG228" s="248"/>
      <c r="AH228" s="255"/>
      <c r="AI228" s="255"/>
      <c r="AJ228" s="255"/>
    </row>
    <row r="229" spans="1:36" ht="14.5" customHeight="1" x14ac:dyDescent="0.35">
      <c r="A229" s="248"/>
      <c r="B229" s="248"/>
      <c r="C229" s="242"/>
      <c r="D229" s="242"/>
      <c r="E229" s="248"/>
      <c r="F229" s="246"/>
      <c r="G229" s="46" t="s">
        <v>209</v>
      </c>
      <c r="H229" s="293"/>
      <c r="I229" s="71" t="s">
        <v>122</v>
      </c>
      <c r="J229" s="293"/>
      <c r="K229" s="293"/>
      <c r="L229" s="293"/>
      <c r="M229" s="293"/>
      <c r="N229" s="293"/>
      <c r="O229" s="293"/>
      <c r="P229" s="293"/>
      <c r="Q229" s="293"/>
      <c r="R229" s="293"/>
      <c r="S229" s="259"/>
      <c r="T229" s="68">
        <f>IF($S$223="","",IF(COUNT(J229:R229)=0,"",IF(MAX(J229:R229)&gt;3,$I229,"")))</f>
      </c>
      <c r="U229" s="248"/>
      <c r="V229" s="251"/>
      <c r="W229" s="248"/>
      <c r="X229" s="248"/>
      <c r="Y229" s="262"/>
      <c r="Z229" s="262"/>
      <c r="AA229" s="248"/>
      <c r="AB229" s="248"/>
      <c r="AC229" s="246"/>
      <c r="AD229" s="248"/>
      <c r="AE229" s="262"/>
      <c r="AF229" s="262"/>
      <c r="AG229" s="248"/>
      <c r="AH229" s="255"/>
      <c r="AI229" s="255"/>
      <c r="AJ229" s="255"/>
    </row>
    <row r="230" spans="1:36" ht="14.5" customHeight="1" x14ac:dyDescent="0.35">
      <c r="A230" s="252">
        <v>33</v>
      </c>
      <c r="B230" s="264">
        <f>IF($E230="","","BIA-"&amp;TEXT(33,"000"))</f>
      </c>
      <c r="C230" s="240">
        <f>IFERROR(INDEX(BusinessUnits1,MATCH($A230,'04. Products &amp; Services'!$N$5:$N$49,0)),"")</f>
      </c>
      <c r="D230" s="240">
        <f>IFERROR(INDEX(DivisionSites,MATCH($A230,'04. Products &amp; Services'!$N$5:$N$49,0)),"")</f>
      </c>
      <c r="E230" s="253">
        <f>IFERROR(INDEX(ScopeNames,MATCH($A230,'04. Products &amp; Services'!$N$5:$N$49,0)),"")</f>
      </c>
      <c r="F230" s="265">
        <f>IF($E230="","",IFERROR(IF(INDEX(PS_ID,MATCH($E230,ScopeNames,0))="","",INDEX(PS_ID,MATCH($E230,ScopeNames,0))),""))</f>
      </c>
      <c r="G230" s="46" t="s">
        <v>205</v>
      </c>
      <c r="H230" s="293"/>
      <c r="I230" s="71" t="s">
        <v>116</v>
      </c>
      <c r="J230" s="293"/>
      <c r="K230" s="293"/>
      <c r="L230" s="293"/>
      <c r="M230" s="293"/>
      <c r="N230" s="293"/>
      <c r="O230" s="293"/>
      <c r="P230" s="293"/>
      <c r="Q230" s="293"/>
      <c r="R230" s="293"/>
      <c r="S230" s="257">
        <f>IF(COUNT(J230:R236)=0,"",MAX(J230:R236))</f>
      </c>
      <c r="T230" s="68">
        <f>IF($S$230="","",IF(COUNT(J230:R230)=0,"",IF(MAX(J230:R230)&gt;3,$I230,"")))</f>
      </c>
      <c r="U230" s="249">
        <f>IF($E230="","",IFERROR(IF(INDEX('04. Products &amp; Services'!$J$5:$J$49,MATCH($A230,'04. Products &amp; Services'!$N$5:$N$49,0))="","",INDEX('04. Products &amp; Services'!$J$5:$J$49,MATCH($A230,'04. Products &amp; Services'!$N$5:$N$49,0))),""))</f>
      </c>
      <c r="V230" s="299"/>
      <c r="W230" s="247">
        <f>IF($E230="","",IF(OR($U230="Yes",$V230="Yes"),"Yes",IF(AND($U230="No",$V230="No"),"No",IF(AND($U230="Under Evaluation",$V230="No"),"Under Evaluation",""))))</f>
      </c>
      <c r="X230" s="270">
        <f>IF($E230="","",IFERROR(IF(INDEX('04. Products &amp; Services'!$K$5:$K$49,MATCH($A230,'04. Products &amp; Services'!$N$5:$N$49,0))="","",INDEX('04. Products &amp; Services'!$K$5:$K$49,MATCH($A230,'04. Products &amp; Services'!$N$5:$N$49,0))),""))</f>
      </c>
      <c r="Y230" s="269"/>
      <c r="Z230" s="269"/>
      <c r="AA230" s="247">
        <f>IF($E230="","",IF(COUNT(J230:R236)=0,"",IF(MAX(J230:J236)&gt;=4,6,IF(MAX(K230:K236)&gt;=4,18,IF(MAX(L230:L236)&gt;=4,36,IF(MAX(M230:M236)&gt;=4,72,IF(MAX(N230:N236)&gt;=4,168,IF(MAX(O230:O236)&gt;=4,336,IF(MAX(P230:P236)&gt;=4,504,IF(MAX(Q230:Q236)&gt;=4,672,IF(MAX(R230:R236)&gt;=4,"","")))))))))))</f>
      </c>
      <c r="AB230" s="247">
        <f>IF($E230="","",IFERROR(IF(INDEX('04. Products &amp; Services'!$M$5:$M$49,MATCH($A230,'04. Products &amp; Services'!$N$5:$N$49,0))="","",INDEX('04. Products &amp; Services'!$M$5:$M$49,MATCH($A230,'04. Products &amp; Services'!$N$5:$N$49,0))),""))</f>
      </c>
      <c r="AC230" s="245"/>
      <c r="AD230" s="260">
        <f>IF(AC230="","",IF(ISNUMBER(AC230),AC230,IFERROR(VALUE(LEFT(TRIM(AC230),FIND(" ",TRIM(AC230))-1))*VLOOKUP(LEFT(LOWER(TRIM(MID(TRIM(AC230),FIND(" ",TRIM(AC230))+1,99))),3),DurationUnits,2,FALSE),"")))</f>
      </c>
      <c r="AE230" s="261"/>
      <c r="AF230" s="263"/>
      <c r="AG230" s="256">
        <f>IF($AF230="","",EDATE($AF230,12))</f>
      </c>
      <c r="AH230" s="254" cm="1">
        <f t="array" ref="AH230">IF($B230="","",_xlfn.LET(_xlpm.ids,'15. BCM Risk Register'!$A$6:$A$65,_xlpm.links,'15. BCM Risk Register'!$I$6:$I$65,_xlpm.hit,ISNUMBER(SEARCH(","&amp;$B230&amp;",",","&amp;SUBSTITUTE(_xlpm.links," ","")&amp;",")),IFERROR(_xlfn.TEXTJOIN(", ",TRUE,_xlfn.UNIQUE(_xlfn._xlws.FILTER(_xlpm.ids,_xlpm.hit*(_xlpm.ids&lt;&gt;"")))),"Not Created")))</f>
      </c>
      <c r="AI230" s="254" cm="1">
        <f t="array" ref="AI230">IF($B230="","",_xlfn.LET(_xlpm.ids,'15. BCM Risk Register'!$L$6:$L$65,_xlpm.links,'15. BCM Risk Register'!$I$6:$I$65,_xlpm.hit,ISNUMBER(SEARCH(","&amp;$B230&amp;",",","&amp;SUBSTITUTE(_xlpm.links," ","")&amp;",")),IFERROR(_xlfn.TEXTJOIN(", ",TRUE,_xlfn.UNIQUE(_xlfn._xlws.FILTER(_xlpm.ids,_xlpm.hit*(_xlpm.ids&lt;&gt;"")*(_xlpm.ids&lt;&gt;"Not Created")))),"Not Created")))</f>
      </c>
      <c r="AJ230" s="254" cm="1">
        <f t="array" ref="AJ230">IF($B230="","",_xlfn.LET(_xlpm.ids,'15. BCM Risk Register'!$K$6:$K$65,_xlpm.links,'15. BCM Risk Register'!$I$6:$I$65,_xlpm.hit,ISNUMBER(SEARCH(","&amp;$B230&amp;",",","&amp;SUBSTITUTE(_xlpm.links," ","")&amp;",")),IFERROR(_xlfn.TEXTJOIN(", ",TRUE,_xlfn.UNIQUE(_xlfn._xlws.FILTER(_xlpm.ids,_xlpm.hit*(_xlpm.ids&lt;&gt;"")*(_xlpm.ids&lt;&gt;"Not Created")))),"Not Created")))</f>
      </c>
    </row>
    <row r="231" spans="1:36" ht="14.5" customHeight="1" x14ac:dyDescent="0.35">
      <c r="A231" s="248"/>
      <c r="B231" s="248"/>
      <c r="C231" s="241"/>
      <c r="D231" s="241"/>
      <c r="E231" s="248"/>
      <c r="F231" s="246"/>
      <c r="G231" s="46" t="s">
        <v>160</v>
      </c>
      <c r="H231" s="293"/>
      <c r="I231" s="71" t="s">
        <v>117</v>
      </c>
      <c r="J231" s="293"/>
      <c r="K231" s="293"/>
      <c r="L231" s="293"/>
      <c r="M231" s="293"/>
      <c r="N231" s="293"/>
      <c r="O231" s="293"/>
      <c r="P231" s="293"/>
      <c r="Q231" s="293"/>
      <c r="R231" s="293"/>
      <c r="S231" s="258"/>
      <c r="T231" s="68">
        <f>IF($S$230="","",IF(COUNT(J231:R231)=0,"",IF(MAX(J231:R231)&gt;3,$I231,"")))</f>
      </c>
      <c r="U231" s="248"/>
      <c r="V231" s="251"/>
      <c r="W231" s="248"/>
      <c r="X231" s="248"/>
      <c r="Y231" s="262"/>
      <c r="Z231" s="262"/>
      <c r="AA231" s="248"/>
      <c r="AB231" s="248"/>
      <c r="AC231" s="246"/>
      <c r="AD231" s="248"/>
      <c r="AE231" s="262"/>
      <c r="AF231" s="262"/>
      <c r="AG231" s="248"/>
      <c r="AH231" s="255"/>
      <c r="AI231" s="255"/>
      <c r="AJ231" s="255"/>
    </row>
    <row r="232" spans="1:36" ht="14.5" customHeight="1" x14ac:dyDescent="0.35">
      <c r="A232" s="248"/>
      <c r="B232" s="248"/>
      <c r="C232" s="241"/>
      <c r="D232" s="241"/>
      <c r="E232" s="248"/>
      <c r="F232" s="246"/>
      <c r="G232" s="46" t="s">
        <v>206</v>
      </c>
      <c r="H232" s="293"/>
      <c r="I232" s="71" t="s">
        <v>118</v>
      </c>
      <c r="J232" s="293"/>
      <c r="K232" s="293"/>
      <c r="L232" s="293"/>
      <c r="M232" s="293"/>
      <c r="N232" s="293"/>
      <c r="O232" s="293"/>
      <c r="P232" s="293"/>
      <c r="Q232" s="293"/>
      <c r="R232" s="293"/>
      <c r="S232" s="258"/>
      <c r="T232" s="68">
        <f>IF($S$230="","",IF(COUNT(J232:R232)=0,"",IF(MAX(J232:R232)&gt;3,$I232,"")))</f>
      </c>
      <c r="U232" s="248"/>
      <c r="V232" s="251"/>
      <c r="W232" s="248"/>
      <c r="X232" s="248"/>
      <c r="Y232" s="262"/>
      <c r="Z232" s="262"/>
      <c r="AA232" s="248"/>
      <c r="AB232" s="248"/>
      <c r="AC232" s="246"/>
      <c r="AD232" s="248"/>
      <c r="AE232" s="262"/>
      <c r="AF232" s="262"/>
      <c r="AG232" s="248"/>
      <c r="AH232" s="255"/>
      <c r="AI232" s="255"/>
      <c r="AJ232" s="255"/>
    </row>
    <row r="233" spans="1:36" ht="14.5" customHeight="1" x14ac:dyDescent="0.35">
      <c r="A233" s="248"/>
      <c r="B233" s="248"/>
      <c r="C233" s="241"/>
      <c r="D233" s="241"/>
      <c r="E233" s="248"/>
      <c r="F233" s="246"/>
      <c r="G233" s="46" t="s">
        <v>207</v>
      </c>
      <c r="H233" s="293"/>
      <c r="I233" s="71" t="s">
        <v>119</v>
      </c>
      <c r="J233" s="293"/>
      <c r="K233" s="293"/>
      <c r="L233" s="293"/>
      <c r="M233" s="293"/>
      <c r="N233" s="293"/>
      <c r="O233" s="293"/>
      <c r="P233" s="293"/>
      <c r="Q233" s="293"/>
      <c r="R233" s="293"/>
      <c r="S233" s="258"/>
      <c r="T233" s="68">
        <f>IF($S$230="","",IF(COUNT(J233:R233)=0,"",IF(MAX(J233:R233)&gt;3,$I233,"")))</f>
      </c>
      <c r="U233" s="248"/>
      <c r="V233" s="251"/>
      <c r="W233" s="248"/>
      <c r="X233" s="248"/>
      <c r="Y233" s="262"/>
      <c r="Z233" s="262"/>
      <c r="AA233" s="248"/>
      <c r="AB233" s="248"/>
      <c r="AC233" s="246"/>
      <c r="AD233" s="248"/>
      <c r="AE233" s="262"/>
      <c r="AF233" s="262"/>
      <c r="AG233" s="248"/>
      <c r="AH233" s="255"/>
      <c r="AI233" s="255"/>
      <c r="AJ233" s="255"/>
    </row>
    <row r="234" spans="1:36" ht="14.5" customHeight="1" x14ac:dyDescent="0.35">
      <c r="A234" s="248"/>
      <c r="B234" s="248"/>
      <c r="C234" s="241"/>
      <c r="D234" s="241"/>
      <c r="E234" s="248"/>
      <c r="F234" s="246"/>
      <c r="G234" s="46" t="s">
        <v>161</v>
      </c>
      <c r="H234" s="293"/>
      <c r="I234" s="71" t="s">
        <v>120</v>
      </c>
      <c r="J234" s="293"/>
      <c r="K234" s="293"/>
      <c r="L234" s="293"/>
      <c r="M234" s="293"/>
      <c r="N234" s="293"/>
      <c r="O234" s="293"/>
      <c r="P234" s="293"/>
      <c r="Q234" s="293"/>
      <c r="R234" s="293"/>
      <c r="S234" s="258"/>
      <c r="T234" s="68">
        <f>IF($S$230="","",IF(COUNT(J234:R234)=0,"",IF(MAX(J234:R234)&gt;3,$I234,"")))</f>
      </c>
      <c r="U234" s="248"/>
      <c r="V234" s="251"/>
      <c r="W234" s="248"/>
      <c r="X234" s="248"/>
      <c r="Y234" s="262"/>
      <c r="Z234" s="262"/>
      <c r="AA234" s="248"/>
      <c r="AB234" s="248"/>
      <c r="AC234" s="246"/>
      <c r="AD234" s="248"/>
      <c r="AE234" s="262"/>
      <c r="AF234" s="262"/>
      <c r="AG234" s="248"/>
      <c r="AH234" s="255"/>
      <c r="AI234" s="255"/>
      <c r="AJ234" s="255"/>
    </row>
    <row r="235" spans="1:36" ht="14.5" customHeight="1" x14ac:dyDescent="0.35">
      <c r="A235" s="248"/>
      <c r="B235" s="248"/>
      <c r="C235" s="241"/>
      <c r="D235" s="241"/>
      <c r="E235" s="248"/>
      <c r="F235" s="246"/>
      <c r="G235" s="46" t="s">
        <v>208</v>
      </c>
      <c r="H235" s="293"/>
      <c r="I235" s="71" t="s">
        <v>121</v>
      </c>
      <c r="J235" s="293"/>
      <c r="K235" s="293"/>
      <c r="L235" s="293"/>
      <c r="M235" s="293"/>
      <c r="N235" s="293"/>
      <c r="O235" s="293"/>
      <c r="P235" s="293"/>
      <c r="Q235" s="293"/>
      <c r="R235" s="293"/>
      <c r="S235" s="258"/>
      <c r="T235" s="68">
        <f>IF($S$230="","",IF(COUNT(J235:R235)=0,"",IF(MAX(J235:R235)&gt;3,$I235,"")))</f>
      </c>
      <c r="U235" s="248"/>
      <c r="V235" s="251"/>
      <c r="W235" s="248"/>
      <c r="X235" s="248"/>
      <c r="Y235" s="262"/>
      <c r="Z235" s="262"/>
      <c r="AA235" s="248"/>
      <c r="AB235" s="248"/>
      <c r="AC235" s="246"/>
      <c r="AD235" s="248"/>
      <c r="AE235" s="262"/>
      <c r="AF235" s="262"/>
      <c r="AG235" s="248"/>
      <c r="AH235" s="255"/>
      <c r="AI235" s="255"/>
      <c r="AJ235" s="255"/>
    </row>
    <row r="236" spans="1:36" ht="14.5" customHeight="1" x14ac:dyDescent="0.35">
      <c r="A236" s="248"/>
      <c r="B236" s="248"/>
      <c r="C236" s="242"/>
      <c r="D236" s="242"/>
      <c r="E236" s="248"/>
      <c r="F236" s="246"/>
      <c r="G236" s="46" t="s">
        <v>209</v>
      </c>
      <c r="H236" s="293"/>
      <c r="I236" s="71" t="s">
        <v>122</v>
      </c>
      <c r="J236" s="293"/>
      <c r="K236" s="293"/>
      <c r="L236" s="293"/>
      <c r="M236" s="293"/>
      <c r="N236" s="293"/>
      <c r="O236" s="293"/>
      <c r="P236" s="293"/>
      <c r="Q236" s="293"/>
      <c r="R236" s="293"/>
      <c r="S236" s="259"/>
      <c r="T236" s="68">
        <f>IF($S$230="","",IF(COUNT(J236:R236)=0,"",IF(MAX(J236:R236)&gt;3,$I236,"")))</f>
      </c>
      <c r="U236" s="248"/>
      <c r="V236" s="251"/>
      <c r="W236" s="248"/>
      <c r="X236" s="248"/>
      <c r="Y236" s="262"/>
      <c r="Z236" s="262"/>
      <c r="AA236" s="248"/>
      <c r="AB236" s="248"/>
      <c r="AC236" s="246"/>
      <c r="AD236" s="248"/>
      <c r="AE236" s="262"/>
      <c r="AF236" s="262"/>
      <c r="AG236" s="248"/>
      <c r="AH236" s="255"/>
      <c r="AI236" s="255"/>
      <c r="AJ236" s="255"/>
    </row>
    <row r="237" spans="1:36" ht="14.5" customHeight="1" x14ac:dyDescent="0.35">
      <c r="A237" s="252">
        <v>34</v>
      </c>
      <c r="B237" s="264">
        <f>IF($E237="","","BIA-"&amp;TEXT(34,"000"))</f>
      </c>
      <c r="C237" s="240">
        <f>IFERROR(INDEX(BusinessUnits1,MATCH($A237,'04. Products &amp; Services'!$N$5:$N$49,0)),"")</f>
      </c>
      <c r="D237" s="240">
        <f>IFERROR(INDEX(DivisionSites,MATCH($A237,'04. Products &amp; Services'!$N$5:$N$49,0)),"")</f>
      </c>
      <c r="E237" s="253">
        <f>IFERROR(INDEX(ScopeNames,MATCH($A237,'04. Products &amp; Services'!$N$5:$N$49,0)),"")</f>
      </c>
      <c r="F237" s="265">
        <f>IF($E237="","",IFERROR(IF(INDEX(PS_ID,MATCH($E237,ScopeNames,0))="","",INDEX(PS_ID,MATCH($E237,ScopeNames,0))),""))</f>
      </c>
      <c r="G237" s="46" t="s">
        <v>205</v>
      </c>
      <c r="H237" s="293"/>
      <c r="I237" s="71" t="s">
        <v>116</v>
      </c>
      <c r="J237" s="293"/>
      <c r="K237" s="293"/>
      <c r="L237" s="293"/>
      <c r="M237" s="293"/>
      <c r="N237" s="293"/>
      <c r="O237" s="293"/>
      <c r="P237" s="293"/>
      <c r="Q237" s="293"/>
      <c r="R237" s="293"/>
      <c r="S237" s="257">
        <f>IF(COUNT(J237:R243)=0,"",MAX(J237:R243))</f>
      </c>
      <c r="T237" s="68">
        <f>IF($S$237="","",IF(COUNT(J237:R237)=0,"",IF(MAX(J237:R237)&gt;3,$I237,"")))</f>
      </c>
      <c r="U237" s="249">
        <f>IF($E237="","",IFERROR(IF(INDEX('04. Products &amp; Services'!$J$5:$J$49,MATCH($A237,'04. Products &amp; Services'!$N$5:$N$49,0))="","",INDEX('04. Products &amp; Services'!$J$5:$J$49,MATCH($A237,'04. Products &amp; Services'!$N$5:$N$49,0))),""))</f>
      </c>
      <c r="V237" s="299"/>
      <c r="W237" s="247">
        <f>IF($E237="","",IF(OR($U237="Yes",$V237="Yes"),"Yes",IF(AND($U237="No",$V237="No"),"No",IF(AND($U237="Under Evaluation",$V237="No"),"Under Evaluation",""))))</f>
      </c>
      <c r="X237" s="270">
        <f>IF($E237="","",IFERROR(IF(INDEX('04. Products &amp; Services'!$K$5:$K$49,MATCH($A237,'04. Products &amp; Services'!$N$5:$N$49,0))="","",INDEX('04. Products &amp; Services'!$K$5:$K$49,MATCH($A237,'04. Products &amp; Services'!$N$5:$N$49,0))),""))</f>
      </c>
      <c r="Y237" s="269"/>
      <c r="Z237" s="269"/>
      <c r="AA237" s="247">
        <f>IF($E237="","",IF(COUNT(J237:R243)=0,"",IF(MAX(J237:J243)&gt;=4,6,IF(MAX(K237:K243)&gt;=4,18,IF(MAX(L237:L243)&gt;=4,36,IF(MAX(M237:M243)&gt;=4,72,IF(MAX(N237:N243)&gt;=4,168,IF(MAX(O237:O243)&gt;=4,336,IF(MAX(P237:P243)&gt;=4,504,IF(MAX(Q237:Q243)&gt;=4,672,IF(MAX(R237:R243)&gt;=4,"","")))))))))))</f>
      </c>
      <c r="AB237" s="247">
        <f>IF($E237="","",IFERROR(IF(INDEX('04. Products &amp; Services'!$M$5:$M$49,MATCH($A237,'04. Products &amp; Services'!$N$5:$N$49,0))="","",INDEX('04. Products &amp; Services'!$M$5:$M$49,MATCH($A237,'04. Products &amp; Services'!$N$5:$N$49,0))),""))</f>
      </c>
      <c r="AC237" s="245"/>
      <c r="AD237" s="260">
        <f>IF(AC237="","",IF(ISNUMBER(AC237),AC237,IFERROR(VALUE(LEFT(TRIM(AC237),FIND(" ",TRIM(AC237))-1))*VLOOKUP(LEFT(LOWER(TRIM(MID(TRIM(AC237),FIND(" ",TRIM(AC237))+1,99))),3),DurationUnits,2,FALSE),"")))</f>
      </c>
      <c r="AE237" s="261"/>
      <c r="AF237" s="263"/>
      <c r="AG237" s="256">
        <f>IF($AF237="","",EDATE($AF237,12))</f>
      </c>
      <c r="AH237" s="254" cm="1">
        <f t="array" ref="AH237">IF($B237="","",_xlfn.LET(_xlpm.ids,'15. BCM Risk Register'!$A$6:$A$65,_xlpm.links,'15. BCM Risk Register'!$I$6:$I$65,_xlpm.hit,ISNUMBER(SEARCH(","&amp;$B237&amp;",",","&amp;SUBSTITUTE(_xlpm.links," ","")&amp;",")),IFERROR(_xlfn.TEXTJOIN(", ",TRUE,_xlfn.UNIQUE(_xlfn._xlws.FILTER(_xlpm.ids,_xlpm.hit*(_xlpm.ids&lt;&gt;"")))),"Not Created")))</f>
      </c>
      <c r="AI237" s="254" cm="1">
        <f t="array" ref="AI237">IF($B237="","",_xlfn.LET(_xlpm.ids,'15. BCM Risk Register'!$L$6:$L$65,_xlpm.links,'15. BCM Risk Register'!$I$6:$I$65,_xlpm.hit,ISNUMBER(SEARCH(","&amp;$B237&amp;",",","&amp;SUBSTITUTE(_xlpm.links," ","")&amp;",")),IFERROR(_xlfn.TEXTJOIN(", ",TRUE,_xlfn.UNIQUE(_xlfn._xlws.FILTER(_xlpm.ids,_xlpm.hit*(_xlpm.ids&lt;&gt;"")*(_xlpm.ids&lt;&gt;"Not Created")))),"Not Created")))</f>
      </c>
      <c r="AJ237" s="254" cm="1">
        <f t="array" ref="AJ237">IF($B237="","",_xlfn.LET(_xlpm.ids,'15. BCM Risk Register'!$K$6:$K$65,_xlpm.links,'15. BCM Risk Register'!$I$6:$I$65,_xlpm.hit,ISNUMBER(SEARCH(","&amp;$B237&amp;",",","&amp;SUBSTITUTE(_xlpm.links," ","")&amp;",")),IFERROR(_xlfn.TEXTJOIN(", ",TRUE,_xlfn.UNIQUE(_xlfn._xlws.FILTER(_xlpm.ids,_xlpm.hit*(_xlpm.ids&lt;&gt;"")*(_xlpm.ids&lt;&gt;"Not Created")))),"Not Created")))</f>
      </c>
    </row>
    <row r="238" spans="1:36" ht="14.5" customHeight="1" x14ac:dyDescent="0.35">
      <c r="A238" s="248"/>
      <c r="B238" s="248"/>
      <c r="C238" s="241"/>
      <c r="D238" s="241"/>
      <c r="E238" s="248"/>
      <c r="F238" s="246"/>
      <c r="G238" s="46" t="s">
        <v>160</v>
      </c>
      <c r="H238" s="293"/>
      <c r="I238" s="71" t="s">
        <v>117</v>
      </c>
      <c r="J238" s="293"/>
      <c r="K238" s="293"/>
      <c r="L238" s="293"/>
      <c r="M238" s="293"/>
      <c r="N238" s="293"/>
      <c r="O238" s="293"/>
      <c r="P238" s="293"/>
      <c r="Q238" s="293"/>
      <c r="R238" s="293"/>
      <c r="S238" s="258"/>
      <c r="T238" s="68">
        <f>IF($S$237="","",IF(COUNT(J238:R238)=0,"",IF(MAX(J238:R238)&gt;3,$I238,"")))</f>
      </c>
      <c r="U238" s="248"/>
      <c r="V238" s="251"/>
      <c r="W238" s="248"/>
      <c r="X238" s="248"/>
      <c r="Y238" s="262"/>
      <c r="Z238" s="262"/>
      <c r="AA238" s="248"/>
      <c r="AB238" s="248"/>
      <c r="AC238" s="246"/>
      <c r="AD238" s="248"/>
      <c r="AE238" s="262"/>
      <c r="AF238" s="262"/>
      <c r="AG238" s="248"/>
      <c r="AH238" s="255"/>
      <c r="AI238" s="255"/>
      <c r="AJ238" s="255"/>
    </row>
    <row r="239" spans="1:36" ht="14.5" customHeight="1" x14ac:dyDescent="0.35">
      <c r="A239" s="248"/>
      <c r="B239" s="248"/>
      <c r="C239" s="241"/>
      <c r="D239" s="241"/>
      <c r="E239" s="248"/>
      <c r="F239" s="246"/>
      <c r="G239" s="46" t="s">
        <v>206</v>
      </c>
      <c r="H239" s="293"/>
      <c r="I239" s="71" t="s">
        <v>118</v>
      </c>
      <c r="J239" s="293"/>
      <c r="K239" s="293"/>
      <c r="L239" s="293"/>
      <c r="M239" s="293"/>
      <c r="N239" s="293"/>
      <c r="O239" s="293"/>
      <c r="P239" s="293"/>
      <c r="Q239" s="293"/>
      <c r="R239" s="293"/>
      <c r="S239" s="258"/>
      <c r="T239" s="68">
        <f>IF($S$237="","",IF(COUNT(J239:R239)=0,"",IF(MAX(J239:R239)&gt;3,$I239,"")))</f>
      </c>
      <c r="U239" s="248"/>
      <c r="V239" s="251"/>
      <c r="W239" s="248"/>
      <c r="X239" s="248"/>
      <c r="Y239" s="262"/>
      <c r="Z239" s="262"/>
      <c r="AA239" s="248"/>
      <c r="AB239" s="248"/>
      <c r="AC239" s="246"/>
      <c r="AD239" s="248"/>
      <c r="AE239" s="262"/>
      <c r="AF239" s="262"/>
      <c r="AG239" s="248"/>
      <c r="AH239" s="255"/>
      <c r="AI239" s="255"/>
      <c r="AJ239" s="255"/>
    </row>
    <row r="240" spans="1:36" ht="14.5" customHeight="1" x14ac:dyDescent="0.35">
      <c r="A240" s="248"/>
      <c r="B240" s="248"/>
      <c r="C240" s="241"/>
      <c r="D240" s="241"/>
      <c r="E240" s="248"/>
      <c r="F240" s="246"/>
      <c r="G240" s="46" t="s">
        <v>207</v>
      </c>
      <c r="H240" s="293"/>
      <c r="I240" s="71" t="s">
        <v>119</v>
      </c>
      <c r="J240" s="293"/>
      <c r="K240" s="293"/>
      <c r="L240" s="293"/>
      <c r="M240" s="293"/>
      <c r="N240" s="293"/>
      <c r="O240" s="293"/>
      <c r="P240" s="293"/>
      <c r="Q240" s="293"/>
      <c r="R240" s="293"/>
      <c r="S240" s="258"/>
      <c r="T240" s="68">
        <f>IF($S$237="","",IF(COUNT(J240:R240)=0,"",IF(MAX(J240:R240)&gt;3,$I240,"")))</f>
      </c>
      <c r="U240" s="248"/>
      <c r="V240" s="251"/>
      <c r="W240" s="248"/>
      <c r="X240" s="248"/>
      <c r="Y240" s="262"/>
      <c r="Z240" s="262"/>
      <c r="AA240" s="248"/>
      <c r="AB240" s="248"/>
      <c r="AC240" s="246"/>
      <c r="AD240" s="248"/>
      <c r="AE240" s="262"/>
      <c r="AF240" s="262"/>
      <c r="AG240" s="248"/>
      <c r="AH240" s="255"/>
      <c r="AI240" s="255"/>
      <c r="AJ240" s="255"/>
    </row>
    <row r="241" spans="1:36" ht="14.5" customHeight="1" x14ac:dyDescent="0.35">
      <c r="A241" s="248"/>
      <c r="B241" s="248"/>
      <c r="C241" s="241"/>
      <c r="D241" s="241"/>
      <c r="E241" s="248"/>
      <c r="F241" s="246"/>
      <c r="G241" s="46" t="s">
        <v>161</v>
      </c>
      <c r="H241" s="293"/>
      <c r="I241" s="71" t="s">
        <v>120</v>
      </c>
      <c r="J241" s="293"/>
      <c r="K241" s="293"/>
      <c r="L241" s="293"/>
      <c r="M241" s="293"/>
      <c r="N241" s="293"/>
      <c r="O241" s="293"/>
      <c r="P241" s="293"/>
      <c r="Q241" s="293"/>
      <c r="R241" s="293"/>
      <c r="S241" s="258"/>
      <c r="T241" s="68">
        <f>IF($S$237="","",IF(COUNT(J241:R241)=0,"",IF(MAX(J241:R241)&gt;3,$I241,"")))</f>
      </c>
      <c r="U241" s="248"/>
      <c r="V241" s="251"/>
      <c r="W241" s="248"/>
      <c r="X241" s="248"/>
      <c r="Y241" s="262"/>
      <c r="Z241" s="262"/>
      <c r="AA241" s="248"/>
      <c r="AB241" s="248"/>
      <c r="AC241" s="246"/>
      <c r="AD241" s="248"/>
      <c r="AE241" s="262"/>
      <c r="AF241" s="262"/>
      <c r="AG241" s="248"/>
      <c r="AH241" s="255"/>
      <c r="AI241" s="255"/>
      <c r="AJ241" s="255"/>
    </row>
    <row r="242" spans="1:36" ht="14.5" customHeight="1" x14ac:dyDescent="0.35">
      <c r="A242" s="248"/>
      <c r="B242" s="248"/>
      <c r="C242" s="241"/>
      <c r="D242" s="241"/>
      <c r="E242" s="248"/>
      <c r="F242" s="246"/>
      <c r="G242" s="46" t="s">
        <v>208</v>
      </c>
      <c r="H242" s="293"/>
      <c r="I242" s="71" t="s">
        <v>121</v>
      </c>
      <c r="J242" s="293"/>
      <c r="K242" s="293"/>
      <c r="L242" s="293"/>
      <c r="M242" s="293"/>
      <c r="N242" s="293"/>
      <c r="O242" s="293"/>
      <c r="P242" s="293"/>
      <c r="Q242" s="293"/>
      <c r="R242" s="293"/>
      <c r="S242" s="258"/>
      <c r="T242" s="68">
        <f>IF($S$237="","",IF(COUNT(J242:R242)=0,"",IF(MAX(J242:R242)&gt;3,$I242,"")))</f>
      </c>
      <c r="U242" s="248"/>
      <c r="V242" s="251"/>
      <c r="W242" s="248"/>
      <c r="X242" s="248"/>
      <c r="Y242" s="262"/>
      <c r="Z242" s="262"/>
      <c r="AA242" s="248"/>
      <c r="AB242" s="248"/>
      <c r="AC242" s="246"/>
      <c r="AD242" s="248"/>
      <c r="AE242" s="262"/>
      <c r="AF242" s="262"/>
      <c r="AG242" s="248"/>
      <c r="AH242" s="255"/>
      <c r="AI242" s="255"/>
      <c r="AJ242" s="255"/>
    </row>
    <row r="243" spans="1:36" ht="14.5" customHeight="1" x14ac:dyDescent="0.35">
      <c r="A243" s="248"/>
      <c r="B243" s="248"/>
      <c r="C243" s="242"/>
      <c r="D243" s="242"/>
      <c r="E243" s="248"/>
      <c r="F243" s="246"/>
      <c r="G243" s="46" t="s">
        <v>209</v>
      </c>
      <c r="H243" s="293"/>
      <c r="I243" s="71" t="s">
        <v>122</v>
      </c>
      <c r="J243" s="293"/>
      <c r="K243" s="293"/>
      <c r="L243" s="293"/>
      <c r="M243" s="293"/>
      <c r="N243" s="293"/>
      <c r="O243" s="293"/>
      <c r="P243" s="293"/>
      <c r="Q243" s="293"/>
      <c r="R243" s="293"/>
      <c r="S243" s="259"/>
      <c r="T243" s="68">
        <f>IF($S$237="","",IF(COUNT(J243:R243)=0,"",IF(MAX(J243:R243)&gt;3,$I243,"")))</f>
      </c>
      <c r="U243" s="248"/>
      <c r="V243" s="251"/>
      <c r="W243" s="248"/>
      <c r="X243" s="248"/>
      <c r="Y243" s="262"/>
      <c r="Z243" s="262"/>
      <c r="AA243" s="248"/>
      <c r="AB243" s="248"/>
      <c r="AC243" s="246"/>
      <c r="AD243" s="248"/>
      <c r="AE243" s="262"/>
      <c r="AF243" s="262"/>
      <c r="AG243" s="248"/>
      <c r="AH243" s="255"/>
      <c r="AI243" s="255"/>
      <c r="AJ243" s="255"/>
    </row>
    <row r="244" spans="1:36" ht="14.5" customHeight="1" x14ac:dyDescent="0.35">
      <c r="A244" s="252">
        <v>35</v>
      </c>
      <c r="B244" s="264">
        <f>IF($E244="","","BIA-"&amp;TEXT(35,"000"))</f>
      </c>
      <c r="C244" s="240">
        <f>IFERROR(INDEX(BusinessUnits1,MATCH($A244,'04. Products &amp; Services'!$N$5:$N$49,0)),"")</f>
      </c>
      <c r="D244" s="240">
        <f>IFERROR(INDEX(DivisionSites,MATCH($A244,'04. Products &amp; Services'!$N$5:$N$49,0)),"")</f>
      </c>
      <c r="E244" s="253">
        <f>IFERROR(INDEX(ScopeNames,MATCH($A244,'04. Products &amp; Services'!$N$5:$N$49,0)),"")</f>
      </c>
      <c r="F244" s="265">
        <f>IF($E244="","",IFERROR(IF(INDEX(PS_ID,MATCH($E244,ScopeNames,0))="","",INDEX(PS_ID,MATCH($E244,ScopeNames,0))),""))</f>
      </c>
      <c r="G244" s="46" t="s">
        <v>205</v>
      </c>
      <c r="H244" s="293"/>
      <c r="I244" s="71" t="s">
        <v>116</v>
      </c>
      <c r="J244" s="293"/>
      <c r="K244" s="293"/>
      <c r="L244" s="293"/>
      <c r="M244" s="293"/>
      <c r="N244" s="293"/>
      <c r="O244" s="293"/>
      <c r="P244" s="293"/>
      <c r="Q244" s="293"/>
      <c r="R244" s="293"/>
      <c r="S244" s="257">
        <f>IF(COUNT(J244:R250)=0,"",MAX(J244:R250))</f>
      </c>
      <c r="T244" s="68">
        <f>IF($S$244="","",IF(COUNT(J244:R244)=0,"",IF(MAX(J244:R244)&gt;3,$I244,"")))</f>
      </c>
      <c r="U244" s="249">
        <f>IF($E244="","",IFERROR(IF(INDEX('04. Products &amp; Services'!$J$5:$J$49,MATCH($A244,'04. Products &amp; Services'!$N$5:$N$49,0))="","",INDEX('04. Products &amp; Services'!$J$5:$J$49,MATCH($A244,'04. Products &amp; Services'!$N$5:$N$49,0))),""))</f>
      </c>
      <c r="V244" s="299"/>
      <c r="W244" s="247">
        <f>IF($E244="","",IF(OR($U244="Yes",$V244="Yes"),"Yes",IF(AND($U244="No",$V244="No"),"No",IF(AND($U244="Under Evaluation",$V244="No"),"Under Evaluation",""))))</f>
      </c>
      <c r="X244" s="270">
        <f>IF($E244="","",IFERROR(IF(INDEX('04. Products &amp; Services'!$K$5:$K$49,MATCH($A244,'04. Products &amp; Services'!$N$5:$N$49,0))="","",INDEX('04. Products &amp; Services'!$K$5:$K$49,MATCH($A244,'04. Products &amp; Services'!$N$5:$N$49,0))),""))</f>
      </c>
      <c r="Y244" s="269"/>
      <c r="Z244" s="269"/>
      <c r="AA244" s="247">
        <f>IF($E244="","",IF(COUNT(J244:R250)=0,"",IF(MAX(J244:J250)&gt;=4,6,IF(MAX(K244:K250)&gt;=4,18,IF(MAX(L244:L250)&gt;=4,36,IF(MAX(M244:M250)&gt;=4,72,IF(MAX(N244:N250)&gt;=4,168,IF(MAX(O244:O250)&gt;=4,336,IF(MAX(P244:P250)&gt;=4,504,IF(MAX(Q244:Q250)&gt;=4,672,IF(MAX(R244:R250)&gt;=4,"","")))))))))))</f>
      </c>
      <c r="AB244" s="247">
        <f>IF($E244="","",IFERROR(IF(INDEX('04. Products &amp; Services'!$M$5:$M$49,MATCH($A244,'04. Products &amp; Services'!$N$5:$N$49,0))="","",INDEX('04. Products &amp; Services'!$M$5:$M$49,MATCH($A244,'04. Products &amp; Services'!$N$5:$N$49,0))),""))</f>
      </c>
      <c r="AC244" s="245"/>
      <c r="AD244" s="260">
        <f>IF(AC244="","",IF(ISNUMBER(AC244),AC244,IFERROR(VALUE(LEFT(TRIM(AC244),FIND(" ",TRIM(AC244))-1))*VLOOKUP(LEFT(LOWER(TRIM(MID(TRIM(AC244),FIND(" ",TRIM(AC244))+1,99))),3),DurationUnits,2,FALSE),"")))</f>
      </c>
      <c r="AE244" s="261"/>
      <c r="AF244" s="263"/>
      <c r="AG244" s="256">
        <f>IF($AF244="","",EDATE($AF244,12))</f>
      </c>
      <c r="AH244" s="254" cm="1">
        <f t="array" ref="AH244">IF($B244="","",_xlfn.LET(_xlpm.ids,'15. BCM Risk Register'!$A$6:$A$65,_xlpm.links,'15. BCM Risk Register'!$I$6:$I$65,_xlpm.hit,ISNUMBER(SEARCH(","&amp;$B244&amp;",",","&amp;SUBSTITUTE(_xlpm.links," ","")&amp;",")),IFERROR(_xlfn.TEXTJOIN(", ",TRUE,_xlfn.UNIQUE(_xlfn._xlws.FILTER(_xlpm.ids,_xlpm.hit*(_xlpm.ids&lt;&gt;"")))),"Not Created")))</f>
      </c>
      <c r="AI244" s="254" cm="1">
        <f t="array" ref="AI244">IF($B244="","",_xlfn.LET(_xlpm.ids,'15. BCM Risk Register'!$L$6:$L$65,_xlpm.links,'15. BCM Risk Register'!$I$6:$I$65,_xlpm.hit,ISNUMBER(SEARCH(","&amp;$B244&amp;",",","&amp;SUBSTITUTE(_xlpm.links," ","")&amp;",")),IFERROR(_xlfn.TEXTJOIN(", ",TRUE,_xlfn.UNIQUE(_xlfn._xlws.FILTER(_xlpm.ids,_xlpm.hit*(_xlpm.ids&lt;&gt;"")*(_xlpm.ids&lt;&gt;"Not Created")))),"Not Created")))</f>
      </c>
      <c r="AJ244" s="254" cm="1">
        <f t="array" ref="AJ244">IF($B244="","",_xlfn.LET(_xlpm.ids,'15. BCM Risk Register'!$K$6:$K$65,_xlpm.links,'15. BCM Risk Register'!$I$6:$I$65,_xlpm.hit,ISNUMBER(SEARCH(","&amp;$B244&amp;",",","&amp;SUBSTITUTE(_xlpm.links," ","")&amp;",")),IFERROR(_xlfn.TEXTJOIN(", ",TRUE,_xlfn.UNIQUE(_xlfn._xlws.FILTER(_xlpm.ids,_xlpm.hit*(_xlpm.ids&lt;&gt;"")*(_xlpm.ids&lt;&gt;"Not Created")))),"Not Created")))</f>
      </c>
    </row>
    <row r="245" spans="1:36" ht="14.5" customHeight="1" x14ac:dyDescent="0.35">
      <c r="A245" s="248"/>
      <c r="B245" s="248"/>
      <c r="C245" s="241"/>
      <c r="D245" s="241"/>
      <c r="E245" s="248"/>
      <c r="F245" s="246"/>
      <c r="G245" s="46" t="s">
        <v>160</v>
      </c>
      <c r="H245" s="293"/>
      <c r="I245" s="71" t="s">
        <v>117</v>
      </c>
      <c r="J245" s="293"/>
      <c r="K245" s="293"/>
      <c r="L245" s="293"/>
      <c r="M245" s="293"/>
      <c r="N245" s="293"/>
      <c r="O245" s="293"/>
      <c r="P245" s="293"/>
      <c r="Q245" s="293"/>
      <c r="R245" s="293"/>
      <c r="S245" s="258"/>
      <c r="T245" s="68">
        <f>IF($S$244="","",IF(COUNT(J245:R245)=0,"",IF(MAX(J245:R245)&gt;3,$I245,"")))</f>
      </c>
      <c r="U245" s="248"/>
      <c r="V245" s="251"/>
      <c r="W245" s="248"/>
      <c r="X245" s="248"/>
      <c r="Y245" s="262"/>
      <c r="Z245" s="262"/>
      <c r="AA245" s="248"/>
      <c r="AB245" s="248"/>
      <c r="AC245" s="246"/>
      <c r="AD245" s="248"/>
      <c r="AE245" s="262"/>
      <c r="AF245" s="262"/>
      <c r="AG245" s="248"/>
      <c r="AH245" s="255"/>
      <c r="AI245" s="255"/>
      <c r="AJ245" s="255"/>
    </row>
    <row r="246" spans="1:36" ht="14.5" customHeight="1" x14ac:dyDescent="0.35">
      <c r="A246" s="248"/>
      <c r="B246" s="248"/>
      <c r="C246" s="241"/>
      <c r="D246" s="241"/>
      <c r="E246" s="248"/>
      <c r="F246" s="246"/>
      <c r="G246" s="46" t="s">
        <v>206</v>
      </c>
      <c r="H246" s="293"/>
      <c r="I246" s="71" t="s">
        <v>118</v>
      </c>
      <c r="J246" s="293"/>
      <c r="K246" s="293"/>
      <c r="L246" s="293"/>
      <c r="M246" s="293"/>
      <c r="N246" s="293"/>
      <c r="O246" s="293"/>
      <c r="P246" s="293"/>
      <c r="Q246" s="293"/>
      <c r="R246" s="293"/>
      <c r="S246" s="258"/>
      <c r="T246" s="68">
        <f>IF($S$244="","",IF(COUNT(J246:R246)=0,"",IF(MAX(J246:R246)&gt;3,$I246,"")))</f>
      </c>
      <c r="U246" s="248"/>
      <c r="V246" s="251"/>
      <c r="W246" s="248"/>
      <c r="X246" s="248"/>
      <c r="Y246" s="262"/>
      <c r="Z246" s="262"/>
      <c r="AA246" s="248"/>
      <c r="AB246" s="248"/>
      <c r="AC246" s="246"/>
      <c r="AD246" s="248"/>
      <c r="AE246" s="262"/>
      <c r="AF246" s="262"/>
      <c r="AG246" s="248"/>
      <c r="AH246" s="255"/>
      <c r="AI246" s="255"/>
      <c r="AJ246" s="255"/>
    </row>
    <row r="247" spans="1:36" ht="14.5" customHeight="1" x14ac:dyDescent="0.35">
      <c r="A247" s="248"/>
      <c r="B247" s="248"/>
      <c r="C247" s="241"/>
      <c r="D247" s="241"/>
      <c r="E247" s="248"/>
      <c r="F247" s="246"/>
      <c r="G247" s="46" t="s">
        <v>207</v>
      </c>
      <c r="H247" s="293"/>
      <c r="I247" s="71" t="s">
        <v>119</v>
      </c>
      <c r="J247" s="293"/>
      <c r="K247" s="293"/>
      <c r="L247" s="293"/>
      <c r="M247" s="293"/>
      <c r="N247" s="293"/>
      <c r="O247" s="293"/>
      <c r="P247" s="293"/>
      <c r="Q247" s="293"/>
      <c r="R247" s="293"/>
      <c r="S247" s="258"/>
      <c r="T247" s="68">
        <f>IF($S$244="","",IF(COUNT(J247:R247)=0,"",IF(MAX(J247:R247)&gt;3,$I247,"")))</f>
      </c>
      <c r="U247" s="248"/>
      <c r="V247" s="251"/>
      <c r="W247" s="248"/>
      <c r="X247" s="248"/>
      <c r="Y247" s="262"/>
      <c r="Z247" s="262"/>
      <c r="AA247" s="248"/>
      <c r="AB247" s="248"/>
      <c r="AC247" s="246"/>
      <c r="AD247" s="248"/>
      <c r="AE247" s="262"/>
      <c r="AF247" s="262"/>
      <c r="AG247" s="248"/>
      <c r="AH247" s="255"/>
      <c r="AI247" s="255"/>
      <c r="AJ247" s="255"/>
    </row>
    <row r="248" spans="1:36" ht="14.5" customHeight="1" x14ac:dyDescent="0.35">
      <c r="A248" s="248"/>
      <c r="B248" s="248"/>
      <c r="C248" s="241"/>
      <c r="D248" s="241"/>
      <c r="E248" s="248"/>
      <c r="F248" s="246"/>
      <c r="G248" s="46" t="s">
        <v>161</v>
      </c>
      <c r="H248" s="293"/>
      <c r="I248" s="71" t="s">
        <v>120</v>
      </c>
      <c r="J248" s="293"/>
      <c r="K248" s="293"/>
      <c r="L248" s="293"/>
      <c r="M248" s="293"/>
      <c r="N248" s="293"/>
      <c r="O248" s="293"/>
      <c r="P248" s="293"/>
      <c r="Q248" s="293"/>
      <c r="R248" s="293"/>
      <c r="S248" s="258"/>
      <c r="T248" s="68">
        <f>IF($S$244="","",IF(COUNT(J248:R248)=0,"",IF(MAX(J248:R248)&gt;3,$I248,"")))</f>
      </c>
      <c r="U248" s="248"/>
      <c r="V248" s="251"/>
      <c r="W248" s="248"/>
      <c r="X248" s="248"/>
      <c r="Y248" s="262"/>
      <c r="Z248" s="262"/>
      <c r="AA248" s="248"/>
      <c r="AB248" s="248"/>
      <c r="AC248" s="246"/>
      <c r="AD248" s="248"/>
      <c r="AE248" s="262"/>
      <c r="AF248" s="262"/>
      <c r="AG248" s="248"/>
      <c r="AH248" s="255"/>
      <c r="AI248" s="255"/>
      <c r="AJ248" s="255"/>
    </row>
    <row r="249" spans="1:36" ht="14.5" customHeight="1" x14ac:dyDescent="0.35">
      <c r="A249" s="248"/>
      <c r="B249" s="248"/>
      <c r="C249" s="241"/>
      <c r="D249" s="241"/>
      <c r="E249" s="248"/>
      <c r="F249" s="246"/>
      <c r="G249" s="46" t="s">
        <v>208</v>
      </c>
      <c r="H249" s="293"/>
      <c r="I249" s="71" t="s">
        <v>121</v>
      </c>
      <c r="J249" s="293"/>
      <c r="K249" s="293"/>
      <c r="L249" s="293"/>
      <c r="M249" s="293"/>
      <c r="N249" s="293"/>
      <c r="O249" s="293"/>
      <c r="P249" s="293"/>
      <c r="Q249" s="293"/>
      <c r="R249" s="293"/>
      <c r="S249" s="258"/>
      <c r="T249" s="68">
        <f>IF($S$244="","",IF(COUNT(J249:R249)=0,"",IF(MAX(J249:R249)&gt;3,$I249,"")))</f>
      </c>
      <c r="U249" s="248"/>
      <c r="V249" s="251"/>
      <c r="W249" s="248"/>
      <c r="X249" s="248"/>
      <c r="Y249" s="262"/>
      <c r="Z249" s="262"/>
      <c r="AA249" s="248"/>
      <c r="AB249" s="248"/>
      <c r="AC249" s="246"/>
      <c r="AD249" s="248"/>
      <c r="AE249" s="262"/>
      <c r="AF249" s="262"/>
      <c r="AG249" s="248"/>
      <c r="AH249" s="255"/>
      <c r="AI249" s="255"/>
      <c r="AJ249" s="255"/>
    </row>
    <row r="250" spans="1:36" ht="14.5" customHeight="1" x14ac:dyDescent="0.35">
      <c r="A250" s="248"/>
      <c r="B250" s="248"/>
      <c r="C250" s="242"/>
      <c r="D250" s="242"/>
      <c r="E250" s="248"/>
      <c r="F250" s="246"/>
      <c r="G250" s="46" t="s">
        <v>209</v>
      </c>
      <c r="H250" s="293"/>
      <c r="I250" s="71" t="s">
        <v>122</v>
      </c>
      <c r="J250" s="293"/>
      <c r="K250" s="293"/>
      <c r="L250" s="293"/>
      <c r="M250" s="293"/>
      <c r="N250" s="293"/>
      <c r="O250" s="293"/>
      <c r="P250" s="293"/>
      <c r="Q250" s="293"/>
      <c r="R250" s="293"/>
      <c r="S250" s="259"/>
      <c r="T250" s="68">
        <f>IF($S$244="","",IF(COUNT(J250:R250)=0,"",IF(MAX(J250:R250)&gt;3,$I250,"")))</f>
      </c>
      <c r="U250" s="248"/>
      <c r="V250" s="251"/>
      <c r="W250" s="248"/>
      <c r="X250" s="248"/>
      <c r="Y250" s="262"/>
      <c r="Z250" s="262"/>
      <c r="AA250" s="248"/>
      <c r="AB250" s="248"/>
      <c r="AC250" s="246"/>
      <c r="AD250" s="248"/>
      <c r="AE250" s="262"/>
      <c r="AF250" s="262"/>
      <c r="AG250" s="248"/>
      <c r="AH250" s="255"/>
      <c r="AI250" s="255"/>
      <c r="AJ250" s="255"/>
    </row>
    <row r="251" spans="1:36" ht="14.5" customHeight="1" x14ac:dyDescent="0.35">
      <c r="A251" s="252">
        <v>36</v>
      </c>
      <c r="B251" s="264">
        <f>IF($E251="","","BIA-"&amp;TEXT(36,"000"))</f>
      </c>
      <c r="C251" s="240">
        <f>IFERROR(INDEX(BusinessUnits1,MATCH($A251,'04. Products &amp; Services'!$N$5:$N$49,0)),"")</f>
      </c>
      <c r="D251" s="240">
        <f>IFERROR(INDEX(DivisionSites,MATCH($A251,'04. Products &amp; Services'!$N$5:$N$49,0)),"")</f>
      </c>
      <c r="E251" s="253">
        <f>IFERROR(INDEX(ScopeNames,MATCH($A251,'04. Products &amp; Services'!$N$5:$N$49,0)),"")</f>
      </c>
      <c r="F251" s="265">
        <f>IF($E251="","",IFERROR(IF(INDEX(PS_ID,MATCH($E251,ScopeNames,0))="","",INDEX(PS_ID,MATCH($E251,ScopeNames,0))),""))</f>
      </c>
      <c r="G251" s="46" t="s">
        <v>205</v>
      </c>
      <c r="H251" s="293"/>
      <c r="I251" s="71" t="s">
        <v>116</v>
      </c>
      <c r="J251" s="293"/>
      <c r="K251" s="293"/>
      <c r="L251" s="293"/>
      <c r="M251" s="293"/>
      <c r="N251" s="293"/>
      <c r="O251" s="293"/>
      <c r="P251" s="293"/>
      <c r="Q251" s="293"/>
      <c r="R251" s="293"/>
      <c r="S251" s="257">
        <f>IF(COUNT(J251:R257)=0,"",MAX(J251:R257))</f>
      </c>
      <c r="T251" s="68">
        <f>IF($S$251="","",IF(COUNT(J251:R251)=0,"",IF(MAX(J251:R251)&gt;3,$I251,"")))</f>
      </c>
      <c r="U251" s="249">
        <f>IF($E251="","",IFERROR(IF(INDEX('04. Products &amp; Services'!$J$5:$J$49,MATCH($A251,'04. Products &amp; Services'!$N$5:$N$49,0))="","",INDEX('04. Products &amp; Services'!$J$5:$J$49,MATCH($A251,'04. Products &amp; Services'!$N$5:$N$49,0))),""))</f>
      </c>
      <c r="V251" s="299"/>
      <c r="W251" s="247">
        <f>IF($E251="","",IF(OR($U251="Yes",$V251="Yes"),"Yes",IF(AND($U251="No",$V251="No"),"No",IF(AND($U251="Under Evaluation",$V251="No"),"Under Evaluation",""))))</f>
      </c>
      <c r="X251" s="270">
        <f>IF($E251="","",IFERROR(IF(INDEX('04. Products &amp; Services'!$K$5:$K$49,MATCH($A251,'04. Products &amp; Services'!$N$5:$N$49,0))="","",INDEX('04. Products &amp; Services'!$K$5:$K$49,MATCH($A251,'04. Products &amp; Services'!$N$5:$N$49,0))),""))</f>
      </c>
      <c r="Y251" s="269"/>
      <c r="Z251" s="269"/>
      <c r="AA251" s="247">
        <f>IF($E251="","",IF(COUNT(J251:R257)=0,"",IF(MAX(J251:J257)&gt;=4,6,IF(MAX(K251:K257)&gt;=4,18,IF(MAX(L251:L257)&gt;=4,36,IF(MAX(M251:M257)&gt;=4,72,IF(MAX(N251:N257)&gt;=4,168,IF(MAX(O251:O257)&gt;=4,336,IF(MAX(P251:P257)&gt;=4,504,IF(MAX(Q251:Q257)&gt;=4,672,IF(MAX(R251:R257)&gt;=4,"","")))))))))))</f>
      </c>
      <c r="AB251" s="247">
        <f>IF($E251="","",IFERROR(IF(INDEX('04. Products &amp; Services'!$M$5:$M$49,MATCH($A251,'04. Products &amp; Services'!$N$5:$N$49,0))="","",INDEX('04. Products &amp; Services'!$M$5:$M$49,MATCH($A251,'04. Products &amp; Services'!$N$5:$N$49,0))),""))</f>
      </c>
      <c r="AC251" s="245"/>
      <c r="AD251" s="260">
        <f>IF(AC251="","",IF(ISNUMBER(AC251),AC251,IFERROR(VALUE(LEFT(TRIM(AC251),FIND(" ",TRIM(AC251))-1))*VLOOKUP(LEFT(LOWER(TRIM(MID(TRIM(AC251),FIND(" ",TRIM(AC251))+1,99))),3),DurationUnits,2,FALSE),"")))</f>
      </c>
      <c r="AE251" s="261"/>
      <c r="AF251" s="263"/>
      <c r="AG251" s="256">
        <f>IF($AF251="","",EDATE($AF251,12))</f>
      </c>
      <c r="AH251" s="254" cm="1">
        <f t="array" ref="AH251">IF($B251="","",_xlfn.LET(_xlpm.ids,'15. BCM Risk Register'!$A$6:$A$65,_xlpm.links,'15. BCM Risk Register'!$I$6:$I$65,_xlpm.hit,ISNUMBER(SEARCH(","&amp;$B251&amp;",",","&amp;SUBSTITUTE(_xlpm.links," ","")&amp;",")),IFERROR(_xlfn.TEXTJOIN(", ",TRUE,_xlfn.UNIQUE(_xlfn._xlws.FILTER(_xlpm.ids,_xlpm.hit*(_xlpm.ids&lt;&gt;"")))),"Not Created")))</f>
      </c>
      <c r="AI251" s="254" cm="1">
        <f t="array" ref="AI251">IF($B251="","",_xlfn.LET(_xlpm.ids,'15. BCM Risk Register'!$L$6:$L$65,_xlpm.links,'15. BCM Risk Register'!$I$6:$I$65,_xlpm.hit,ISNUMBER(SEARCH(","&amp;$B251&amp;",",","&amp;SUBSTITUTE(_xlpm.links," ","")&amp;",")),IFERROR(_xlfn.TEXTJOIN(", ",TRUE,_xlfn.UNIQUE(_xlfn._xlws.FILTER(_xlpm.ids,_xlpm.hit*(_xlpm.ids&lt;&gt;"")*(_xlpm.ids&lt;&gt;"Not Created")))),"Not Created")))</f>
      </c>
      <c r="AJ251" s="254" cm="1">
        <f t="array" ref="AJ251">IF($B251="","",_xlfn.LET(_xlpm.ids,'15. BCM Risk Register'!$K$6:$K$65,_xlpm.links,'15. BCM Risk Register'!$I$6:$I$65,_xlpm.hit,ISNUMBER(SEARCH(","&amp;$B251&amp;",",","&amp;SUBSTITUTE(_xlpm.links," ","")&amp;",")),IFERROR(_xlfn.TEXTJOIN(", ",TRUE,_xlfn.UNIQUE(_xlfn._xlws.FILTER(_xlpm.ids,_xlpm.hit*(_xlpm.ids&lt;&gt;"")*(_xlpm.ids&lt;&gt;"Not Created")))),"Not Created")))</f>
      </c>
    </row>
    <row r="252" spans="1:36" ht="14.5" customHeight="1" x14ac:dyDescent="0.35">
      <c r="A252" s="248"/>
      <c r="B252" s="248"/>
      <c r="C252" s="241"/>
      <c r="D252" s="241"/>
      <c r="E252" s="248"/>
      <c r="F252" s="246"/>
      <c r="G252" s="46" t="s">
        <v>160</v>
      </c>
      <c r="H252" s="293"/>
      <c r="I252" s="71" t="s">
        <v>117</v>
      </c>
      <c r="J252" s="293"/>
      <c r="K252" s="293"/>
      <c r="L252" s="293"/>
      <c r="M252" s="293"/>
      <c r="N252" s="293"/>
      <c r="O252" s="293"/>
      <c r="P252" s="293"/>
      <c r="Q252" s="293"/>
      <c r="R252" s="293"/>
      <c r="S252" s="258"/>
      <c r="T252" s="68">
        <f>IF($S$251="","",IF(COUNT(J252:R252)=0,"",IF(MAX(J252:R252)&gt;3,$I252,"")))</f>
      </c>
      <c r="U252" s="248"/>
      <c r="V252" s="251"/>
      <c r="W252" s="248"/>
      <c r="X252" s="248"/>
      <c r="Y252" s="262"/>
      <c r="Z252" s="262"/>
      <c r="AA252" s="248"/>
      <c r="AB252" s="248"/>
      <c r="AC252" s="246"/>
      <c r="AD252" s="248"/>
      <c r="AE252" s="262"/>
      <c r="AF252" s="262"/>
      <c r="AG252" s="248"/>
      <c r="AH252" s="255"/>
      <c r="AI252" s="255"/>
      <c r="AJ252" s="255"/>
    </row>
    <row r="253" spans="1:36" ht="14.5" customHeight="1" x14ac:dyDescent="0.35">
      <c r="A253" s="248"/>
      <c r="B253" s="248"/>
      <c r="C253" s="241"/>
      <c r="D253" s="241"/>
      <c r="E253" s="248"/>
      <c r="F253" s="246"/>
      <c r="G253" s="46" t="s">
        <v>206</v>
      </c>
      <c r="H253" s="293"/>
      <c r="I253" s="71" t="s">
        <v>118</v>
      </c>
      <c r="J253" s="293"/>
      <c r="K253" s="293"/>
      <c r="L253" s="293"/>
      <c r="M253" s="293"/>
      <c r="N253" s="293"/>
      <c r="O253" s="293"/>
      <c r="P253" s="293"/>
      <c r="Q253" s="293"/>
      <c r="R253" s="293"/>
      <c r="S253" s="258"/>
      <c r="T253" s="68">
        <f>IF($S$251="","",IF(COUNT(J253:R253)=0,"",IF(MAX(J253:R253)&gt;3,$I253,"")))</f>
      </c>
      <c r="U253" s="248"/>
      <c r="V253" s="251"/>
      <c r="W253" s="248"/>
      <c r="X253" s="248"/>
      <c r="Y253" s="262"/>
      <c r="Z253" s="262"/>
      <c r="AA253" s="248"/>
      <c r="AB253" s="248"/>
      <c r="AC253" s="246"/>
      <c r="AD253" s="248"/>
      <c r="AE253" s="262"/>
      <c r="AF253" s="262"/>
      <c r="AG253" s="248"/>
      <c r="AH253" s="255"/>
      <c r="AI253" s="255"/>
      <c r="AJ253" s="255"/>
    </row>
    <row r="254" spans="1:36" ht="14.5" customHeight="1" x14ac:dyDescent="0.35">
      <c r="A254" s="248"/>
      <c r="B254" s="248"/>
      <c r="C254" s="241"/>
      <c r="D254" s="241"/>
      <c r="E254" s="248"/>
      <c r="F254" s="246"/>
      <c r="G254" s="46" t="s">
        <v>207</v>
      </c>
      <c r="H254" s="293"/>
      <c r="I254" s="71" t="s">
        <v>119</v>
      </c>
      <c r="J254" s="293"/>
      <c r="K254" s="293"/>
      <c r="L254" s="293"/>
      <c r="M254" s="293"/>
      <c r="N254" s="293"/>
      <c r="O254" s="293"/>
      <c r="P254" s="293"/>
      <c r="Q254" s="293"/>
      <c r="R254" s="293"/>
      <c r="S254" s="258"/>
      <c r="T254" s="68">
        <f>IF($S$251="","",IF(COUNT(J254:R254)=0,"",IF(MAX(J254:R254)&gt;3,$I254,"")))</f>
      </c>
      <c r="U254" s="248"/>
      <c r="V254" s="251"/>
      <c r="W254" s="248"/>
      <c r="X254" s="248"/>
      <c r="Y254" s="262"/>
      <c r="Z254" s="262"/>
      <c r="AA254" s="248"/>
      <c r="AB254" s="248"/>
      <c r="AC254" s="246"/>
      <c r="AD254" s="248"/>
      <c r="AE254" s="262"/>
      <c r="AF254" s="262"/>
      <c r="AG254" s="248"/>
      <c r="AH254" s="255"/>
      <c r="AI254" s="255"/>
      <c r="AJ254" s="255"/>
    </row>
    <row r="255" spans="1:36" ht="14.5" customHeight="1" x14ac:dyDescent="0.35">
      <c r="A255" s="248"/>
      <c r="B255" s="248"/>
      <c r="C255" s="241"/>
      <c r="D255" s="241"/>
      <c r="E255" s="248"/>
      <c r="F255" s="246"/>
      <c r="G255" s="46" t="s">
        <v>161</v>
      </c>
      <c r="H255" s="293"/>
      <c r="I255" s="71" t="s">
        <v>120</v>
      </c>
      <c r="J255" s="293"/>
      <c r="K255" s="293"/>
      <c r="L255" s="293"/>
      <c r="M255" s="293"/>
      <c r="N255" s="293"/>
      <c r="O255" s="293"/>
      <c r="P255" s="293"/>
      <c r="Q255" s="293"/>
      <c r="R255" s="293"/>
      <c r="S255" s="258"/>
      <c r="T255" s="68">
        <f>IF($S$251="","",IF(COUNT(J255:R255)=0,"",IF(MAX(J255:R255)&gt;3,$I255,"")))</f>
      </c>
      <c r="U255" s="248"/>
      <c r="V255" s="251"/>
      <c r="W255" s="248"/>
      <c r="X255" s="248"/>
      <c r="Y255" s="262"/>
      <c r="Z255" s="262"/>
      <c r="AA255" s="248"/>
      <c r="AB255" s="248"/>
      <c r="AC255" s="246"/>
      <c r="AD255" s="248"/>
      <c r="AE255" s="262"/>
      <c r="AF255" s="262"/>
      <c r="AG255" s="248"/>
      <c r="AH255" s="255"/>
      <c r="AI255" s="255"/>
      <c r="AJ255" s="255"/>
    </row>
    <row r="256" spans="1:36" ht="14.5" customHeight="1" x14ac:dyDescent="0.35">
      <c r="A256" s="248"/>
      <c r="B256" s="248"/>
      <c r="C256" s="241"/>
      <c r="D256" s="241"/>
      <c r="E256" s="248"/>
      <c r="F256" s="246"/>
      <c r="G256" s="46" t="s">
        <v>208</v>
      </c>
      <c r="H256" s="293"/>
      <c r="I256" s="71" t="s">
        <v>121</v>
      </c>
      <c r="J256" s="293"/>
      <c r="K256" s="293"/>
      <c r="L256" s="293"/>
      <c r="M256" s="293"/>
      <c r="N256" s="293"/>
      <c r="O256" s="293"/>
      <c r="P256" s="293"/>
      <c r="Q256" s="293"/>
      <c r="R256" s="293"/>
      <c r="S256" s="258"/>
      <c r="T256" s="68">
        <f>IF($S$251="","",IF(COUNT(J256:R256)=0,"",IF(MAX(J256:R256)&gt;3,$I256,"")))</f>
      </c>
      <c r="U256" s="248"/>
      <c r="V256" s="251"/>
      <c r="W256" s="248"/>
      <c r="X256" s="248"/>
      <c r="Y256" s="262"/>
      <c r="Z256" s="262"/>
      <c r="AA256" s="248"/>
      <c r="AB256" s="248"/>
      <c r="AC256" s="246"/>
      <c r="AD256" s="248"/>
      <c r="AE256" s="262"/>
      <c r="AF256" s="262"/>
      <c r="AG256" s="248"/>
      <c r="AH256" s="255"/>
      <c r="AI256" s="255"/>
      <c r="AJ256" s="255"/>
    </row>
    <row r="257" spans="1:36" ht="14.5" customHeight="1" x14ac:dyDescent="0.35">
      <c r="A257" s="248"/>
      <c r="B257" s="248"/>
      <c r="C257" s="242"/>
      <c r="D257" s="242"/>
      <c r="E257" s="248"/>
      <c r="F257" s="246"/>
      <c r="G257" s="46" t="s">
        <v>209</v>
      </c>
      <c r="H257" s="293"/>
      <c r="I257" s="71" t="s">
        <v>122</v>
      </c>
      <c r="J257" s="293"/>
      <c r="K257" s="293"/>
      <c r="L257" s="293"/>
      <c r="M257" s="293"/>
      <c r="N257" s="293"/>
      <c r="O257" s="293"/>
      <c r="P257" s="293"/>
      <c r="Q257" s="293"/>
      <c r="R257" s="293"/>
      <c r="S257" s="259"/>
      <c r="T257" s="68">
        <f>IF($S$251="","",IF(COUNT(J257:R257)=0,"",IF(MAX(J257:R257)&gt;3,$I257,"")))</f>
      </c>
      <c r="U257" s="248"/>
      <c r="V257" s="251"/>
      <c r="W257" s="248"/>
      <c r="X257" s="248"/>
      <c r="Y257" s="262"/>
      <c r="Z257" s="262"/>
      <c r="AA257" s="248"/>
      <c r="AB257" s="248"/>
      <c r="AC257" s="246"/>
      <c r="AD257" s="248"/>
      <c r="AE257" s="262"/>
      <c r="AF257" s="262"/>
      <c r="AG257" s="248"/>
      <c r="AH257" s="255"/>
      <c r="AI257" s="255"/>
      <c r="AJ257" s="255"/>
    </row>
    <row r="258" spans="1:36" ht="14.5" customHeight="1" x14ac:dyDescent="0.35">
      <c r="A258" s="252">
        <v>37</v>
      </c>
      <c r="B258" s="264">
        <f>IF($E258="","","BIA-"&amp;TEXT(37,"000"))</f>
      </c>
      <c r="C258" s="240">
        <f>IFERROR(INDEX(BusinessUnits1,MATCH($A258,'04. Products &amp; Services'!$N$5:$N$49,0)),"")</f>
      </c>
      <c r="D258" s="240">
        <f>IFERROR(INDEX(DivisionSites,MATCH($A258,'04. Products &amp; Services'!$N$5:$N$49,0)),"")</f>
      </c>
      <c r="E258" s="253">
        <f>IFERROR(INDEX(ScopeNames,MATCH($A258,'04. Products &amp; Services'!$N$5:$N$49,0)),"")</f>
      </c>
      <c r="F258" s="265">
        <f>IF($E258="","",IFERROR(IF(INDEX(PS_ID,MATCH($E258,ScopeNames,0))="","",INDEX(PS_ID,MATCH($E258,ScopeNames,0))),""))</f>
      </c>
      <c r="G258" s="46" t="s">
        <v>205</v>
      </c>
      <c r="H258" s="293"/>
      <c r="I258" s="71" t="s">
        <v>116</v>
      </c>
      <c r="J258" s="293"/>
      <c r="K258" s="293"/>
      <c r="L258" s="293"/>
      <c r="M258" s="293"/>
      <c r="N258" s="293"/>
      <c r="O258" s="293"/>
      <c r="P258" s="293"/>
      <c r="Q258" s="293"/>
      <c r="R258" s="293"/>
      <c r="S258" s="257">
        <f>IF(COUNT(J258:R264)=0,"",MAX(J258:R264))</f>
      </c>
      <c r="T258" s="68">
        <f>IF($S$258="","",IF(COUNT(J258:R258)=0,"",IF(MAX(J258:R258)&gt;3,$I258,"")))</f>
      </c>
      <c r="U258" s="249">
        <f>IF($E258="","",IFERROR(IF(INDEX('04. Products &amp; Services'!$J$5:$J$49,MATCH($A258,'04. Products &amp; Services'!$N$5:$N$49,0))="","",INDEX('04. Products &amp; Services'!$J$5:$J$49,MATCH($A258,'04. Products &amp; Services'!$N$5:$N$49,0))),""))</f>
      </c>
      <c r="V258" s="299"/>
      <c r="W258" s="247">
        <f>IF($E258="","",IF(OR($U258="Yes",$V258="Yes"),"Yes",IF(AND($U258="No",$V258="No"),"No",IF(AND($U258="Under Evaluation",$V258="No"),"Under Evaluation",""))))</f>
      </c>
      <c r="X258" s="270">
        <f>IF($E258="","",IFERROR(IF(INDEX('04. Products &amp; Services'!$K$5:$K$49,MATCH($A258,'04. Products &amp; Services'!$N$5:$N$49,0))="","",INDEX('04. Products &amp; Services'!$K$5:$K$49,MATCH($A258,'04. Products &amp; Services'!$N$5:$N$49,0))),""))</f>
      </c>
      <c r="Y258" s="269"/>
      <c r="Z258" s="269"/>
      <c r="AA258" s="247">
        <f>IF($E258="","",IF(COUNT(J258:R264)=0,"",IF(MAX(J258:J264)&gt;=4,6,IF(MAX(K258:K264)&gt;=4,18,IF(MAX(L258:L264)&gt;=4,36,IF(MAX(M258:M264)&gt;=4,72,IF(MAX(N258:N264)&gt;=4,168,IF(MAX(O258:O264)&gt;=4,336,IF(MAX(P258:P264)&gt;=4,504,IF(MAX(Q258:Q264)&gt;=4,672,IF(MAX(R258:R264)&gt;=4,"","")))))))))))</f>
      </c>
      <c r="AB258" s="247">
        <f>IF($E258="","",IFERROR(IF(INDEX('04. Products &amp; Services'!$M$5:$M$49,MATCH($A258,'04. Products &amp; Services'!$N$5:$N$49,0))="","",INDEX('04. Products &amp; Services'!$M$5:$M$49,MATCH($A258,'04. Products &amp; Services'!$N$5:$N$49,0))),""))</f>
      </c>
      <c r="AC258" s="245"/>
      <c r="AD258" s="260">
        <f>IF(AC258="","",IF(ISNUMBER(AC258),AC258,IFERROR(VALUE(LEFT(TRIM(AC258),FIND(" ",TRIM(AC258))-1))*VLOOKUP(LEFT(LOWER(TRIM(MID(TRIM(AC258),FIND(" ",TRIM(AC258))+1,99))),3),DurationUnits,2,FALSE),"")))</f>
      </c>
      <c r="AE258" s="261"/>
      <c r="AF258" s="263"/>
      <c r="AG258" s="256">
        <f>IF($AF258="","",EDATE($AF258,12))</f>
      </c>
      <c r="AH258" s="254" cm="1">
        <f t="array" ref="AH258">IF($B258="","",_xlfn.LET(_xlpm.ids,'15. BCM Risk Register'!$A$6:$A$65,_xlpm.links,'15. BCM Risk Register'!$I$6:$I$65,_xlpm.hit,ISNUMBER(SEARCH(","&amp;$B258&amp;",",","&amp;SUBSTITUTE(_xlpm.links," ","")&amp;",")),IFERROR(_xlfn.TEXTJOIN(", ",TRUE,_xlfn.UNIQUE(_xlfn._xlws.FILTER(_xlpm.ids,_xlpm.hit*(_xlpm.ids&lt;&gt;"")))),"Not Created")))</f>
      </c>
      <c r="AI258" s="254" cm="1">
        <f t="array" ref="AI258">IF($B258="","",_xlfn.LET(_xlpm.ids,'15. BCM Risk Register'!$L$6:$L$65,_xlpm.links,'15. BCM Risk Register'!$I$6:$I$65,_xlpm.hit,ISNUMBER(SEARCH(","&amp;$B258&amp;",",","&amp;SUBSTITUTE(_xlpm.links," ","")&amp;",")),IFERROR(_xlfn.TEXTJOIN(", ",TRUE,_xlfn.UNIQUE(_xlfn._xlws.FILTER(_xlpm.ids,_xlpm.hit*(_xlpm.ids&lt;&gt;"")*(_xlpm.ids&lt;&gt;"Not Created")))),"Not Created")))</f>
      </c>
      <c r="AJ258" s="254" cm="1">
        <f t="array" ref="AJ258">IF($B258="","",_xlfn.LET(_xlpm.ids,'15. BCM Risk Register'!$K$6:$K$65,_xlpm.links,'15. BCM Risk Register'!$I$6:$I$65,_xlpm.hit,ISNUMBER(SEARCH(","&amp;$B258&amp;",",","&amp;SUBSTITUTE(_xlpm.links," ","")&amp;",")),IFERROR(_xlfn.TEXTJOIN(", ",TRUE,_xlfn.UNIQUE(_xlfn._xlws.FILTER(_xlpm.ids,_xlpm.hit*(_xlpm.ids&lt;&gt;"")*(_xlpm.ids&lt;&gt;"Not Created")))),"Not Created")))</f>
      </c>
    </row>
    <row r="259" spans="1:36" ht="14.5" customHeight="1" x14ac:dyDescent="0.35">
      <c r="A259" s="248"/>
      <c r="B259" s="248"/>
      <c r="C259" s="241"/>
      <c r="D259" s="241"/>
      <c r="E259" s="248"/>
      <c r="F259" s="246"/>
      <c r="G259" s="46" t="s">
        <v>160</v>
      </c>
      <c r="H259" s="293"/>
      <c r="I259" s="71" t="s">
        <v>117</v>
      </c>
      <c r="J259" s="293"/>
      <c r="K259" s="293"/>
      <c r="L259" s="293"/>
      <c r="M259" s="293"/>
      <c r="N259" s="293"/>
      <c r="O259" s="293"/>
      <c r="P259" s="293"/>
      <c r="Q259" s="293"/>
      <c r="R259" s="293"/>
      <c r="S259" s="258"/>
      <c r="T259" s="68">
        <f>IF($S$258="","",IF(COUNT(J259:R259)=0,"",IF(MAX(J259:R259)&gt;3,$I259,"")))</f>
      </c>
      <c r="U259" s="248"/>
      <c r="V259" s="251"/>
      <c r="W259" s="248"/>
      <c r="X259" s="248"/>
      <c r="Y259" s="262"/>
      <c r="Z259" s="262"/>
      <c r="AA259" s="248"/>
      <c r="AB259" s="248"/>
      <c r="AC259" s="246"/>
      <c r="AD259" s="248"/>
      <c r="AE259" s="262"/>
      <c r="AF259" s="262"/>
      <c r="AG259" s="248"/>
      <c r="AH259" s="255"/>
      <c r="AI259" s="255"/>
      <c r="AJ259" s="255"/>
    </row>
    <row r="260" spans="1:36" ht="14.5" customHeight="1" x14ac:dyDescent="0.35">
      <c r="A260" s="248"/>
      <c r="B260" s="248"/>
      <c r="C260" s="241"/>
      <c r="D260" s="241"/>
      <c r="E260" s="248"/>
      <c r="F260" s="246"/>
      <c r="G260" s="46" t="s">
        <v>206</v>
      </c>
      <c r="H260" s="293"/>
      <c r="I260" s="71" t="s">
        <v>118</v>
      </c>
      <c r="J260" s="293"/>
      <c r="K260" s="293"/>
      <c r="L260" s="293"/>
      <c r="M260" s="293"/>
      <c r="N260" s="293"/>
      <c r="O260" s="293"/>
      <c r="P260" s="293"/>
      <c r="Q260" s="293"/>
      <c r="R260" s="293"/>
      <c r="S260" s="258"/>
      <c r="T260" s="68">
        <f>IF($S$258="","",IF(COUNT(J260:R260)=0,"",IF(MAX(J260:R260)&gt;3,$I260,"")))</f>
      </c>
      <c r="U260" s="248"/>
      <c r="V260" s="251"/>
      <c r="W260" s="248"/>
      <c r="X260" s="248"/>
      <c r="Y260" s="262"/>
      <c r="Z260" s="262"/>
      <c r="AA260" s="248"/>
      <c r="AB260" s="248"/>
      <c r="AC260" s="246"/>
      <c r="AD260" s="248"/>
      <c r="AE260" s="262"/>
      <c r="AF260" s="262"/>
      <c r="AG260" s="248"/>
      <c r="AH260" s="255"/>
      <c r="AI260" s="255"/>
      <c r="AJ260" s="255"/>
    </row>
    <row r="261" spans="1:36" ht="14.5" customHeight="1" x14ac:dyDescent="0.35">
      <c r="A261" s="248"/>
      <c r="B261" s="248"/>
      <c r="C261" s="241"/>
      <c r="D261" s="241"/>
      <c r="E261" s="248"/>
      <c r="F261" s="246"/>
      <c r="G261" s="46" t="s">
        <v>207</v>
      </c>
      <c r="H261" s="293"/>
      <c r="I261" s="71" t="s">
        <v>119</v>
      </c>
      <c r="J261" s="293"/>
      <c r="K261" s="293"/>
      <c r="L261" s="293"/>
      <c r="M261" s="293"/>
      <c r="N261" s="293"/>
      <c r="O261" s="293"/>
      <c r="P261" s="293"/>
      <c r="Q261" s="293"/>
      <c r="R261" s="293"/>
      <c r="S261" s="258"/>
      <c r="T261" s="68">
        <f>IF($S$258="","",IF(COUNT(J261:R261)=0,"",IF(MAX(J261:R261)&gt;3,$I261,"")))</f>
      </c>
      <c r="U261" s="248"/>
      <c r="V261" s="251"/>
      <c r="W261" s="248"/>
      <c r="X261" s="248"/>
      <c r="Y261" s="262"/>
      <c r="Z261" s="262"/>
      <c r="AA261" s="248"/>
      <c r="AB261" s="248"/>
      <c r="AC261" s="246"/>
      <c r="AD261" s="248"/>
      <c r="AE261" s="262"/>
      <c r="AF261" s="262"/>
      <c r="AG261" s="248"/>
      <c r="AH261" s="255"/>
      <c r="AI261" s="255"/>
      <c r="AJ261" s="255"/>
    </row>
    <row r="262" spans="1:36" ht="14.5" customHeight="1" x14ac:dyDescent="0.35">
      <c r="A262" s="248"/>
      <c r="B262" s="248"/>
      <c r="C262" s="241"/>
      <c r="D262" s="241"/>
      <c r="E262" s="248"/>
      <c r="F262" s="246"/>
      <c r="G262" s="46" t="s">
        <v>161</v>
      </c>
      <c r="H262" s="293"/>
      <c r="I262" s="71" t="s">
        <v>120</v>
      </c>
      <c r="J262" s="293"/>
      <c r="K262" s="293"/>
      <c r="L262" s="293"/>
      <c r="M262" s="293"/>
      <c r="N262" s="293"/>
      <c r="O262" s="293"/>
      <c r="P262" s="293"/>
      <c r="Q262" s="293"/>
      <c r="R262" s="293"/>
      <c r="S262" s="258"/>
      <c r="T262" s="68">
        <f>IF($S$258="","",IF(COUNT(J262:R262)=0,"",IF(MAX(J262:R262)&gt;3,$I262,"")))</f>
      </c>
      <c r="U262" s="248"/>
      <c r="V262" s="251"/>
      <c r="W262" s="248"/>
      <c r="X262" s="248"/>
      <c r="Y262" s="262"/>
      <c r="Z262" s="262"/>
      <c r="AA262" s="248"/>
      <c r="AB262" s="248"/>
      <c r="AC262" s="246"/>
      <c r="AD262" s="248"/>
      <c r="AE262" s="262"/>
      <c r="AF262" s="262"/>
      <c r="AG262" s="248"/>
      <c r="AH262" s="255"/>
      <c r="AI262" s="255"/>
      <c r="AJ262" s="255"/>
    </row>
    <row r="263" spans="1:36" ht="14.5" customHeight="1" x14ac:dyDescent="0.35">
      <c r="A263" s="248"/>
      <c r="B263" s="248"/>
      <c r="C263" s="241"/>
      <c r="D263" s="241"/>
      <c r="E263" s="248"/>
      <c r="F263" s="246"/>
      <c r="G263" s="46" t="s">
        <v>208</v>
      </c>
      <c r="H263" s="293"/>
      <c r="I263" s="71" t="s">
        <v>121</v>
      </c>
      <c r="J263" s="293"/>
      <c r="K263" s="293"/>
      <c r="L263" s="293"/>
      <c r="M263" s="293"/>
      <c r="N263" s="293"/>
      <c r="O263" s="293"/>
      <c r="P263" s="293"/>
      <c r="Q263" s="293"/>
      <c r="R263" s="293"/>
      <c r="S263" s="258"/>
      <c r="T263" s="68">
        <f>IF($S$258="","",IF(COUNT(J263:R263)=0,"",IF(MAX(J263:R263)&gt;3,$I263,"")))</f>
      </c>
      <c r="U263" s="248"/>
      <c r="V263" s="251"/>
      <c r="W263" s="248"/>
      <c r="X263" s="248"/>
      <c r="Y263" s="262"/>
      <c r="Z263" s="262"/>
      <c r="AA263" s="248"/>
      <c r="AB263" s="248"/>
      <c r="AC263" s="246"/>
      <c r="AD263" s="248"/>
      <c r="AE263" s="262"/>
      <c r="AF263" s="262"/>
      <c r="AG263" s="248"/>
      <c r="AH263" s="255"/>
      <c r="AI263" s="255"/>
      <c r="AJ263" s="255"/>
    </row>
    <row r="264" spans="1:36" ht="14.5" customHeight="1" x14ac:dyDescent="0.35">
      <c r="A264" s="248"/>
      <c r="B264" s="248"/>
      <c r="C264" s="242"/>
      <c r="D264" s="242"/>
      <c r="E264" s="248"/>
      <c r="F264" s="246"/>
      <c r="G264" s="46" t="s">
        <v>209</v>
      </c>
      <c r="H264" s="293"/>
      <c r="I264" s="71" t="s">
        <v>122</v>
      </c>
      <c r="J264" s="293"/>
      <c r="K264" s="293"/>
      <c r="L264" s="293"/>
      <c r="M264" s="293"/>
      <c r="N264" s="293"/>
      <c r="O264" s="293"/>
      <c r="P264" s="293"/>
      <c r="Q264" s="293"/>
      <c r="R264" s="293"/>
      <c r="S264" s="259"/>
      <c r="T264" s="68">
        <f>IF($S$258="","",IF(COUNT(J264:R264)=0,"",IF(MAX(J264:R264)&gt;3,$I264,"")))</f>
      </c>
      <c r="U264" s="248"/>
      <c r="V264" s="251"/>
      <c r="W264" s="248"/>
      <c r="X264" s="248"/>
      <c r="Y264" s="262"/>
      <c r="Z264" s="262"/>
      <c r="AA264" s="248"/>
      <c r="AB264" s="248"/>
      <c r="AC264" s="246"/>
      <c r="AD264" s="248"/>
      <c r="AE264" s="262"/>
      <c r="AF264" s="262"/>
      <c r="AG264" s="248"/>
      <c r="AH264" s="255"/>
      <c r="AI264" s="255"/>
      <c r="AJ264" s="255"/>
    </row>
    <row r="265" spans="1:36" ht="14.5" customHeight="1" x14ac:dyDescent="0.35">
      <c r="A265" s="252">
        <v>38</v>
      </c>
      <c r="B265" s="264">
        <f>IF($E265="","","BIA-"&amp;TEXT(38,"000"))</f>
      </c>
      <c r="C265" s="240">
        <f>IFERROR(INDEX(BusinessUnits1,MATCH($A265,'04. Products &amp; Services'!$N$5:$N$49,0)),"")</f>
      </c>
      <c r="D265" s="240">
        <f>IFERROR(INDEX(DivisionSites,MATCH($A265,'04. Products &amp; Services'!$N$5:$N$49,0)),"")</f>
      </c>
      <c r="E265" s="253">
        <f>IFERROR(INDEX(ScopeNames,MATCH($A265,'04. Products &amp; Services'!$N$5:$N$49,0)),"")</f>
      </c>
      <c r="F265" s="265">
        <f>IF($E265="","",IFERROR(IF(INDEX(PS_ID,MATCH($E265,ScopeNames,0))="","",INDEX(PS_ID,MATCH($E265,ScopeNames,0))),""))</f>
      </c>
      <c r="G265" s="46" t="s">
        <v>205</v>
      </c>
      <c r="H265" s="293"/>
      <c r="I265" s="71" t="s">
        <v>116</v>
      </c>
      <c r="J265" s="293"/>
      <c r="K265" s="293"/>
      <c r="L265" s="293"/>
      <c r="M265" s="293"/>
      <c r="N265" s="293"/>
      <c r="O265" s="293"/>
      <c r="P265" s="293"/>
      <c r="Q265" s="293"/>
      <c r="R265" s="293"/>
      <c r="S265" s="257">
        <f>IF(COUNT(J265:R271)=0,"",MAX(J265:R271))</f>
      </c>
      <c r="T265" s="68">
        <f>IF($S$265="","",IF(COUNT(J265:R265)=0,"",IF(MAX(J265:R265)&gt;3,$I265,"")))</f>
      </c>
      <c r="U265" s="249">
        <f>IF($E265="","",IFERROR(IF(INDEX('04. Products &amp; Services'!$J$5:$J$49,MATCH($A265,'04. Products &amp; Services'!$N$5:$N$49,0))="","",INDEX('04. Products &amp; Services'!$J$5:$J$49,MATCH($A265,'04. Products &amp; Services'!$N$5:$N$49,0))),""))</f>
      </c>
      <c r="V265" s="299"/>
      <c r="W265" s="247">
        <f>IF($E265="","",IF(OR($U265="Yes",$V265="Yes"),"Yes",IF(AND($U265="No",$V265="No"),"No",IF(AND($U265="Under Evaluation",$V265="No"),"Under Evaluation",""))))</f>
      </c>
      <c r="X265" s="270">
        <f>IF($E265="","",IFERROR(IF(INDEX('04. Products &amp; Services'!$K$5:$K$49,MATCH($A265,'04. Products &amp; Services'!$N$5:$N$49,0))="","",INDEX('04. Products &amp; Services'!$K$5:$K$49,MATCH($A265,'04. Products &amp; Services'!$N$5:$N$49,0))),""))</f>
      </c>
      <c r="Y265" s="269"/>
      <c r="Z265" s="269"/>
      <c r="AA265" s="247">
        <f>IF($E265="","",IF(COUNT(J265:R271)=0,"",IF(MAX(J265:J271)&gt;=4,6,IF(MAX(K265:K271)&gt;=4,18,IF(MAX(L265:L271)&gt;=4,36,IF(MAX(M265:M271)&gt;=4,72,IF(MAX(N265:N271)&gt;=4,168,IF(MAX(O265:O271)&gt;=4,336,IF(MAX(P265:P271)&gt;=4,504,IF(MAX(Q265:Q271)&gt;=4,672,IF(MAX(R265:R271)&gt;=4,"","")))))))))))</f>
      </c>
      <c r="AB265" s="247">
        <f>IF($E265="","",IFERROR(IF(INDEX('04. Products &amp; Services'!$M$5:$M$49,MATCH($A265,'04. Products &amp; Services'!$N$5:$N$49,0))="","",INDEX('04. Products &amp; Services'!$M$5:$M$49,MATCH($A265,'04. Products &amp; Services'!$N$5:$N$49,0))),""))</f>
      </c>
      <c r="AC265" s="245"/>
      <c r="AD265" s="260">
        <f>IF(AC265="","",IF(ISNUMBER(AC265),AC265,IFERROR(VALUE(LEFT(TRIM(AC265),FIND(" ",TRIM(AC265))-1))*VLOOKUP(LEFT(LOWER(TRIM(MID(TRIM(AC265),FIND(" ",TRIM(AC265))+1,99))),3),DurationUnits,2,FALSE),"")))</f>
      </c>
      <c r="AE265" s="261"/>
      <c r="AF265" s="263"/>
      <c r="AG265" s="256">
        <f>IF($AF265="","",EDATE($AF265,12))</f>
      </c>
      <c r="AH265" s="254" cm="1">
        <f t="array" ref="AH265">IF($B265="","",_xlfn.LET(_xlpm.ids,'15. BCM Risk Register'!$A$6:$A$65,_xlpm.links,'15. BCM Risk Register'!$I$6:$I$65,_xlpm.hit,ISNUMBER(SEARCH(","&amp;$B265&amp;",",","&amp;SUBSTITUTE(_xlpm.links," ","")&amp;",")),IFERROR(_xlfn.TEXTJOIN(", ",TRUE,_xlfn.UNIQUE(_xlfn._xlws.FILTER(_xlpm.ids,_xlpm.hit*(_xlpm.ids&lt;&gt;"")))),"Not Created")))</f>
      </c>
      <c r="AI265" s="254" cm="1">
        <f t="array" ref="AI265">IF($B265="","",_xlfn.LET(_xlpm.ids,'15. BCM Risk Register'!$L$6:$L$65,_xlpm.links,'15. BCM Risk Register'!$I$6:$I$65,_xlpm.hit,ISNUMBER(SEARCH(","&amp;$B265&amp;",",","&amp;SUBSTITUTE(_xlpm.links," ","")&amp;",")),IFERROR(_xlfn.TEXTJOIN(", ",TRUE,_xlfn.UNIQUE(_xlfn._xlws.FILTER(_xlpm.ids,_xlpm.hit*(_xlpm.ids&lt;&gt;"")*(_xlpm.ids&lt;&gt;"Not Created")))),"Not Created")))</f>
      </c>
      <c r="AJ265" s="254" cm="1">
        <f t="array" ref="AJ265">IF($B265="","",_xlfn.LET(_xlpm.ids,'15. BCM Risk Register'!$K$6:$K$65,_xlpm.links,'15. BCM Risk Register'!$I$6:$I$65,_xlpm.hit,ISNUMBER(SEARCH(","&amp;$B265&amp;",",","&amp;SUBSTITUTE(_xlpm.links," ","")&amp;",")),IFERROR(_xlfn.TEXTJOIN(", ",TRUE,_xlfn.UNIQUE(_xlfn._xlws.FILTER(_xlpm.ids,_xlpm.hit*(_xlpm.ids&lt;&gt;"")*(_xlpm.ids&lt;&gt;"Not Created")))),"Not Created")))</f>
      </c>
    </row>
    <row r="266" spans="1:36" ht="14.5" customHeight="1" x14ac:dyDescent="0.35">
      <c r="A266" s="248"/>
      <c r="B266" s="248"/>
      <c r="C266" s="241"/>
      <c r="D266" s="241"/>
      <c r="E266" s="248"/>
      <c r="F266" s="246"/>
      <c r="G266" s="46" t="s">
        <v>160</v>
      </c>
      <c r="H266" s="293"/>
      <c r="I266" s="71" t="s">
        <v>117</v>
      </c>
      <c r="J266" s="293"/>
      <c r="K266" s="293"/>
      <c r="L266" s="293"/>
      <c r="M266" s="293"/>
      <c r="N266" s="293"/>
      <c r="O266" s="293"/>
      <c r="P266" s="293"/>
      <c r="Q266" s="293"/>
      <c r="R266" s="293"/>
      <c r="S266" s="258"/>
      <c r="T266" s="68">
        <f>IF($S$265="","",IF(COUNT(J266:R266)=0,"",IF(MAX(J266:R266)&gt;3,$I266,"")))</f>
      </c>
      <c r="U266" s="248"/>
      <c r="V266" s="251"/>
      <c r="W266" s="248"/>
      <c r="X266" s="248"/>
      <c r="Y266" s="262"/>
      <c r="Z266" s="262"/>
      <c r="AA266" s="248"/>
      <c r="AB266" s="248"/>
      <c r="AC266" s="246"/>
      <c r="AD266" s="248"/>
      <c r="AE266" s="262"/>
      <c r="AF266" s="262"/>
      <c r="AG266" s="248"/>
      <c r="AH266" s="255"/>
      <c r="AI266" s="255"/>
      <c r="AJ266" s="255"/>
    </row>
    <row r="267" spans="1:36" ht="14.5" customHeight="1" x14ac:dyDescent="0.35">
      <c r="A267" s="248"/>
      <c r="B267" s="248"/>
      <c r="C267" s="241"/>
      <c r="D267" s="241"/>
      <c r="E267" s="248"/>
      <c r="F267" s="246"/>
      <c r="G267" s="46" t="s">
        <v>206</v>
      </c>
      <c r="H267" s="293"/>
      <c r="I267" s="71" t="s">
        <v>118</v>
      </c>
      <c r="J267" s="293"/>
      <c r="K267" s="293"/>
      <c r="L267" s="293"/>
      <c r="M267" s="293"/>
      <c r="N267" s="293"/>
      <c r="O267" s="293"/>
      <c r="P267" s="293"/>
      <c r="Q267" s="293"/>
      <c r="R267" s="293"/>
      <c r="S267" s="258"/>
      <c r="T267" s="68">
        <f>IF($S$265="","",IF(COUNT(J267:R267)=0,"",IF(MAX(J267:R267)&gt;3,$I267,"")))</f>
      </c>
      <c r="U267" s="248"/>
      <c r="V267" s="251"/>
      <c r="W267" s="248"/>
      <c r="X267" s="248"/>
      <c r="Y267" s="262"/>
      <c r="Z267" s="262"/>
      <c r="AA267" s="248"/>
      <c r="AB267" s="248"/>
      <c r="AC267" s="246"/>
      <c r="AD267" s="248"/>
      <c r="AE267" s="262"/>
      <c r="AF267" s="262"/>
      <c r="AG267" s="248"/>
      <c r="AH267" s="255"/>
      <c r="AI267" s="255"/>
      <c r="AJ267" s="255"/>
    </row>
    <row r="268" spans="1:36" ht="14.5" customHeight="1" x14ac:dyDescent="0.35">
      <c r="A268" s="248"/>
      <c r="B268" s="248"/>
      <c r="C268" s="241"/>
      <c r="D268" s="241"/>
      <c r="E268" s="248"/>
      <c r="F268" s="246"/>
      <c r="G268" s="46" t="s">
        <v>207</v>
      </c>
      <c r="H268" s="293"/>
      <c r="I268" s="71" t="s">
        <v>119</v>
      </c>
      <c r="J268" s="293"/>
      <c r="K268" s="293"/>
      <c r="L268" s="293"/>
      <c r="M268" s="293"/>
      <c r="N268" s="293"/>
      <c r="O268" s="293"/>
      <c r="P268" s="293"/>
      <c r="Q268" s="293"/>
      <c r="R268" s="293"/>
      <c r="S268" s="258"/>
      <c r="T268" s="68">
        <f>IF($S$265="","",IF(COUNT(J268:R268)=0,"",IF(MAX(J268:R268)&gt;3,$I268,"")))</f>
      </c>
      <c r="U268" s="248"/>
      <c r="V268" s="251"/>
      <c r="W268" s="248"/>
      <c r="X268" s="248"/>
      <c r="Y268" s="262"/>
      <c r="Z268" s="262"/>
      <c r="AA268" s="248"/>
      <c r="AB268" s="248"/>
      <c r="AC268" s="246"/>
      <c r="AD268" s="248"/>
      <c r="AE268" s="262"/>
      <c r="AF268" s="262"/>
      <c r="AG268" s="248"/>
      <c r="AH268" s="255"/>
      <c r="AI268" s="255"/>
      <c r="AJ268" s="255"/>
    </row>
    <row r="269" spans="1:36" ht="14.5" customHeight="1" x14ac:dyDescent="0.35">
      <c r="A269" s="248"/>
      <c r="B269" s="248"/>
      <c r="C269" s="241"/>
      <c r="D269" s="241"/>
      <c r="E269" s="248"/>
      <c r="F269" s="246"/>
      <c r="G269" s="46" t="s">
        <v>161</v>
      </c>
      <c r="H269" s="293"/>
      <c r="I269" s="71" t="s">
        <v>120</v>
      </c>
      <c r="J269" s="293"/>
      <c r="K269" s="293"/>
      <c r="L269" s="293"/>
      <c r="M269" s="293"/>
      <c r="N269" s="293"/>
      <c r="O269" s="293"/>
      <c r="P269" s="293"/>
      <c r="Q269" s="293"/>
      <c r="R269" s="293"/>
      <c r="S269" s="258"/>
      <c r="T269" s="68">
        <f>IF($S$265="","",IF(COUNT(J269:R269)=0,"",IF(MAX(J269:R269)&gt;3,$I269,"")))</f>
      </c>
      <c r="U269" s="248"/>
      <c r="V269" s="251"/>
      <c r="W269" s="248"/>
      <c r="X269" s="248"/>
      <c r="Y269" s="262"/>
      <c r="Z269" s="262"/>
      <c r="AA269" s="248"/>
      <c r="AB269" s="248"/>
      <c r="AC269" s="246"/>
      <c r="AD269" s="248"/>
      <c r="AE269" s="262"/>
      <c r="AF269" s="262"/>
      <c r="AG269" s="248"/>
      <c r="AH269" s="255"/>
      <c r="AI269" s="255"/>
      <c r="AJ269" s="255"/>
    </row>
    <row r="270" spans="1:36" ht="14.5" customHeight="1" x14ac:dyDescent="0.35">
      <c r="A270" s="248"/>
      <c r="B270" s="248"/>
      <c r="C270" s="241"/>
      <c r="D270" s="241"/>
      <c r="E270" s="248"/>
      <c r="F270" s="246"/>
      <c r="G270" s="46" t="s">
        <v>208</v>
      </c>
      <c r="H270" s="293"/>
      <c r="I270" s="71" t="s">
        <v>121</v>
      </c>
      <c r="J270" s="293"/>
      <c r="K270" s="293"/>
      <c r="L270" s="293"/>
      <c r="M270" s="293"/>
      <c r="N270" s="293"/>
      <c r="O270" s="293"/>
      <c r="P270" s="293"/>
      <c r="Q270" s="293"/>
      <c r="R270" s="293"/>
      <c r="S270" s="258"/>
      <c r="T270" s="68">
        <f>IF($S$265="","",IF(COUNT(J270:R270)=0,"",IF(MAX(J270:R270)&gt;3,$I270,"")))</f>
      </c>
      <c r="U270" s="248"/>
      <c r="V270" s="251"/>
      <c r="W270" s="248"/>
      <c r="X270" s="248"/>
      <c r="Y270" s="262"/>
      <c r="Z270" s="262"/>
      <c r="AA270" s="248"/>
      <c r="AB270" s="248"/>
      <c r="AC270" s="246"/>
      <c r="AD270" s="248"/>
      <c r="AE270" s="262"/>
      <c r="AF270" s="262"/>
      <c r="AG270" s="248"/>
      <c r="AH270" s="255"/>
      <c r="AI270" s="255"/>
      <c r="AJ270" s="255"/>
    </row>
    <row r="271" spans="1:36" ht="14.5" customHeight="1" x14ac:dyDescent="0.35">
      <c r="A271" s="248"/>
      <c r="B271" s="248"/>
      <c r="C271" s="242"/>
      <c r="D271" s="242"/>
      <c r="E271" s="248"/>
      <c r="F271" s="246"/>
      <c r="G271" s="46" t="s">
        <v>209</v>
      </c>
      <c r="H271" s="293"/>
      <c r="I271" s="71" t="s">
        <v>122</v>
      </c>
      <c r="J271" s="293"/>
      <c r="K271" s="293"/>
      <c r="L271" s="293"/>
      <c r="M271" s="293"/>
      <c r="N271" s="293"/>
      <c r="O271" s="293"/>
      <c r="P271" s="293"/>
      <c r="Q271" s="293"/>
      <c r="R271" s="293"/>
      <c r="S271" s="259"/>
      <c r="T271" s="68">
        <f>IF($S$265="","",IF(COUNT(J271:R271)=0,"",IF(MAX(J271:R271)&gt;3,$I271,"")))</f>
      </c>
      <c r="U271" s="248"/>
      <c r="V271" s="251"/>
      <c r="W271" s="248"/>
      <c r="X271" s="248"/>
      <c r="Y271" s="262"/>
      <c r="Z271" s="262"/>
      <c r="AA271" s="248"/>
      <c r="AB271" s="248"/>
      <c r="AC271" s="246"/>
      <c r="AD271" s="248"/>
      <c r="AE271" s="262"/>
      <c r="AF271" s="262"/>
      <c r="AG271" s="248"/>
      <c r="AH271" s="255"/>
      <c r="AI271" s="255"/>
      <c r="AJ271" s="255"/>
    </row>
    <row r="272" spans="1:36" ht="14.5" customHeight="1" x14ac:dyDescent="0.35">
      <c r="A272" s="252">
        <v>39</v>
      </c>
      <c r="B272" s="264">
        <f>IF($E272="","","BIA-"&amp;TEXT(39,"000"))</f>
      </c>
      <c r="C272" s="240">
        <f>IFERROR(INDEX(BusinessUnits1,MATCH($A272,'04. Products &amp; Services'!$N$5:$N$49,0)),"")</f>
      </c>
      <c r="D272" s="240">
        <f>IFERROR(INDEX(DivisionSites,MATCH($A272,'04. Products &amp; Services'!$N$5:$N$49,0)),"")</f>
      </c>
      <c r="E272" s="253">
        <f>IFERROR(INDEX(ScopeNames,MATCH($A272,'04. Products &amp; Services'!$N$5:$N$49,0)),"")</f>
      </c>
      <c r="F272" s="265">
        <f>IF($E272="","",IFERROR(IF(INDEX(PS_ID,MATCH($E272,ScopeNames,0))="","",INDEX(PS_ID,MATCH($E272,ScopeNames,0))),""))</f>
      </c>
      <c r="G272" s="46" t="s">
        <v>205</v>
      </c>
      <c r="H272" s="293"/>
      <c r="I272" s="71" t="s">
        <v>116</v>
      </c>
      <c r="J272" s="293"/>
      <c r="K272" s="293"/>
      <c r="L272" s="293"/>
      <c r="M272" s="293"/>
      <c r="N272" s="293"/>
      <c r="O272" s="293"/>
      <c r="P272" s="293"/>
      <c r="Q272" s="293"/>
      <c r="R272" s="293"/>
      <c r="S272" s="257">
        <f>IF(COUNT(J272:R278)=0,"",MAX(J272:R278))</f>
      </c>
      <c r="T272" s="68">
        <f>IF($S$272="","",IF(COUNT(J272:R272)=0,"",IF(MAX(J272:R272)&gt;3,$I272,"")))</f>
      </c>
      <c r="U272" s="249">
        <f>IF($E272="","",IFERROR(IF(INDEX('04. Products &amp; Services'!$J$5:$J$49,MATCH($A272,'04. Products &amp; Services'!$N$5:$N$49,0))="","",INDEX('04. Products &amp; Services'!$J$5:$J$49,MATCH($A272,'04. Products &amp; Services'!$N$5:$N$49,0))),""))</f>
      </c>
      <c r="V272" s="299"/>
      <c r="W272" s="247">
        <f>IF($E272="","",IF(OR($U272="Yes",$V272="Yes"),"Yes",IF(AND($U272="No",$V272="No"),"No",IF(AND($U272="Under Evaluation",$V272="No"),"Under Evaluation",""))))</f>
      </c>
      <c r="X272" s="270">
        <f>IF($E272="","",IFERROR(IF(INDEX('04. Products &amp; Services'!$K$5:$K$49,MATCH($A272,'04. Products &amp; Services'!$N$5:$N$49,0))="","",INDEX('04. Products &amp; Services'!$K$5:$K$49,MATCH($A272,'04. Products &amp; Services'!$N$5:$N$49,0))),""))</f>
      </c>
      <c r="Y272" s="269"/>
      <c r="Z272" s="269"/>
      <c r="AA272" s="247">
        <f>IF($E272="","",IF(COUNT(J272:R278)=0,"",IF(MAX(J272:J278)&gt;=4,6,IF(MAX(K272:K278)&gt;=4,18,IF(MAX(L272:L278)&gt;=4,36,IF(MAX(M272:M278)&gt;=4,72,IF(MAX(N272:N278)&gt;=4,168,IF(MAX(O272:O278)&gt;=4,336,IF(MAX(P272:P278)&gt;=4,504,IF(MAX(Q272:Q278)&gt;=4,672,IF(MAX(R272:R278)&gt;=4,"","")))))))))))</f>
      </c>
      <c r="AB272" s="247">
        <f>IF($E272="","",IFERROR(IF(INDEX('04. Products &amp; Services'!$M$5:$M$49,MATCH($A272,'04. Products &amp; Services'!$N$5:$N$49,0))="","",INDEX('04. Products &amp; Services'!$M$5:$M$49,MATCH($A272,'04. Products &amp; Services'!$N$5:$N$49,0))),""))</f>
      </c>
      <c r="AC272" s="245"/>
      <c r="AD272" s="260">
        <f>IF(AC272="","",IF(ISNUMBER(AC272),AC272,IFERROR(VALUE(LEFT(TRIM(AC272),FIND(" ",TRIM(AC272))-1))*VLOOKUP(LEFT(LOWER(TRIM(MID(TRIM(AC272),FIND(" ",TRIM(AC272))+1,99))),3),DurationUnits,2,FALSE),"")))</f>
      </c>
      <c r="AE272" s="261"/>
      <c r="AF272" s="263"/>
      <c r="AG272" s="256">
        <f>IF($AF272="","",EDATE($AF272,12))</f>
      </c>
      <c r="AH272" s="254" cm="1">
        <f t="array" ref="AH272">IF($B272="","",_xlfn.LET(_xlpm.ids,'15. BCM Risk Register'!$A$6:$A$65,_xlpm.links,'15. BCM Risk Register'!$I$6:$I$65,_xlpm.hit,ISNUMBER(SEARCH(","&amp;$B272&amp;",",","&amp;SUBSTITUTE(_xlpm.links," ","")&amp;",")),IFERROR(_xlfn.TEXTJOIN(", ",TRUE,_xlfn.UNIQUE(_xlfn._xlws.FILTER(_xlpm.ids,_xlpm.hit*(_xlpm.ids&lt;&gt;"")))),"Not Created")))</f>
      </c>
      <c r="AI272" s="254" cm="1">
        <f t="array" ref="AI272">IF($B272="","",_xlfn.LET(_xlpm.ids,'15. BCM Risk Register'!$L$6:$L$65,_xlpm.links,'15. BCM Risk Register'!$I$6:$I$65,_xlpm.hit,ISNUMBER(SEARCH(","&amp;$B272&amp;",",","&amp;SUBSTITUTE(_xlpm.links," ","")&amp;",")),IFERROR(_xlfn.TEXTJOIN(", ",TRUE,_xlfn.UNIQUE(_xlfn._xlws.FILTER(_xlpm.ids,_xlpm.hit*(_xlpm.ids&lt;&gt;"")*(_xlpm.ids&lt;&gt;"Not Created")))),"Not Created")))</f>
      </c>
      <c r="AJ272" s="254" cm="1">
        <f t="array" ref="AJ272">IF($B272="","",_xlfn.LET(_xlpm.ids,'15. BCM Risk Register'!$K$6:$K$65,_xlpm.links,'15. BCM Risk Register'!$I$6:$I$65,_xlpm.hit,ISNUMBER(SEARCH(","&amp;$B272&amp;",",","&amp;SUBSTITUTE(_xlpm.links," ","")&amp;",")),IFERROR(_xlfn.TEXTJOIN(", ",TRUE,_xlfn.UNIQUE(_xlfn._xlws.FILTER(_xlpm.ids,_xlpm.hit*(_xlpm.ids&lt;&gt;"")*(_xlpm.ids&lt;&gt;"Not Created")))),"Not Created")))</f>
      </c>
    </row>
    <row r="273" spans="1:36" ht="14.5" customHeight="1" x14ac:dyDescent="0.35">
      <c r="A273" s="248"/>
      <c r="B273" s="248"/>
      <c r="C273" s="241"/>
      <c r="D273" s="241"/>
      <c r="E273" s="248"/>
      <c r="F273" s="246"/>
      <c r="G273" s="46" t="s">
        <v>160</v>
      </c>
      <c r="H273" s="293"/>
      <c r="I273" s="71" t="s">
        <v>117</v>
      </c>
      <c r="J273" s="293"/>
      <c r="K273" s="293"/>
      <c r="L273" s="293"/>
      <c r="M273" s="293"/>
      <c r="N273" s="293"/>
      <c r="O273" s="293"/>
      <c r="P273" s="293"/>
      <c r="Q273" s="293"/>
      <c r="R273" s="293"/>
      <c r="S273" s="258"/>
      <c r="T273" s="68">
        <f>IF($S$272="","",IF(COUNT(J273:R273)=0,"",IF(MAX(J273:R273)&gt;3,$I273,"")))</f>
      </c>
      <c r="U273" s="248"/>
      <c r="V273" s="251"/>
      <c r="W273" s="248"/>
      <c r="X273" s="248"/>
      <c r="Y273" s="262"/>
      <c r="Z273" s="262"/>
      <c r="AA273" s="248"/>
      <c r="AB273" s="248"/>
      <c r="AC273" s="246"/>
      <c r="AD273" s="248"/>
      <c r="AE273" s="262"/>
      <c r="AF273" s="262"/>
      <c r="AG273" s="248"/>
      <c r="AH273" s="255"/>
      <c r="AI273" s="255"/>
      <c r="AJ273" s="255"/>
    </row>
    <row r="274" spans="1:36" ht="14.5" customHeight="1" x14ac:dyDescent="0.35">
      <c r="A274" s="248"/>
      <c r="B274" s="248"/>
      <c r="C274" s="241"/>
      <c r="D274" s="241"/>
      <c r="E274" s="248"/>
      <c r="F274" s="246"/>
      <c r="G274" s="46" t="s">
        <v>206</v>
      </c>
      <c r="H274" s="293"/>
      <c r="I274" s="71" t="s">
        <v>118</v>
      </c>
      <c r="J274" s="293"/>
      <c r="K274" s="293"/>
      <c r="L274" s="293"/>
      <c r="M274" s="293"/>
      <c r="N274" s="293"/>
      <c r="O274" s="293"/>
      <c r="P274" s="293"/>
      <c r="Q274" s="293"/>
      <c r="R274" s="293"/>
      <c r="S274" s="258"/>
      <c r="T274" s="68">
        <f>IF($S$272="","",IF(COUNT(J274:R274)=0,"",IF(MAX(J274:R274)&gt;3,$I274,"")))</f>
      </c>
      <c r="U274" s="248"/>
      <c r="V274" s="251"/>
      <c r="W274" s="248"/>
      <c r="X274" s="248"/>
      <c r="Y274" s="262"/>
      <c r="Z274" s="262"/>
      <c r="AA274" s="248"/>
      <c r="AB274" s="248"/>
      <c r="AC274" s="246"/>
      <c r="AD274" s="248"/>
      <c r="AE274" s="262"/>
      <c r="AF274" s="262"/>
      <c r="AG274" s="248"/>
      <c r="AH274" s="255"/>
      <c r="AI274" s="255"/>
      <c r="AJ274" s="255"/>
    </row>
    <row r="275" spans="1:36" ht="14.5" customHeight="1" x14ac:dyDescent="0.35">
      <c r="A275" s="248"/>
      <c r="B275" s="248"/>
      <c r="C275" s="241"/>
      <c r="D275" s="241"/>
      <c r="E275" s="248"/>
      <c r="F275" s="246"/>
      <c r="G275" s="46" t="s">
        <v>207</v>
      </c>
      <c r="H275" s="293"/>
      <c r="I275" s="71" t="s">
        <v>119</v>
      </c>
      <c r="J275" s="293"/>
      <c r="K275" s="293"/>
      <c r="L275" s="293"/>
      <c r="M275" s="293"/>
      <c r="N275" s="293"/>
      <c r="O275" s="293"/>
      <c r="P275" s="293"/>
      <c r="Q275" s="293"/>
      <c r="R275" s="293"/>
      <c r="S275" s="258"/>
      <c r="T275" s="68">
        <f>IF($S$272="","",IF(COUNT(J275:R275)=0,"",IF(MAX(J275:R275)&gt;3,$I275,"")))</f>
      </c>
      <c r="U275" s="248"/>
      <c r="V275" s="251"/>
      <c r="W275" s="248"/>
      <c r="X275" s="248"/>
      <c r="Y275" s="262"/>
      <c r="Z275" s="262"/>
      <c r="AA275" s="248"/>
      <c r="AB275" s="248"/>
      <c r="AC275" s="246"/>
      <c r="AD275" s="248"/>
      <c r="AE275" s="262"/>
      <c r="AF275" s="262"/>
      <c r="AG275" s="248"/>
      <c r="AH275" s="255"/>
      <c r="AI275" s="255"/>
      <c r="AJ275" s="255"/>
    </row>
    <row r="276" spans="1:36" ht="14.5" customHeight="1" x14ac:dyDescent="0.35">
      <c r="A276" s="248"/>
      <c r="B276" s="248"/>
      <c r="C276" s="241"/>
      <c r="D276" s="241"/>
      <c r="E276" s="248"/>
      <c r="F276" s="246"/>
      <c r="G276" s="46" t="s">
        <v>161</v>
      </c>
      <c r="H276" s="293"/>
      <c r="I276" s="71" t="s">
        <v>120</v>
      </c>
      <c r="J276" s="293"/>
      <c r="K276" s="293"/>
      <c r="L276" s="293"/>
      <c r="M276" s="293"/>
      <c r="N276" s="293"/>
      <c r="O276" s="293"/>
      <c r="P276" s="293"/>
      <c r="Q276" s="293"/>
      <c r="R276" s="293"/>
      <c r="S276" s="258"/>
      <c r="T276" s="68">
        <f>IF($S$272="","",IF(COUNT(J276:R276)=0,"",IF(MAX(J276:R276)&gt;3,$I276,"")))</f>
      </c>
      <c r="U276" s="248"/>
      <c r="V276" s="251"/>
      <c r="W276" s="248"/>
      <c r="X276" s="248"/>
      <c r="Y276" s="262"/>
      <c r="Z276" s="262"/>
      <c r="AA276" s="248"/>
      <c r="AB276" s="248"/>
      <c r="AC276" s="246"/>
      <c r="AD276" s="248"/>
      <c r="AE276" s="262"/>
      <c r="AF276" s="262"/>
      <c r="AG276" s="248"/>
      <c r="AH276" s="255"/>
      <c r="AI276" s="255"/>
      <c r="AJ276" s="255"/>
    </row>
    <row r="277" spans="1:36" ht="14.5" customHeight="1" x14ac:dyDescent="0.35">
      <c r="A277" s="248"/>
      <c r="B277" s="248"/>
      <c r="C277" s="241"/>
      <c r="D277" s="241"/>
      <c r="E277" s="248"/>
      <c r="F277" s="246"/>
      <c r="G277" s="46" t="s">
        <v>208</v>
      </c>
      <c r="H277" s="293"/>
      <c r="I277" s="71" t="s">
        <v>121</v>
      </c>
      <c r="J277" s="293"/>
      <c r="K277" s="293"/>
      <c r="L277" s="293"/>
      <c r="M277" s="293"/>
      <c r="N277" s="293"/>
      <c r="O277" s="293"/>
      <c r="P277" s="293"/>
      <c r="Q277" s="293"/>
      <c r="R277" s="293"/>
      <c r="S277" s="258"/>
      <c r="T277" s="68">
        <f>IF($S$272="","",IF(COUNT(J277:R277)=0,"",IF(MAX(J277:R277)&gt;3,$I277,"")))</f>
      </c>
      <c r="U277" s="248"/>
      <c r="V277" s="251"/>
      <c r="W277" s="248"/>
      <c r="X277" s="248"/>
      <c r="Y277" s="262"/>
      <c r="Z277" s="262"/>
      <c r="AA277" s="248"/>
      <c r="AB277" s="248"/>
      <c r="AC277" s="246"/>
      <c r="AD277" s="248"/>
      <c r="AE277" s="262"/>
      <c r="AF277" s="262"/>
      <c r="AG277" s="248"/>
      <c r="AH277" s="255"/>
      <c r="AI277" s="255"/>
      <c r="AJ277" s="255"/>
    </row>
    <row r="278" spans="1:36" ht="14.5" customHeight="1" x14ac:dyDescent="0.35">
      <c r="A278" s="248"/>
      <c r="B278" s="248"/>
      <c r="C278" s="242"/>
      <c r="D278" s="242"/>
      <c r="E278" s="248"/>
      <c r="F278" s="246"/>
      <c r="G278" s="46" t="s">
        <v>209</v>
      </c>
      <c r="H278" s="293"/>
      <c r="I278" s="71" t="s">
        <v>122</v>
      </c>
      <c r="J278" s="293"/>
      <c r="K278" s="293"/>
      <c r="L278" s="293"/>
      <c r="M278" s="293"/>
      <c r="N278" s="293"/>
      <c r="O278" s="293"/>
      <c r="P278" s="293"/>
      <c r="Q278" s="293"/>
      <c r="R278" s="293"/>
      <c r="S278" s="259"/>
      <c r="T278" s="68">
        <f>IF($S$272="","",IF(COUNT(J278:R278)=0,"",IF(MAX(J278:R278)&gt;3,$I278,"")))</f>
      </c>
      <c r="U278" s="248"/>
      <c r="V278" s="251"/>
      <c r="W278" s="248"/>
      <c r="X278" s="248"/>
      <c r="Y278" s="262"/>
      <c r="Z278" s="262"/>
      <c r="AA278" s="248"/>
      <c r="AB278" s="248"/>
      <c r="AC278" s="246"/>
      <c r="AD278" s="248"/>
      <c r="AE278" s="262"/>
      <c r="AF278" s="262"/>
      <c r="AG278" s="248"/>
      <c r="AH278" s="255"/>
      <c r="AI278" s="255"/>
      <c r="AJ278" s="255"/>
    </row>
    <row r="279" spans="1:36" ht="14.5" customHeight="1" x14ac:dyDescent="0.35">
      <c r="A279" s="252">
        <v>40</v>
      </c>
      <c r="B279" s="264">
        <f>IF($E279="","","BIA-"&amp;TEXT(40,"000"))</f>
      </c>
      <c r="C279" s="240">
        <f>IFERROR(INDEX(BusinessUnits1,MATCH($A279,'04. Products &amp; Services'!$N$5:$N$49,0)),"")</f>
      </c>
      <c r="D279" s="240">
        <f>IFERROR(INDEX(DivisionSites,MATCH($A279,'04. Products &amp; Services'!$N$5:$N$49,0)),"")</f>
      </c>
      <c r="E279" s="253">
        <f>IFERROR(INDEX(ScopeNames,MATCH($A279,'04. Products &amp; Services'!$N$5:$N$49,0)),"")</f>
      </c>
      <c r="F279" s="265">
        <f>IF($E279="","",IFERROR(IF(INDEX(PS_ID,MATCH($E279,ScopeNames,0))="","",INDEX(PS_ID,MATCH($E279,ScopeNames,0))),""))</f>
      </c>
      <c r="G279" s="46" t="s">
        <v>205</v>
      </c>
      <c r="H279" s="293"/>
      <c r="I279" s="71" t="s">
        <v>116</v>
      </c>
      <c r="J279" s="293"/>
      <c r="K279" s="293"/>
      <c r="L279" s="293"/>
      <c r="M279" s="293"/>
      <c r="N279" s="293"/>
      <c r="O279" s="293"/>
      <c r="P279" s="293"/>
      <c r="Q279" s="293"/>
      <c r="R279" s="293"/>
      <c r="S279" s="257">
        <f>IF(COUNT(J279:R285)=0,"",MAX(J279:R285))</f>
      </c>
      <c r="T279" s="68">
        <f>IF($S$279="","",IF(COUNT(J279:R279)=0,"",IF(MAX(J279:R279)&gt;3,$I279,"")))</f>
      </c>
      <c r="U279" s="249">
        <f>IF($E279="","",IFERROR(IF(INDEX('04. Products &amp; Services'!$J$5:$J$49,MATCH($A279,'04. Products &amp; Services'!$N$5:$N$49,0))="","",INDEX('04. Products &amp; Services'!$J$5:$J$49,MATCH($A279,'04. Products &amp; Services'!$N$5:$N$49,0))),""))</f>
      </c>
      <c r="V279" s="299"/>
      <c r="W279" s="247">
        <f>IF($E279="","",IF(OR($U279="Yes",$V279="Yes"),"Yes",IF(AND($U279="No",$V279="No"),"No",IF(AND($U279="Under Evaluation",$V279="No"),"Under Evaluation",""))))</f>
      </c>
      <c r="X279" s="270">
        <f>IF($E279="","",IFERROR(IF(INDEX('04. Products &amp; Services'!$K$5:$K$49,MATCH($A279,'04. Products &amp; Services'!$N$5:$N$49,0))="","",INDEX('04. Products &amp; Services'!$K$5:$K$49,MATCH($A279,'04. Products &amp; Services'!$N$5:$N$49,0))),""))</f>
      </c>
      <c r="Y279" s="269"/>
      <c r="Z279" s="269"/>
      <c r="AA279" s="247">
        <f>IF($E279="","",IF(COUNT(J279:R285)=0,"",IF(MAX(J279:J285)&gt;=4,6,IF(MAX(K279:K285)&gt;=4,18,IF(MAX(L279:L285)&gt;=4,36,IF(MAX(M279:M285)&gt;=4,72,IF(MAX(N279:N285)&gt;=4,168,IF(MAX(O279:O285)&gt;=4,336,IF(MAX(P279:P285)&gt;=4,504,IF(MAX(Q279:Q285)&gt;=4,672,IF(MAX(R279:R285)&gt;=4,"","")))))))))))</f>
      </c>
      <c r="AB279" s="247">
        <f>IF($E279="","",IFERROR(IF(INDEX('04. Products &amp; Services'!$M$5:$M$49,MATCH($A279,'04. Products &amp; Services'!$N$5:$N$49,0))="","",INDEX('04. Products &amp; Services'!$M$5:$M$49,MATCH($A279,'04. Products &amp; Services'!$N$5:$N$49,0))),""))</f>
      </c>
      <c r="AC279" s="245"/>
      <c r="AD279" s="260">
        <f>IF(AC279="","",IF(ISNUMBER(AC279),AC279,IFERROR(VALUE(LEFT(TRIM(AC279),FIND(" ",TRIM(AC279))-1))*VLOOKUP(LEFT(LOWER(TRIM(MID(TRIM(AC279),FIND(" ",TRIM(AC279))+1,99))),3),DurationUnits,2,FALSE),"")))</f>
      </c>
      <c r="AE279" s="261"/>
      <c r="AF279" s="263"/>
      <c r="AG279" s="256">
        <f>IF($AF279="","",EDATE($AF279,12))</f>
      </c>
      <c r="AH279" s="254" cm="1">
        <f t="array" ref="AH279">IF($B279="","",_xlfn.LET(_xlpm.ids,'15. BCM Risk Register'!$A$6:$A$65,_xlpm.links,'15. BCM Risk Register'!$I$6:$I$65,_xlpm.hit,ISNUMBER(SEARCH(","&amp;$B279&amp;",",","&amp;SUBSTITUTE(_xlpm.links," ","")&amp;",")),IFERROR(_xlfn.TEXTJOIN(", ",TRUE,_xlfn.UNIQUE(_xlfn._xlws.FILTER(_xlpm.ids,_xlpm.hit*(_xlpm.ids&lt;&gt;"")))),"Not Created")))</f>
      </c>
      <c r="AI279" s="254" cm="1">
        <f t="array" ref="AI279">IF($B279="","",_xlfn.LET(_xlpm.ids,'15. BCM Risk Register'!$L$6:$L$65,_xlpm.links,'15. BCM Risk Register'!$I$6:$I$65,_xlpm.hit,ISNUMBER(SEARCH(","&amp;$B279&amp;",",","&amp;SUBSTITUTE(_xlpm.links," ","")&amp;",")),IFERROR(_xlfn.TEXTJOIN(", ",TRUE,_xlfn.UNIQUE(_xlfn._xlws.FILTER(_xlpm.ids,_xlpm.hit*(_xlpm.ids&lt;&gt;"")*(_xlpm.ids&lt;&gt;"Not Created")))),"Not Created")))</f>
      </c>
      <c r="AJ279" s="254" cm="1">
        <f t="array" ref="AJ279">IF($B279="","",_xlfn.LET(_xlpm.ids,'15. BCM Risk Register'!$K$6:$K$65,_xlpm.links,'15. BCM Risk Register'!$I$6:$I$65,_xlpm.hit,ISNUMBER(SEARCH(","&amp;$B279&amp;",",","&amp;SUBSTITUTE(_xlpm.links," ","")&amp;",")),IFERROR(_xlfn.TEXTJOIN(", ",TRUE,_xlfn.UNIQUE(_xlfn._xlws.FILTER(_xlpm.ids,_xlpm.hit*(_xlpm.ids&lt;&gt;"")*(_xlpm.ids&lt;&gt;"Not Created")))),"Not Created")))</f>
      </c>
    </row>
    <row r="280" spans="1:36" ht="14.5" customHeight="1" x14ac:dyDescent="0.35">
      <c r="A280" s="248"/>
      <c r="B280" s="248"/>
      <c r="C280" s="241"/>
      <c r="D280" s="241"/>
      <c r="E280" s="248"/>
      <c r="F280" s="246"/>
      <c r="G280" s="46" t="s">
        <v>160</v>
      </c>
      <c r="H280" s="293"/>
      <c r="I280" s="71" t="s">
        <v>117</v>
      </c>
      <c r="J280" s="293"/>
      <c r="K280" s="293"/>
      <c r="L280" s="293"/>
      <c r="M280" s="293"/>
      <c r="N280" s="293"/>
      <c r="O280" s="293"/>
      <c r="P280" s="293"/>
      <c r="Q280" s="293"/>
      <c r="R280" s="293"/>
      <c r="S280" s="258"/>
      <c r="T280" s="68">
        <f>IF($S$279="","",IF(COUNT(J280:R280)=0,"",IF(MAX(J280:R280)&gt;3,$I280,"")))</f>
      </c>
      <c r="U280" s="248"/>
      <c r="V280" s="251"/>
      <c r="W280" s="248"/>
      <c r="X280" s="248"/>
      <c r="Y280" s="262"/>
      <c r="Z280" s="262"/>
      <c r="AA280" s="248"/>
      <c r="AB280" s="248"/>
      <c r="AC280" s="246"/>
      <c r="AD280" s="248"/>
      <c r="AE280" s="262"/>
      <c r="AF280" s="262"/>
      <c r="AG280" s="248"/>
      <c r="AH280" s="255"/>
      <c r="AI280" s="255"/>
      <c r="AJ280" s="255"/>
    </row>
    <row r="281" spans="1:36" ht="14.5" customHeight="1" x14ac:dyDescent="0.35">
      <c r="A281" s="248"/>
      <c r="B281" s="248"/>
      <c r="C281" s="241"/>
      <c r="D281" s="241"/>
      <c r="E281" s="248"/>
      <c r="F281" s="246"/>
      <c r="G281" s="46" t="s">
        <v>206</v>
      </c>
      <c r="H281" s="293"/>
      <c r="I281" s="71" t="s">
        <v>118</v>
      </c>
      <c r="J281" s="293"/>
      <c r="K281" s="293"/>
      <c r="L281" s="293"/>
      <c r="M281" s="293"/>
      <c r="N281" s="293"/>
      <c r="O281" s="293"/>
      <c r="P281" s="293"/>
      <c r="Q281" s="293"/>
      <c r="R281" s="293"/>
      <c r="S281" s="258"/>
      <c r="T281" s="68">
        <f>IF($S$279="","",IF(COUNT(J281:R281)=0,"",IF(MAX(J281:R281)&gt;3,$I281,"")))</f>
      </c>
      <c r="U281" s="248"/>
      <c r="V281" s="251"/>
      <c r="W281" s="248"/>
      <c r="X281" s="248"/>
      <c r="Y281" s="262"/>
      <c r="Z281" s="262"/>
      <c r="AA281" s="248"/>
      <c r="AB281" s="248"/>
      <c r="AC281" s="246"/>
      <c r="AD281" s="248"/>
      <c r="AE281" s="262"/>
      <c r="AF281" s="262"/>
      <c r="AG281" s="248"/>
      <c r="AH281" s="255"/>
      <c r="AI281" s="255"/>
      <c r="AJ281" s="255"/>
    </row>
    <row r="282" spans="1:36" ht="14.5" customHeight="1" x14ac:dyDescent="0.35">
      <c r="A282" s="248"/>
      <c r="B282" s="248"/>
      <c r="C282" s="241"/>
      <c r="D282" s="241"/>
      <c r="E282" s="248"/>
      <c r="F282" s="246"/>
      <c r="G282" s="46" t="s">
        <v>207</v>
      </c>
      <c r="H282" s="293"/>
      <c r="I282" s="71" t="s">
        <v>119</v>
      </c>
      <c r="J282" s="293"/>
      <c r="K282" s="293"/>
      <c r="L282" s="293"/>
      <c r="M282" s="293"/>
      <c r="N282" s="293"/>
      <c r="O282" s="293"/>
      <c r="P282" s="293"/>
      <c r="Q282" s="293"/>
      <c r="R282" s="293"/>
      <c r="S282" s="258"/>
      <c r="T282" s="68">
        <f>IF($S$279="","",IF(COUNT(J282:R282)=0,"",IF(MAX(J282:R282)&gt;3,$I282,"")))</f>
      </c>
      <c r="U282" s="248"/>
      <c r="V282" s="251"/>
      <c r="W282" s="248"/>
      <c r="X282" s="248"/>
      <c r="Y282" s="262"/>
      <c r="Z282" s="262"/>
      <c r="AA282" s="248"/>
      <c r="AB282" s="248"/>
      <c r="AC282" s="246"/>
      <c r="AD282" s="248"/>
      <c r="AE282" s="262"/>
      <c r="AF282" s="262"/>
      <c r="AG282" s="248"/>
      <c r="AH282" s="255"/>
      <c r="AI282" s="255"/>
      <c r="AJ282" s="255"/>
    </row>
    <row r="283" spans="1:36" ht="14.5" customHeight="1" x14ac:dyDescent="0.35">
      <c r="A283" s="248"/>
      <c r="B283" s="248"/>
      <c r="C283" s="241"/>
      <c r="D283" s="241"/>
      <c r="E283" s="248"/>
      <c r="F283" s="246"/>
      <c r="G283" s="46" t="s">
        <v>161</v>
      </c>
      <c r="H283" s="293"/>
      <c r="I283" s="71" t="s">
        <v>120</v>
      </c>
      <c r="J283" s="293"/>
      <c r="K283" s="293"/>
      <c r="L283" s="293"/>
      <c r="M283" s="293"/>
      <c r="N283" s="293"/>
      <c r="O283" s="293"/>
      <c r="P283" s="293"/>
      <c r="Q283" s="293"/>
      <c r="R283" s="293"/>
      <c r="S283" s="258"/>
      <c r="T283" s="68">
        <f>IF($S$279="","",IF(COUNT(J283:R283)=0,"",IF(MAX(J283:R283)&gt;3,$I283,"")))</f>
      </c>
      <c r="U283" s="248"/>
      <c r="V283" s="251"/>
      <c r="W283" s="248"/>
      <c r="X283" s="248"/>
      <c r="Y283" s="262"/>
      <c r="Z283" s="262"/>
      <c r="AA283" s="248"/>
      <c r="AB283" s="248"/>
      <c r="AC283" s="246"/>
      <c r="AD283" s="248"/>
      <c r="AE283" s="262"/>
      <c r="AF283" s="262"/>
      <c r="AG283" s="248"/>
      <c r="AH283" s="255"/>
      <c r="AI283" s="255"/>
      <c r="AJ283" s="255"/>
    </row>
    <row r="284" spans="1:36" ht="14.5" customHeight="1" x14ac:dyDescent="0.35">
      <c r="A284" s="248"/>
      <c r="B284" s="248"/>
      <c r="C284" s="241"/>
      <c r="D284" s="241"/>
      <c r="E284" s="248"/>
      <c r="F284" s="246"/>
      <c r="G284" s="46" t="s">
        <v>208</v>
      </c>
      <c r="H284" s="293"/>
      <c r="I284" s="71" t="s">
        <v>121</v>
      </c>
      <c r="J284" s="293"/>
      <c r="K284" s="293"/>
      <c r="L284" s="293"/>
      <c r="M284" s="293"/>
      <c r="N284" s="293"/>
      <c r="O284" s="293"/>
      <c r="P284" s="293"/>
      <c r="Q284" s="293"/>
      <c r="R284" s="293"/>
      <c r="S284" s="258"/>
      <c r="T284" s="68">
        <f>IF($S$279="","",IF(COUNT(J284:R284)=0,"",IF(MAX(J284:R284)&gt;3,$I284,"")))</f>
      </c>
      <c r="U284" s="248"/>
      <c r="V284" s="251"/>
      <c r="W284" s="248"/>
      <c r="X284" s="248"/>
      <c r="Y284" s="262"/>
      <c r="Z284" s="262"/>
      <c r="AA284" s="248"/>
      <c r="AB284" s="248"/>
      <c r="AC284" s="246"/>
      <c r="AD284" s="248"/>
      <c r="AE284" s="262"/>
      <c r="AF284" s="262"/>
      <c r="AG284" s="248"/>
      <c r="AH284" s="255"/>
      <c r="AI284" s="255"/>
      <c r="AJ284" s="255"/>
    </row>
    <row r="285" spans="1:36" ht="14.5" customHeight="1" x14ac:dyDescent="0.35">
      <c r="A285" s="248"/>
      <c r="B285" s="248"/>
      <c r="C285" s="242"/>
      <c r="D285" s="242"/>
      <c r="E285" s="248"/>
      <c r="F285" s="246"/>
      <c r="G285" s="46" t="s">
        <v>209</v>
      </c>
      <c r="H285" s="293"/>
      <c r="I285" s="71" t="s">
        <v>122</v>
      </c>
      <c r="J285" s="293"/>
      <c r="K285" s="293"/>
      <c r="L285" s="293"/>
      <c r="M285" s="293"/>
      <c r="N285" s="293"/>
      <c r="O285" s="293"/>
      <c r="P285" s="293"/>
      <c r="Q285" s="293"/>
      <c r="R285" s="293"/>
      <c r="S285" s="258"/>
      <c r="T285" s="68">
        <f>IF($S$279="","",IF(COUNT(J285:R285)=0,"",IF(MAX(J285:R285)&gt;3,$I285,"")))</f>
      </c>
      <c r="U285" s="248"/>
      <c r="V285" s="251"/>
      <c r="W285" s="248"/>
      <c r="X285" s="248"/>
      <c r="Y285" s="262"/>
      <c r="Z285" s="262"/>
      <c r="AA285" s="248"/>
      <c r="AB285" s="248"/>
      <c r="AC285" s="246"/>
      <c r="AD285" s="248"/>
      <c r="AE285" s="262"/>
      <c r="AF285" s="262"/>
      <c r="AG285" s="248"/>
      <c r="AH285" s="255"/>
      <c r="AI285" s="255"/>
      <c r="AJ285" s="255"/>
    </row>
  </sheetData>
  <mergeCells count="934">
    <mergeCell ref="AJ27:AJ33"/>
    <mergeCell ref="AA146:AA152"/>
    <mergeCell ref="B118:B124"/>
    <mergeCell ref="W153:W159"/>
    <mergeCell ref="Y153:Y159"/>
    <mergeCell ref="Y202:Y208"/>
    <mergeCell ref="AH83:AH89"/>
    <mergeCell ref="F34:F40"/>
    <mergeCell ref="A209:A215"/>
    <mergeCell ref="A111:A117"/>
    <mergeCell ref="A167:A173"/>
    <mergeCell ref="A132:A138"/>
    <mergeCell ref="A48:A54"/>
    <mergeCell ref="AI27:AI33"/>
    <mergeCell ref="AJ181:AJ187"/>
    <mergeCell ref="AG139:AG145"/>
    <mergeCell ref="E160:E166"/>
    <mergeCell ref="F188:F194"/>
    <mergeCell ref="E167:E173"/>
    <mergeCell ref="U132:U138"/>
    <mergeCell ref="E195:E201"/>
    <mergeCell ref="A27:A33"/>
    <mergeCell ref="E27:E33"/>
    <mergeCell ref="AB146:AB152"/>
    <mergeCell ref="AJ258:AJ264"/>
    <mergeCell ref="AH188:AH194"/>
    <mergeCell ref="AJ237:AJ243"/>
    <mergeCell ref="A90:A96"/>
    <mergeCell ref="U97:U103"/>
    <mergeCell ref="E90:E96"/>
    <mergeCell ref="E139:E145"/>
    <mergeCell ref="W97:W103"/>
    <mergeCell ref="AE216:AE222"/>
    <mergeCell ref="AD244:AD250"/>
    <mergeCell ref="Y146:Y152"/>
    <mergeCell ref="A244:A250"/>
    <mergeCell ref="AI216:AI222"/>
    <mergeCell ref="AH90:AH96"/>
    <mergeCell ref="AF132:AF138"/>
    <mergeCell ref="AH132:AH138"/>
    <mergeCell ref="AG90:AG96"/>
    <mergeCell ref="X209:X215"/>
    <mergeCell ref="AI90:AI96"/>
    <mergeCell ref="AI139:AI145"/>
    <mergeCell ref="AA202:AA208"/>
    <mergeCell ref="A104:A110"/>
    <mergeCell ref="W111:W117"/>
    <mergeCell ref="E202:E208"/>
    <mergeCell ref="S13:S19"/>
    <mergeCell ref="U13:U19"/>
    <mergeCell ref="U62:U68"/>
    <mergeCell ref="W62:W68"/>
    <mergeCell ref="X90:X96"/>
    <mergeCell ref="S69:S75"/>
    <mergeCell ref="AD55:AD61"/>
    <mergeCell ref="V27:V33"/>
    <mergeCell ref="Z41:Z47"/>
    <mergeCell ref="S27:S33"/>
    <mergeCell ref="U27:U33"/>
    <mergeCell ref="AD13:AD19"/>
    <mergeCell ref="U83:U89"/>
    <mergeCell ref="W83:W89"/>
    <mergeCell ref="W20:W26"/>
    <mergeCell ref="X41:X47"/>
    <mergeCell ref="AC69:AC75"/>
    <mergeCell ref="AC76:AC82"/>
    <mergeCell ref="AC83:AC89"/>
    <mergeCell ref="AC90:AC96"/>
    <mergeCell ref="AJ6:AJ12"/>
    <mergeCell ref="AG195:AG201"/>
    <mergeCell ref="Y160:Y166"/>
    <mergeCell ref="AI195:AI201"/>
    <mergeCell ref="AH62:AH68"/>
    <mergeCell ref="AJ167:AJ173"/>
    <mergeCell ref="X6:X12"/>
    <mergeCell ref="Z6:Z12"/>
    <mergeCell ref="AH104:AH110"/>
    <mergeCell ref="AJ104:AJ110"/>
    <mergeCell ref="AJ160:AJ166"/>
    <mergeCell ref="AJ34:AJ40"/>
    <mergeCell ref="AJ83:AJ89"/>
    <mergeCell ref="Y104:Y110"/>
    <mergeCell ref="AA104:AA110"/>
    <mergeCell ref="AJ139:AJ145"/>
    <mergeCell ref="Z55:Z61"/>
    <mergeCell ref="Y111:Y117"/>
    <mergeCell ref="Z97:Z103"/>
    <mergeCell ref="AG13:AG19"/>
    <mergeCell ref="AE20:AE26"/>
    <mergeCell ref="AJ188:AJ194"/>
    <mergeCell ref="Z34:Z40"/>
    <mergeCell ref="AE34:AE40"/>
    <mergeCell ref="AI272:AI278"/>
    <mergeCell ref="W118:W124"/>
    <mergeCell ref="X146:X152"/>
    <mergeCell ref="Z272:Z278"/>
    <mergeCell ref="Y118:Y124"/>
    <mergeCell ref="Z146:Z152"/>
    <mergeCell ref="U258:U264"/>
    <mergeCell ref="V230:V236"/>
    <mergeCell ref="W258:W264"/>
    <mergeCell ref="Y258:Y264"/>
    <mergeCell ref="AG132:AG138"/>
    <mergeCell ref="AI132:AI138"/>
    <mergeCell ref="AF244:AF250"/>
    <mergeCell ref="AI251:AI257"/>
    <mergeCell ref="Z209:Z215"/>
    <mergeCell ref="AI202:AI208"/>
    <mergeCell ref="AH258:AH264"/>
    <mergeCell ref="AG209:AG215"/>
    <mergeCell ref="AH181:AH187"/>
    <mergeCell ref="AA160:AA166"/>
    <mergeCell ref="AD195:AD201"/>
    <mergeCell ref="U230:U236"/>
    <mergeCell ref="Y209:Y215"/>
    <mergeCell ref="X244:X250"/>
    <mergeCell ref="B272:B278"/>
    <mergeCell ref="A118:A124"/>
    <mergeCell ref="AG272:AG278"/>
    <mergeCell ref="U69:U75"/>
    <mergeCell ref="X272:X278"/>
    <mergeCell ref="AF76:AF82"/>
    <mergeCell ref="B251:B257"/>
    <mergeCell ref="F251:F257"/>
    <mergeCell ref="S223:S229"/>
    <mergeCell ref="B258:B264"/>
    <mergeCell ref="B153:B159"/>
    <mergeCell ref="F104:F110"/>
    <mergeCell ref="B111:B117"/>
    <mergeCell ref="F160:F166"/>
    <mergeCell ref="A272:A278"/>
    <mergeCell ref="A97:A103"/>
    <mergeCell ref="A146:A152"/>
    <mergeCell ref="S174:S180"/>
    <mergeCell ref="E272:E278"/>
    <mergeCell ref="E146:E152"/>
    <mergeCell ref="U174:U180"/>
    <mergeCell ref="AD76:AD82"/>
    <mergeCell ref="A153:A159"/>
    <mergeCell ref="AA195:AA201"/>
    <mergeCell ref="S279:S285"/>
    <mergeCell ref="AD160:AD166"/>
    <mergeCell ref="AE188:AE194"/>
    <mergeCell ref="U279:U285"/>
    <mergeCell ref="AJ146:AJ152"/>
    <mergeCell ref="Y167:Y173"/>
    <mergeCell ref="Y41:Y47"/>
    <mergeCell ref="S20:S26"/>
    <mergeCell ref="AA167:AA173"/>
    <mergeCell ref="AA41:AA47"/>
    <mergeCell ref="AA216:AA222"/>
    <mergeCell ref="V97:V103"/>
    <mergeCell ref="AD216:AD222"/>
    <mergeCell ref="AE244:AE250"/>
    <mergeCell ref="X97:X103"/>
    <mergeCell ref="S76:S82"/>
    <mergeCell ref="U125:U131"/>
    <mergeCell ref="V153:V159"/>
    <mergeCell ref="W125:W131"/>
    <mergeCell ref="X153:X159"/>
    <mergeCell ref="AI83:AI89"/>
    <mergeCell ref="Z202:Z208"/>
    <mergeCell ref="X104:X110"/>
    <mergeCell ref="AF62:AF68"/>
    <mergeCell ref="Y216:Y222"/>
    <mergeCell ref="V272:V278"/>
    <mergeCell ref="F272:F278"/>
    <mergeCell ref="U265:U271"/>
    <mergeCell ref="AD265:AD271"/>
    <mergeCell ref="Z160:Z166"/>
    <mergeCell ref="AF118:AF124"/>
    <mergeCell ref="B132:B138"/>
    <mergeCell ref="AE174:AE180"/>
    <mergeCell ref="B167:B173"/>
    <mergeCell ref="F167:F173"/>
    <mergeCell ref="AE153:AE159"/>
    <mergeCell ref="AA223:AA229"/>
    <mergeCell ref="Z195:Z201"/>
    <mergeCell ref="AF258:AF264"/>
    <mergeCell ref="AF265:AF271"/>
    <mergeCell ref="AF230:AF236"/>
    <mergeCell ref="Z244:Z250"/>
    <mergeCell ref="AE139:AE145"/>
    <mergeCell ref="S265:S271"/>
    <mergeCell ref="F216:F222"/>
    <mergeCell ref="S237:S243"/>
    <mergeCell ref="E209:E215"/>
    <mergeCell ref="U237:U243"/>
    <mergeCell ref="E13:E19"/>
    <mergeCell ref="AA55:AA61"/>
    <mergeCell ref="V111:V117"/>
    <mergeCell ref="X111:X117"/>
    <mergeCell ref="B209:B215"/>
    <mergeCell ref="AE97:AE103"/>
    <mergeCell ref="Z223:Z229"/>
    <mergeCell ref="B139:B145"/>
    <mergeCell ref="W209:W215"/>
    <mergeCell ref="E132:E138"/>
    <mergeCell ref="Y181:Y187"/>
    <mergeCell ref="AA181:AA187"/>
    <mergeCell ref="E223:E229"/>
    <mergeCell ref="Y139:Y145"/>
    <mergeCell ref="B20:B26"/>
    <mergeCell ref="B76:B82"/>
    <mergeCell ref="B216:B222"/>
    <mergeCell ref="V69:V75"/>
    <mergeCell ref="V118:V124"/>
    <mergeCell ref="E104:E110"/>
    <mergeCell ref="X83:X89"/>
    <mergeCell ref="F223:F229"/>
    <mergeCell ref="V125:V131"/>
    <mergeCell ref="S181:S187"/>
    <mergeCell ref="F4:F5"/>
    <mergeCell ref="AF69:AF75"/>
    <mergeCell ref="AG97:AG103"/>
    <mergeCell ref="AG146:AG152"/>
    <mergeCell ref="AH118:AH124"/>
    <mergeCell ref="AI146:AI152"/>
    <mergeCell ref="X167:X173"/>
    <mergeCell ref="Z167:Z173"/>
    <mergeCell ref="F174:F180"/>
    <mergeCell ref="AG104:AG110"/>
    <mergeCell ref="AI104:AI110"/>
    <mergeCell ref="X125:X131"/>
    <mergeCell ref="Z13:Z19"/>
    <mergeCell ref="AE62:AE68"/>
    <mergeCell ref="AF90:AF96"/>
    <mergeCell ref="AG62:AG68"/>
    <mergeCell ref="AH146:AH152"/>
    <mergeCell ref="AG118:AG124"/>
    <mergeCell ref="AD174:AD180"/>
    <mergeCell ref="AA174:AA180"/>
    <mergeCell ref="AI118:AI124"/>
    <mergeCell ref="S90:S96"/>
    <mergeCell ref="U90:U96"/>
    <mergeCell ref="W139:W145"/>
    <mergeCell ref="E279:E285"/>
    <mergeCell ref="AH41:AH47"/>
    <mergeCell ref="AJ41:AJ47"/>
    <mergeCell ref="S48:S54"/>
    <mergeCell ref="E20:E26"/>
    <mergeCell ref="V251:V257"/>
    <mergeCell ref="AG153:AG159"/>
    <mergeCell ref="E118:E124"/>
    <mergeCell ref="Z279:Z285"/>
    <mergeCell ref="AJ202:AJ208"/>
    <mergeCell ref="AJ55:AJ61"/>
    <mergeCell ref="F279:F285"/>
    <mergeCell ref="AE272:AE278"/>
    <mergeCell ref="U118:U124"/>
    <mergeCell ref="V146:V152"/>
    <mergeCell ref="F20:F26"/>
    <mergeCell ref="AI223:AI229"/>
    <mergeCell ref="AA258:AA264"/>
    <mergeCell ref="S258:S264"/>
    <mergeCell ref="F76:F82"/>
    <mergeCell ref="AI279:AI285"/>
    <mergeCell ref="E237:E243"/>
    <mergeCell ref="AJ216:AJ222"/>
    <mergeCell ref="AA279:AA285"/>
    <mergeCell ref="B6:B12"/>
    <mergeCell ref="F181:F187"/>
    <mergeCell ref="F55:F61"/>
    <mergeCell ref="V83:V89"/>
    <mergeCell ref="AI209:AI215"/>
    <mergeCell ref="B223:B229"/>
    <mergeCell ref="AE111:AE117"/>
    <mergeCell ref="AG111:AG117"/>
    <mergeCell ref="AI111:AI117"/>
    <mergeCell ref="AI160:AI166"/>
    <mergeCell ref="V139:V145"/>
    <mergeCell ref="V6:V12"/>
    <mergeCell ref="S195:S201"/>
    <mergeCell ref="U195:U201"/>
    <mergeCell ref="F13:F19"/>
    <mergeCell ref="X20:X26"/>
    <mergeCell ref="AG167:AG173"/>
    <mergeCell ref="Z20:Z26"/>
    <mergeCell ref="AI41:AI47"/>
    <mergeCell ref="AD97:AD103"/>
    <mergeCell ref="X139:X145"/>
    <mergeCell ref="S118:S124"/>
    <mergeCell ref="AI167:AI173"/>
    <mergeCell ref="AE27:AE33"/>
    <mergeCell ref="E4:E5"/>
    <mergeCell ref="AE69:AE75"/>
    <mergeCell ref="AF97:AF103"/>
    <mergeCell ref="S251:S257"/>
    <mergeCell ref="U251:U257"/>
    <mergeCell ref="AH272:AH278"/>
    <mergeCell ref="W251:W257"/>
    <mergeCell ref="Z76:Z82"/>
    <mergeCell ref="W167:W173"/>
    <mergeCell ref="AE125:AE131"/>
    <mergeCell ref="AF153:AF159"/>
    <mergeCell ref="Y6:Y12"/>
    <mergeCell ref="AG125:AG131"/>
    <mergeCell ref="AH153:AH159"/>
    <mergeCell ref="E181:E187"/>
    <mergeCell ref="Y223:Y229"/>
    <mergeCell ref="V34:V40"/>
    <mergeCell ref="AE230:AE236"/>
    <mergeCell ref="AF6:AF12"/>
    <mergeCell ref="AH6:AH12"/>
    <mergeCell ref="W34:W40"/>
    <mergeCell ref="Z237:Z243"/>
    <mergeCell ref="S62:S68"/>
    <mergeCell ref="V90:V96"/>
    <mergeCell ref="A2:AJ2"/>
    <mergeCell ref="X34:X40"/>
    <mergeCell ref="AA237:AA243"/>
    <mergeCell ref="A83:A89"/>
    <mergeCell ref="AD237:AD243"/>
    <mergeCell ref="AE265:AE271"/>
    <mergeCell ref="AA13:AA19"/>
    <mergeCell ref="S132:S138"/>
    <mergeCell ref="AJ174:AJ180"/>
    <mergeCell ref="A139:A145"/>
    <mergeCell ref="AD27:AD33"/>
    <mergeCell ref="U146:U152"/>
    <mergeCell ref="W146:W152"/>
    <mergeCell ref="AF27:AF33"/>
    <mergeCell ref="AA69:AA75"/>
    <mergeCell ref="A41:A47"/>
    <mergeCell ref="AD69:AD75"/>
    <mergeCell ref="E41:E47"/>
    <mergeCell ref="AF83:AF89"/>
    <mergeCell ref="W202:W208"/>
    <mergeCell ref="U104:U110"/>
    <mergeCell ref="W104:W110"/>
    <mergeCell ref="Z181:Z187"/>
    <mergeCell ref="AH139:AH145"/>
    <mergeCell ref="A6:A12"/>
    <mergeCell ref="AJ195:AJ201"/>
    <mergeCell ref="AE132:AE138"/>
    <mergeCell ref="AF209:AF215"/>
    <mergeCell ref="AH209:AH215"/>
    <mergeCell ref="AI55:AI61"/>
    <mergeCell ref="AJ209:AJ215"/>
    <mergeCell ref="A188:A194"/>
    <mergeCell ref="AF111:AF117"/>
    <mergeCell ref="B160:B166"/>
    <mergeCell ref="AH111:AH117"/>
    <mergeCell ref="E188:E194"/>
    <mergeCell ref="Y20:Y26"/>
    <mergeCell ref="AH167:AH173"/>
    <mergeCell ref="AA20:AA26"/>
    <mergeCell ref="AJ13:AJ19"/>
    <mergeCell ref="AE83:AE89"/>
    <mergeCell ref="V202:V208"/>
    <mergeCell ref="AG83:AG89"/>
    <mergeCell ref="X202:X208"/>
    <mergeCell ref="Y48:Y54"/>
    <mergeCell ref="V104:V110"/>
    <mergeCell ref="AD62:AD68"/>
    <mergeCell ref="AE90:AE96"/>
    <mergeCell ref="B4:B5"/>
    <mergeCell ref="X48:X54"/>
    <mergeCell ref="Y76:Y82"/>
    <mergeCell ref="Z48:Z54"/>
    <mergeCell ref="AA76:AA82"/>
    <mergeCell ref="AD125:AD131"/>
    <mergeCell ref="AI34:AI40"/>
    <mergeCell ref="AF125:AF131"/>
    <mergeCell ref="A202:A208"/>
    <mergeCell ref="AA132:AA138"/>
    <mergeCell ref="B181:B187"/>
    <mergeCell ref="AD132:AD138"/>
    <mergeCell ref="W160:W166"/>
    <mergeCell ref="X188:X194"/>
    <mergeCell ref="Z188:Z194"/>
    <mergeCell ref="F195:F201"/>
    <mergeCell ref="Y34:Y40"/>
    <mergeCell ref="E6:E12"/>
    <mergeCell ref="E55:E61"/>
    <mergeCell ref="U41:U47"/>
    <mergeCell ref="W41:W47"/>
    <mergeCell ref="B41:B47"/>
    <mergeCell ref="S125:S131"/>
    <mergeCell ref="F41:F47"/>
    <mergeCell ref="AD251:AD257"/>
    <mergeCell ref="AF251:AF257"/>
    <mergeCell ref="AA272:AA278"/>
    <mergeCell ref="S97:S103"/>
    <mergeCell ref="S272:S278"/>
    <mergeCell ref="E244:E250"/>
    <mergeCell ref="U272:U278"/>
    <mergeCell ref="Y244:Y250"/>
    <mergeCell ref="AA244:AA250"/>
    <mergeCell ref="AD258:AD264"/>
    <mergeCell ref="E258:E264"/>
    <mergeCell ref="AE160:AE166"/>
    <mergeCell ref="AF188:AF194"/>
    <mergeCell ref="E265:E271"/>
    <mergeCell ref="W195:W201"/>
    <mergeCell ref="AE195:AE201"/>
    <mergeCell ref="V265:V271"/>
    <mergeCell ref="S244:S250"/>
    <mergeCell ref="AD230:AD236"/>
    <mergeCell ref="F237:F243"/>
    <mergeCell ref="W272:W278"/>
    <mergeCell ref="Y272:Y278"/>
    <mergeCell ref="W230:W236"/>
    <mergeCell ref="AF167:AF173"/>
    <mergeCell ref="A20:A26"/>
    <mergeCell ref="A1:AJ1"/>
    <mergeCell ref="AH223:AH229"/>
    <mergeCell ref="AD83:AD89"/>
    <mergeCell ref="U202:U208"/>
    <mergeCell ref="AJ223:AJ229"/>
    <mergeCell ref="S230:S236"/>
    <mergeCell ref="E76:E82"/>
    <mergeCell ref="X55:X61"/>
    <mergeCell ref="AI6:AI12"/>
    <mergeCell ref="AI13:AI19"/>
    <mergeCell ref="X216:X222"/>
    <mergeCell ref="B48:B54"/>
    <mergeCell ref="AE202:AE208"/>
    <mergeCell ref="F48:F54"/>
    <mergeCell ref="AG202:AG208"/>
    <mergeCell ref="AE104:AE110"/>
    <mergeCell ref="V223:V229"/>
    <mergeCell ref="F230:F236"/>
    <mergeCell ref="S153:S159"/>
    <mergeCell ref="S6:S12"/>
    <mergeCell ref="U6:U12"/>
    <mergeCell ref="B55:B61"/>
    <mergeCell ref="U111:U117"/>
    <mergeCell ref="AJ279:AJ285"/>
    <mergeCell ref="A125:A131"/>
    <mergeCell ref="AH20:AH26"/>
    <mergeCell ref="AF174:AF180"/>
    <mergeCell ref="AJ20:AJ26"/>
    <mergeCell ref="B188:B194"/>
    <mergeCell ref="AI48:AI54"/>
    <mergeCell ref="A216:A222"/>
    <mergeCell ref="B244:B250"/>
    <mergeCell ref="F244:F250"/>
    <mergeCell ref="AI181:AI187"/>
    <mergeCell ref="AG188:AG194"/>
    <mergeCell ref="AF34:AF40"/>
    <mergeCell ref="AI188:AI194"/>
    <mergeCell ref="AH34:AH40"/>
    <mergeCell ref="V209:V215"/>
    <mergeCell ref="W55:W61"/>
    <mergeCell ref="F90:F96"/>
    <mergeCell ref="E62:E68"/>
    <mergeCell ref="Y188:Y194"/>
    <mergeCell ref="AE146:AE152"/>
    <mergeCell ref="V167:V173"/>
    <mergeCell ref="V41:V47"/>
    <mergeCell ref="B174:B180"/>
    <mergeCell ref="AJ265:AJ271"/>
    <mergeCell ref="U153:U159"/>
    <mergeCell ref="A160:A166"/>
    <mergeCell ref="V13:V19"/>
    <mergeCell ref="X13:X19"/>
    <mergeCell ref="Z62:Z68"/>
    <mergeCell ref="AA90:AA96"/>
    <mergeCell ref="S209:S215"/>
    <mergeCell ref="AD90:AD96"/>
    <mergeCell ref="U209:U215"/>
    <mergeCell ref="AF139:AF145"/>
    <mergeCell ref="E216:E222"/>
    <mergeCell ref="S111:S117"/>
    <mergeCell ref="S83:S89"/>
    <mergeCell ref="AD41:AD47"/>
    <mergeCell ref="A34:A40"/>
    <mergeCell ref="AF41:AF47"/>
    <mergeCell ref="E34:E40"/>
    <mergeCell ref="B97:B103"/>
    <mergeCell ref="AG20:AG26"/>
    <mergeCell ref="F97:F103"/>
    <mergeCell ref="AI20:AI26"/>
    <mergeCell ref="AI76:AI82"/>
    <mergeCell ref="X223:X229"/>
    <mergeCell ref="AJ272:AJ278"/>
    <mergeCell ref="U160:U166"/>
    <mergeCell ref="AD146:AD152"/>
    <mergeCell ref="W174:W180"/>
    <mergeCell ref="AE118:AE124"/>
    <mergeCell ref="Y174:Y180"/>
    <mergeCell ref="AA48:AA54"/>
    <mergeCell ref="AE251:AE257"/>
    <mergeCell ref="W216:W222"/>
    <mergeCell ref="AJ76:AJ82"/>
    <mergeCell ref="AI258:AI264"/>
    <mergeCell ref="Y230:Y236"/>
    <mergeCell ref="Y55:Y61"/>
    <mergeCell ref="Z258:Z264"/>
    <mergeCell ref="AA230:AA236"/>
    <mergeCell ref="AJ132:AJ138"/>
    <mergeCell ref="U139:U145"/>
    <mergeCell ref="Y62:Y68"/>
    <mergeCell ref="Z216:Z222"/>
    <mergeCell ref="AI244:AI250"/>
    <mergeCell ref="X265:X271"/>
    <mergeCell ref="X174:X180"/>
    <mergeCell ref="Z174:Z180"/>
    <mergeCell ref="AH48:AH54"/>
    <mergeCell ref="B13:B19"/>
    <mergeCell ref="B62:B68"/>
    <mergeCell ref="F62:F68"/>
    <mergeCell ref="AE41:AE47"/>
    <mergeCell ref="X69:X75"/>
    <mergeCell ref="Y97:Y103"/>
    <mergeCell ref="Z69:Z75"/>
    <mergeCell ref="AA97:AA103"/>
    <mergeCell ref="F258:F264"/>
    <mergeCell ref="F153:F159"/>
    <mergeCell ref="V181:V187"/>
    <mergeCell ref="S34:S40"/>
    <mergeCell ref="E48:E54"/>
    <mergeCell ref="F209:F215"/>
    <mergeCell ref="V237:V243"/>
    <mergeCell ref="F111:F117"/>
    <mergeCell ref="AE167:AE173"/>
    <mergeCell ref="Z27:Z33"/>
    <mergeCell ref="B34:B40"/>
    <mergeCell ref="U20:U26"/>
    <mergeCell ref="F132:F138"/>
    <mergeCell ref="V160:V166"/>
    <mergeCell ref="W188:W194"/>
    <mergeCell ref="X160:X166"/>
    <mergeCell ref="A4:A5"/>
    <mergeCell ref="AH244:AH250"/>
    <mergeCell ref="Y251:Y257"/>
    <mergeCell ref="AD272:AD278"/>
    <mergeCell ref="AF146:AF152"/>
    <mergeCell ref="S167:S173"/>
    <mergeCell ref="F118:F124"/>
    <mergeCell ref="U167:U173"/>
    <mergeCell ref="AH4:AJ4"/>
    <mergeCell ref="Z125:Z131"/>
    <mergeCell ref="AA153:AA159"/>
    <mergeCell ref="A174:A180"/>
    <mergeCell ref="AD153:AD159"/>
    <mergeCell ref="E174:E180"/>
    <mergeCell ref="AD202:AD208"/>
    <mergeCell ref="AF202:AF208"/>
    <mergeCell ref="AH202:AH208"/>
    <mergeCell ref="AD104:AD110"/>
    <mergeCell ref="U223:U229"/>
    <mergeCell ref="AF104:AF110"/>
    <mergeCell ref="A55:A61"/>
    <mergeCell ref="W223:W229"/>
    <mergeCell ref="A230:A236"/>
    <mergeCell ref="E230:E236"/>
    <mergeCell ref="X4:AG4"/>
    <mergeCell ref="W13:W19"/>
    <mergeCell ref="AF160:AF166"/>
    <mergeCell ref="Y13:Y19"/>
    <mergeCell ref="AA62:AA68"/>
    <mergeCell ref="AJ48:AJ54"/>
    <mergeCell ref="AA209:AA215"/>
    <mergeCell ref="W69:W75"/>
    <mergeCell ref="Y69:Y75"/>
    <mergeCell ref="AA118:AA124"/>
    <mergeCell ref="AD118:AD124"/>
    <mergeCell ref="AE181:AE187"/>
    <mergeCell ref="X181:X187"/>
    <mergeCell ref="AD6:AD12"/>
    <mergeCell ref="AF55:AF61"/>
    <mergeCell ref="AH55:AH61"/>
    <mergeCell ref="AG27:AG33"/>
    <mergeCell ref="X27:X33"/>
    <mergeCell ref="AG6:AG12"/>
    <mergeCell ref="AG160:AG166"/>
    <mergeCell ref="AG34:AG40"/>
    <mergeCell ref="W6:W12"/>
    <mergeCell ref="AE48:AE54"/>
    <mergeCell ref="AD20:AD26"/>
    <mergeCell ref="AI230:AI236"/>
    <mergeCell ref="AI62:AI68"/>
    <mergeCell ref="AJ230:AJ236"/>
    <mergeCell ref="AJ153:AJ159"/>
    <mergeCell ref="AG41:AG47"/>
    <mergeCell ref="AJ244:AJ250"/>
    <mergeCell ref="W265:W271"/>
    <mergeCell ref="B69:B75"/>
    <mergeCell ref="E97:E103"/>
    <mergeCell ref="F69:F75"/>
    <mergeCell ref="AG223:AG229"/>
    <mergeCell ref="B125:B131"/>
    <mergeCell ref="AG48:AG54"/>
    <mergeCell ref="E153:E159"/>
    <mergeCell ref="F125:F131"/>
    <mergeCell ref="AF195:AF201"/>
    <mergeCell ref="B265:B271"/>
    <mergeCell ref="F265:F271"/>
    <mergeCell ref="AG265:AG271"/>
    <mergeCell ref="AI265:AI271"/>
    <mergeCell ref="Z265:Z271"/>
    <mergeCell ref="X230:X236"/>
    <mergeCell ref="Z230:Z236"/>
    <mergeCell ref="AE237:AE243"/>
    <mergeCell ref="AF216:AF222"/>
    <mergeCell ref="AH216:AH222"/>
    <mergeCell ref="AG244:AG250"/>
    <mergeCell ref="A69:A75"/>
    <mergeCell ref="U76:U82"/>
    <mergeCell ref="V48:V54"/>
    <mergeCell ref="W76:W82"/>
    <mergeCell ref="E83:E89"/>
    <mergeCell ref="Y125:Y131"/>
    <mergeCell ref="Z153:Z159"/>
    <mergeCell ref="AA125:AA131"/>
    <mergeCell ref="AH160:AH166"/>
    <mergeCell ref="A76:A82"/>
    <mergeCell ref="B237:B243"/>
    <mergeCell ref="S188:S194"/>
    <mergeCell ref="F139:F145"/>
    <mergeCell ref="A181:A187"/>
    <mergeCell ref="AH195:AH201"/>
    <mergeCell ref="AD209:AD215"/>
    <mergeCell ref="X132:X138"/>
    <mergeCell ref="X118:X124"/>
    <mergeCell ref="Z118:Z124"/>
    <mergeCell ref="B195:B201"/>
    <mergeCell ref="U216:U222"/>
    <mergeCell ref="S4:W4"/>
    <mergeCell ref="B279:B285"/>
    <mergeCell ref="AF13:AF19"/>
    <mergeCell ref="W132:W138"/>
    <mergeCell ref="AH13:AH19"/>
    <mergeCell ref="AJ62:AJ68"/>
    <mergeCell ref="V188:V194"/>
    <mergeCell ref="B230:B236"/>
    <mergeCell ref="U34:U40"/>
    <mergeCell ref="AE209:AE215"/>
    <mergeCell ref="X237:X243"/>
    <mergeCell ref="Y265:Y271"/>
    <mergeCell ref="AA265:AA271"/>
    <mergeCell ref="S41:S47"/>
    <mergeCell ref="AJ118:AJ124"/>
    <mergeCell ref="V244:V250"/>
    <mergeCell ref="AG174:AG180"/>
    <mergeCell ref="AI174:AI180"/>
    <mergeCell ref="V195:V201"/>
    <mergeCell ref="V20:V26"/>
    <mergeCell ref="B27:B33"/>
    <mergeCell ref="F27:F33"/>
    <mergeCell ref="AG230:AG236"/>
    <mergeCell ref="Z83:Z89"/>
    <mergeCell ref="Y279:Y285"/>
    <mergeCell ref="U181:U187"/>
    <mergeCell ref="Z139:Z145"/>
    <mergeCell ref="W181:W187"/>
    <mergeCell ref="Y195:Y201"/>
    <mergeCell ref="AG55:AG61"/>
    <mergeCell ref="W237:W243"/>
    <mergeCell ref="Y237:Y243"/>
    <mergeCell ref="AH251:AH257"/>
    <mergeCell ref="AF279:AF285"/>
    <mergeCell ref="AH279:AH285"/>
    <mergeCell ref="Z132:Z138"/>
    <mergeCell ref="U188:U194"/>
    <mergeCell ref="AF272:AF278"/>
    <mergeCell ref="AE55:AE61"/>
    <mergeCell ref="AA111:AA117"/>
    <mergeCell ref="AD111:AD117"/>
    <mergeCell ref="AD167:AD173"/>
    <mergeCell ref="V279:V285"/>
    <mergeCell ref="X279:X285"/>
    <mergeCell ref="V55:V61"/>
    <mergeCell ref="W279:W285"/>
    <mergeCell ref="AG216:AG222"/>
    <mergeCell ref="AD279:AD285"/>
    <mergeCell ref="G4:H4"/>
    <mergeCell ref="E111:E117"/>
    <mergeCell ref="AJ251:AJ257"/>
    <mergeCell ref="AA251:AA257"/>
    <mergeCell ref="AH265:AH271"/>
    <mergeCell ref="W27:W33"/>
    <mergeCell ref="Y27:Y33"/>
    <mergeCell ref="AA27:AA33"/>
    <mergeCell ref="S146:S152"/>
    <mergeCell ref="AD223:AD229"/>
    <mergeCell ref="Y83:Y89"/>
    <mergeCell ref="AF223:AF229"/>
    <mergeCell ref="AA83:AA89"/>
    <mergeCell ref="S202:S208"/>
    <mergeCell ref="AJ111:AJ117"/>
    <mergeCell ref="E125:E131"/>
    <mergeCell ref="Y132:Y138"/>
    <mergeCell ref="X195:X201"/>
    <mergeCell ref="Z111:Z117"/>
    <mergeCell ref="AF20:AF26"/>
    <mergeCell ref="AH69:AH75"/>
    <mergeCell ref="AI97:AI103"/>
    <mergeCell ref="AA6:AA12"/>
    <mergeCell ref="F146:F152"/>
    <mergeCell ref="A265:A271"/>
    <mergeCell ref="AH125:AH131"/>
    <mergeCell ref="AI153:AI159"/>
    <mergeCell ref="AJ125:AJ131"/>
    <mergeCell ref="AE6:AE12"/>
    <mergeCell ref="AG181:AG187"/>
    <mergeCell ref="U48:U54"/>
    <mergeCell ref="V76:V82"/>
    <mergeCell ref="AE223:AE229"/>
    <mergeCell ref="AA34:AA40"/>
    <mergeCell ref="X76:X82"/>
    <mergeCell ref="B83:B89"/>
    <mergeCell ref="F83:F89"/>
    <mergeCell ref="AD34:AD40"/>
    <mergeCell ref="AG237:AG243"/>
    <mergeCell ref="Z90:Z96"/>
    <mergeCell ref="AI237:AI243"/>
    <mergeCell ref="S55:S61"/>
    <mergeCell ref="V258:V264"/>
    <mergeCell ref="AE13:AE19"/>
    <mergeCell ref="V132:V138"/>
    <mergeCell ref="A62:A68"/>
    <mergeCell ref="A13:A19"/>
    <mergeCell ref="AH27:AH33"/>
    <mergeCell ref="A279:A285"/>
    <mergeCell ref="X251:X257"/>
    <mergeCell ref="W48:W54"/>
    <mergeCell ref="Z251:Z257"/>
    <mergeCell ref="S216:S222"/>
    <mergeCell ref="AE258:AE264"/>
    <mergeCell ref="E69:E75"/>
    <mergeCell ref="AH76:AH82"/>
    <mergeCell ref="U55:U61"/>
    <mergeCell ref="AG258:AG264"/>
    <mergeCell ref="X258:X264"/>
    <mergeCell ref="AE279:AE285"/>
    <mergeCell ref="B90:B96"/>
    <mergeCell ref="AG279:AG285"/>
    <mergeCell ref="B146:B152"/>
    <mergeCell ref="AH97:AH103"/>
    <mergeCell ref="A195:A201"/>
    <mergeCell ref="AG69:AG75"/>
    <mergeCell ref="A258:A264"/>
    <mergeCell ref="B104:B110"/>
    <mergeCell ref="AA188:AA194"/>
    <mergeCell ref="AD188:AD194"/>
    <mergeCell ref="AF237:AF243"/>
    <mergeCell ref="AH237:AH243"/>
    <mergeCell ref="I4:I5"/>
    <mergeCell ref="AI69:AI75"/>
    <mergeCell ref="V174:V180"/>
    <mergeCell ref="S104:S110"/>
    <mergeCell ref="AD48:AD54"/>
    <mergeCell ref="AE76:AE82"/>
    <mergeCell ref="AF48:AF54"/>
    <mergeCell ref="AG76:AG82"/>
    <mergeCell ref="B202:B208"/>
    <mergeCell ref="F202:F208"/>
    <mergeCell ref="AI125:AI131"/>
    <mergeCell ref="J4:R4"/>
    <mergeCell ref="S160:S166"/>
    <mergeCell ref="F6:F12"/>
    <mergeCell ref="AH174:AH180"/>
    <mergeCell ref="Z104:Z110"/>
    <mergeCell ref="AD181:AD187"/>
    <mergeCell ref="AF181:AF187"/>
    <mergeCell ref="V62:V68"/>
    <mergeCell ref="W90:W96"/>
    <mergeCell ref="X62:X68"/>
    <mergeCell ref="Y90:Y96"/>
    <mergeCell ref="AA139:AA145"/>
    <mergeCell ref="AD139:AD145"/>
    <mergeCell ref="U244:U250"/>
    <mergeCell ref="V216:V222"/>
    <mergeCell ref="W244:W250"/>
    <mergeCell ref="A251:A257"/>
    <mergeCell ref="E251:E257"/>
    <mergeCell ref="AH230:AH236"/>
    <mergeCell ref="A223:A229"/>
    <mergeCell ref="AG251:AG257"/>
    <mergeCell ref="AJ69:AJ75"/>
    <mergeCell ref="AJ90:AJ96"/>
    <mergeCell ref="AJ97:AJ103"/>
    <mergeCell ref="A237:A243"/>
    <mergeCell ref="S139:S145"/>
    <mergeCell ref="AB69:AB75"/>
    <mergeCell ref="AB76:AB82"/>
    <mergeCell ref="AB83:AB89"/>
    <mergeCell ref="AB90:AB96"/>
    <mergeCell ref="AB97:AB103"/>
    <mergeCell ref="AB104:AB110"/>
    <mergeCell ref="AB111:AB117"/>
    <mergeCell ref="AB118:AB124"/>
    <mergeCell ref="AB125:AB131"/>
    <mergeCell ref="AB132:AB138"/>
    <mergeCell ref="AB139:AB145"/>
    <mergeCell ref="AB6:AB12"/>
    <mergeCell ref="AB13:AB19"/>
    <mergeCell ref="AB20:AB26"/>
    <mergeCell ref="AB27:AB33"/>
    <mergeCell ref="AB34:AB40"/>
    <mergeCell ref="AB41:AB47"/>
    <mergeCell ref="AB48:AB54"/>
    <mergeCell ref="AB55:AB61"/>
    <mergeCell ref="AB62:AB68"/>
    <mergeCell ref="AB153:AB159"/>
    <mergeCell ref="AB160:AB166"/>
    <mergeCell ref="AB167:AB173"/>
    <mergeCell ref="AB174:AB180"/>
    <mergeCell ref="AB181:AB187"/>
    <mergeCell ref="AB188:AB194"/>
    <mergeCell ref="AB195:AB201"/>
    <mergeCell ref="AB202:AB208"/>
    <mergeCell ref="AB209:AB215"/>
    <mergeCell ref="AB279:AB285"/>
    <mergeCell ref="AB216:AB222"/>
    <mergeCell ref="AB223:AB229"/>
    <mergeCell ref="AB230:AB236"/>
    <mergeCell ref="AB237:AB243"/>
    <mergeCell ref="AB244:AB250"/>
    <mergeCell ref="AB251:AB257"/>
    <mergeCell ref="AB258:AB264"/>
    <mergeCell ref="AB265:AB271"/>
    <mergeCell ref="AB272:AB278"/>
    <mergeCell ref="AC6:AC12"/>
    <mergeCell ref="AC13:AC19"/>
    <mergeCell ref="AC20:AC26"/>
    <mergeCell ref="AC27:AC33"/>
    <mergeCell ref="AC34:AC40"/>
    <mergeCell ref="AC41:AC47"/>
    <mergeCell ref="AC48:AC54"/>
    <mergeCell ref="AC55:AC61"/>
    <mergeCell ref="AC62:AC68"/>
    <mergeCell ref="AC97:AC103"/>
    <mergeCell ref="AC104:AC110"/>
    <mergeCell ref="AC111:AC117"/>
    <mergeCell ref="AC118:AC124"/>
    <mergeCell ref="AC125:AC131"/>
    <mergeCell ref="AC132:AC138"/>
    <mergeCell ref="AC139:AC145"/>
    <mergeCell ref="AC146:AC152"/>
    <mergeCell ref="AC153:AC159"/>
    <mergeCell ref="AC160:AC166"/>
    <mergeCell ref="AC167:AC173"/>
    <mergeCell ref="AC174:AC180"/>
    <mergeCell ref="AC181:AC187"/>
    <mergeCell ref="AC188:AC194"/>
    <mergeCell ref="AC195:AC201"/>
    <mergeCell ref="AC202:AC208"/>
    <mergeCell ref="AC209:AC215"/>
    <mergeCell ref="AC216:AC222"/>
    <mergeCell ref="AC223:AC229"/>
    <mergeCell ref="AC230:AC236"/>
    <mergeCell ref="AC237:AC243"/>
    <mergeCell ref="AC244:AC250"/>
    <mergeCell ref="AC251:AC257"/>
    <mergeCell ref="AC258:AC264"/>
    <mergeCell ref="AC265:AC271"/>
    <mergeCell ref="AC272:AC278"/>
    <mergeCell ref="AC279:AC285"/>
    <mergeCell ref="C6:C12"/>
    <mergeCell ref="C13:C19"/>
    <mergeCell ref="C20:C26"/>
    <mergeCell ref="C27:C33"/>
    <mergeCell ref="C34:C40"/>
    <mergeCell ref="C41:C47"/>
    <mergeCell ref="C48:C54"/>
    <mergeCell ref="C55:C61"/>
    <mergeCell ref="C62:C68"/>
    <mergeCell ref="C69:C75"/>
    <mergeCell ref="C76:C82"/>
    <mergeCell ref="C83:C89"/>
    <mergeCell ref="C90:C96"/>
    <mergeCell ref="C97:C103"/>
    <mergeCell ref="C104:C110"/>
    <mergeCell ref="C111:C117"/>
    <mergeCell ref="C118:C124"/>
    <mergeCell ref="C125:C131"/>
    <mergeCell ref="C132:C138"/>
    <mergeCell ref="C139:C145"/>
    <mergeCell ref="C146:C152"/>
    <mergeCell ref="C153:C159"/>
    <mergeCell ref="C160:C166"/>
    <mergeCell ref="C167:C173"/>
    <mergeCell ref="C174:C180"/>
    <mergeCell ref="C181:C187"/>
    <mergeCell ref="C188:C194"/>
    <mergeCell ref="C195:C201"/>
    <mergeCell ref="C202:C208"/>
    <mergeCell ref="C209:C215"/>
    <mergeCell ref="C216:C222"/>
    <mergeCell ref="C223:C229"/>
    <mergeCell ref="C230:C236"/>
    <mergeCell ref="C237:C243"/>
    <mergeCell ref="C244:C250"/>
    <mergeCell ref="C251:C257"/>
    <mergeCell ref="C258:C264"/>
    <mergeCell ref="C265:C271"/>
    <mergeCell ref="C272:C278"/>
    <mergeCell ref="C279:C285"/>
    <mergeCell ref="C4:C5"/>
    <mergeCell ref="D4:D5"/>
    <mergeCell ref="D6:D12"/>
    <mergeCell ref="D13:D19"/>
    <mergeCell ref="D20:D26"/>
    <mergeCell ref="D27:D33"/>
    <mergeCell ref="D34:D40"/>
    <mergeCell ref="D41:D47"/>
    <mergeCell ref="D48:D54"/>
    <mergeCell ref="D55:D61"/>
    <mergeCell ref="D62:D68"/>
    <mergeCell ref="D69:D75"/>
    <mergeCell ref="D76:D82"/>
    <mergeCell ref="D83:D89"/>
    <mergeCell ref="D90:D96"/>
    <mergeCell ref="D97:D103"/>
    <mergeCell ref="D104:D110"/>
    <mergeCell ref="D111:D117"/>
    <mergeCell ref="D118:D124"/>
    <mergeCell ref="D125:D131"/>
    <mergeCell ref="D132:D138"/>
    <mergeCell ref="D139:D145"/>
    <mergeCell ref="D146:D152"/>
    <mergeCell ref="D153:D159"/>
    <mergeCell ref="D160:D166"/>
    <mergeCell ref="D167:D173"/>
    <mergeCell ref="D174:D180"/>
    <mergeCell ref="D181:D187"/>
    <mergeCell ref="D188:D194"/>
    <mergeCell ref="D258:D264"/>
    <mergeCell ref="D265:D271"/>
    <mergeCell ref="D272:D278"/>
    <mergeCell ref="D279:D285"/>
    <mergeCell ref="D195:D201"/>
    <mergeCell ref="D202:D208"/>
    <mergeCell ref="D209:D215"/>
    <mergeCell ref="D216:D222"/>
    <mergeCell ref="D223:D229"/>
    <mergeCell ref="D230:D236"/>
    <mergeCell ref="D237:D243"/>
    <mergeCell ref="D244:D250"/>
    <mergeCell ref="D251:D257"/>
  </mergeCells>
  <conditionalFormatting sqref="B6:F285">
    <cfRule type="expression" dxfId="73" priority="4">
      <formula>AND($B6&lt;&gt;"",COUNTIF(DependencyBIAIDs,$B6)=0)</formula>
    </cfRule>
  </conditionalFormatting>
  <conditionalFormatting sqref="U6:U285">
    <cfRule type="containsText" dxfId="72" priority="1" operator="containsText" text="&quot;No&quot;">
      <formula>NOT(ISERROR(SEARCH("""No""",U6)))</formula>
    </cfRule>
    <cfRule type="containsText" dxfId="71" priority="2" operator="containsText" text="&quot;Yes&quot;">
      <formula>NOT(ISERROR(SEARCH("""Yes""",U6)))</formula>
    </cfRule>
  </conditionalFormatting>
  <conditionalFormatting sqref="AG6:AG285">
    <cfRule type="expression" dxfId="70" priority="3">
      <formula>AND($B6&lt;&gt;"",ISNUMBER($AG6),$AG6&lt;TODAY())</formula>
    </cfRule>
  </conditionalFormatting>
  <conditionalFormatting sqref="V6:V285 AC6:AC285 AF6:AF285">
    <cfRule type="expression" dxfId="250" priority="5">
      <formula>AND($E6&lt;&gt;"",V6="")</formula>
    </cfRule>
  </conditionalFormatting>
  <conditionalFormatting sqref="AC6:AD285">
    <cfRule type="expression" dxfId="250" priority="6">
      <formula>AND(ISNUMBER($AD6),ISNUMBER($AA6),$AD6&gt;=$AA6)</formula>
    </cfRule>
  </conditionalFormatting>
  <dataValidations count="3">
    <dataValidation type="list" allowBlank="1" sqref="V279 V6 V13 V20 V27 V34 V41 V48 V55 V62 V69 V76 V83 V90 V97 V104 V111 V118 V125 V132 V139 V146 V153 V160 V167 V174 V181 V188 V195 V202 V209 V216 V223 V230 V237 V244 V251 V258 V265 V272 H6:H285" xr:uid="{00000000-0002-0000-0700-000001000000}">
      <formula1>lstYN</formula1>
      <formula2>0</formula2>
    </dataValidation>
    <dataValidation type="list" allowBlank="1" showInputMessage="1" showErrorMessage="1" sqref="J6:R285" xr:uid="{ED1AE205-6FCF-40AF-9409-DBB5A7F2D3BF}">
      <formula1>lstScore</formula1>
    </dataValidation>
    <dataValidation type="custom" allowBlank="1" showInputMessage="1" showErrorMessage="1" sqref="AF6:AF285" xr:uid="{062AA2CC-62C4-463B-B1A8-1BD6F2BE875F}">
      <formula1>OR($B6="",AF6="",AND(ISNUMBER(AF6),AF6&lt;=TODAY()))</formula1>
    </dataValidation>
  </dataValidations>
  <pageMargins left="0.75" right="0.75" top="1" bottom="1" header="0.511811023622047" footer="0.51180555555555596"/>
  <pageSetup paperSize="9" orientation="portrait" horizontalDpi="300" verticalDpi="300"/>
  <headerFooter>
    <oddFooter>&amp;L&amp;A&amp;RPage &amp;P of &amp;N</oddFooter>
  </headerFooter>
  <ignoredErrors>
    <ignoredError sqref="A4:AJ5 A7:G12 A6:B6 A14:G19 A13:B13 A21:G26 A20:B20 A28:G33 A27:B27 A35:G40 A34:B34 A42:G47 A41:B41 A49:G54 A48:B48 A56:G61 A55:B55 A63:G68 A62:B62 A70:G75 A69:B69 A77:G82 A76:B76 A84:G89 A83:B83 A91:G96 A90:B90 A98:G103 A97:B97 A105:G110 A104:B104 A112:G117 A111:B111 A119:G124 A118:B118 A126:G131 A125:B125 A133:G138 A132:B132 A140:G145 A139:B139 A147:G152 A146:B146 A154:G159 A153:B153 A161:G166 A160:B160 A168:G173 A167:B167 A175:G180 A174:B174 A182:G187 A181:B181 A189:G194 A188:B188 A196:G201 A195:B195 A203:G208 A202:B202 A210:G215 A209:B209 A217:G222 A216:B216 A224:G229 A223:B223 A231:G236 A230:B230 A238:G243 A237:B237 A245:G250 A244:B244 A252:G257 A251:B251 A259:G264 A258:B258 A266:G271 A265:B265 A273:G278 A272:B272 A280:G285 A279:B279 I7:I12 I6 I14:I19 I13 I21:I26 I20 I28:I33 I27 I35:I40 I34 I42:I47 I41 I49:I54 I48 I56:I61 I55 I63:I68 I62 I70:I75 I69 I77:I82 I76 I84:I89 I83 I91:I96 I90 I98:I103 I97 I105:I110 I104 I112:I117 I111 I119:I124 I118 I126:I131 I125 I133:I138 I132 I140:I145 I139 I147:I152 I146 I154:I159 I153 I161:I166 I160 I168:I173 I167 I175:I180 I174 I182:I187 I181 I189:I194 I188 I196:I201 I195 I203:I208 I202 I210:I215 I209 I217:I222 I216 I224:I229 I223 I231:I236 I230 I238:I243 I237 I245:I250 I244 I252:I257 I251 I259:I264 I258 I266:I271 I265 I273:I278 I272 I280:I285 I279 S12 S19 S26 S33 S40 S47 S54 S61 S68 S75 S82 S89 S96 S103 S110 S117 S124 S131 S138 S145 S152 S159 S166 S173 S180 S187 S194 S201 S208 S215 S222 S229 S236 S243 S250 S257 S264 S271 S278 S285 W7:X12 W14:X19 W21:X26 W28:X33 W35:X40 W42:X47 W49:X54 W56:X61 W63:X68 W70:X75 W77:X82 W84:X89 W91:X96 W98:X103 W105:X110 W112:X117 W119:X124 W126:X131 W133:X138 W140:X145 W147:X152 W154:X159 W161:X166 W168:X173 W175:X180 W182:X187 W189:X194 W196:X201 W203:X208 W210:X215 W217:X222 W224:X229 W231:X236 W238:X243 W245:X250 W252:X257 W259:X264 W266:X271 W273:X278 W280:X285 AA6 AA13 AA20 AA27 AA34 AA41 AA48 AA55 AA62 AA69 AA76 AA83 AA90 AA97 AA104 AA111 AA118 AA125 AA132 AA139 AA146 AA153 AA160 AA167 AA174 AA181 AA188 AA195 AA202 AA209 AA216 AA223 AA230 AA237 AA244 AA251 AA258 AA265 AA272 AA279 AA7:AB12 AA14:AB19 AA21:AB26 AA28:AB33 AA35:AB40 AA42:AB47 AA49:AB54 AA56:AB61 AA63:AB68 AA70:AB75 AA77:AB82 AA84:AB89 AA91:AB96 AA98:AB103 AA105:AB110 AA112:AB117 AA119:AB124 AA126:AB131 AA133:AB138 AA140:AB145 AA147:AB152 AA154:AB159 AA161:AB166 AA168:AB173 AA175:AB180 AA182:AB187 AA189:AB194 AA196:AB201 AA203:AB208 AA210:AB215 AA217:AB222 AA224:AB229 AA231:AB236 AA238:AB243 AA245:AB250 AA252:AB257 AA259:AB264 AA266:AB271 AA273:AB278 AA280:AB285 AD7:AD12 AD14:AD19 AD21:AD26 AD28:AD33 AD35:AD40 AD42:AD47 AD49:AD54 AD56:AD61 AD63:AD68 AD70:AD75 AD77:AD82 AD84:AD89 AD91:AD96 AD98:AD103 AD105:AD110 AD112:AD117 AD119:AD124 AD126:AD131 AD133:AD138 AD140:AD145 AD147:AD152 AD154:AD159 AD161:AD166 AD168:AD173 AD175:AD180 AD182:AD187 AD189:AD194 AD196:AD201 AD203:AD208 AD210:AD215 AD217:AD222 AD224:AD229 AD231:AD236 AD238:AD243 AD245:AD250 AD252:AD257 AD259:AD264 AD266:AD271 AD273:AD278 AD280:AD285 AH6:AJ6 AH13:AJ13 AH20:AJ20 AH27:AJ27 AH34:AJ34 AH41:AJ41 AH48:AJ48 AH55:AJ55 AH62:AJ62 AH69:AJ69 AH76:AJ76 AH83:AJ83 AH90:AJ90 AH97:AJ97 AH104:AJ104 AH111:AJ111 AH118:AJ118 AH125:AJ125 AH132:AJ132 AH139:AJ139 AH146:AJ146 AH153:AJ153 AH160:AJ160 AH167:AJ167 AH174:AJ174 AH181:AJ181 AH188:AJ188 AH195:AJ195 AH202:AJ202 AH209:AJ209 AH216:AJ216 AH223:AJ223 AH230:AJ230 AH237:AJ237 AH244:AJ244 AH251:AJ251 AH258:AJ258 AH265:AJ265 AH272:AJ272 AH279:AJ279 AG7:AJ12 AG14:AJ19 AG21:AJ26 AG28:AJ33 AG35:AJ40 AG42:AJ47 AG49:AJ54 AG56:AJ61 AG63:AJ68 AG70:AJ75 AG77:AJ82 AG84:AJ89 AG91:AJ96 AG98:AJ103 AG105:AJ110 AG112:AJ117 AG119:AJ124 AG126:AJ131 AG133:AJ138 AG140:AJ145 AG147:AJ152 AG154:AJ159 AG161:AJ166 AG168:AJ173 AG175:AJ180 AG182:AJ187 AG189:AJ194 AG196:AJ201 AG203:AJ208 AG210:AJ215 AG217:AJ222 AG224:AJ229 AG231:AJ236 AG238:AJ243 AG245:AJ250 AG252:AJ257 AG259:AJ264 AG266:AJ271 AG273:AJ278 AG280:AJ285 G6 G13 G20 G27 G34 G41 G48 G55 G62 G69 G76 G83 G90 G97 G104 G111 G118 G125 G132 G139 G146 G153 G160 G167 G174 G181 G188 G195 G202 G209 G216 G223 G230 G237 G244 G251 G258 G265 G272 G279 S7 U7 S8 U8 S9 U9 S10 U10 S11 U11 U12 S14 U14 S15 U15 S16 U16 S17 U17 S18 U18 U19 S21 U21 S22 U22 S23 U23 S24 U24 S25 U25 U26 S28 U28 S29 U29 S30 U30 S31 U31 S32 U32 U33 S35 U35 S36 U36 S37 U37 S38 U38 S39 U39 U40 S42 U42 S43 U43 S44 U44 S45 U45 S46 U46 U47 S49 U49 S50 U50 S51 U51 S52 U52 S53 U53 U54 S56 U56 S57 U57 S58 U58 S59 U59 S60 U60 U61 S63 U63 S64 U64 S65 U65 S66 U66 S67 U67 U68 S70 U70 S71 U71 S72 U72 S73 U73 S74 U74 U75 S77 U77 S78 U78 S79 U79 S80 U80 S81 U81 U82 S84 U84 S85 U85 S86 U86 S87 U87 S88 U88 U89 S91 U91 S92 U92 S93 U93 S94 U94 S95 U95 U96 S98 U98 S99 U99 S100 U100 S101 U101 S102 U102 U103 S105 U105 S106 U106 S107 U107 S108 U108 S109 U109 U110 S112 U112 S113 U113 S114 U114 S115 U115 S116 U116 U117 S119 U119 S120 U120 S121 U121 S122 U122 S123 U123 U124 S126 U126 S127 U127 S128 U128 S129 U129 S130 U130 U131 S133 U133 S134 U134 S135 U135 S136 U136 S137 U137 U138 S140 U140 S141 U141 S142 U142 S143 U143 S144 U144 U145 S147 U147 S148 U148 S149 U149 S150 U150 S151 U151 U152 S154 U154 S155 U155 S156 U156 S157 U157 S158 U158 U159 S161 U161 S162 U162 S163 U163 S164 U164 S165 U165 U166 S168 U168 S169 U169 S170 U170 S171 U171 S172 U172 U173 S175 U175 S176 U176 S177 U177 S178 U178 S179 U179 U180 S182 U182 S183 U183 S184 U184 S185 U185 S186 U186 U187 S189 U189 S190 U190 S191 U191 S192 U192 S193 U193 U194 S196 U196 S197 U197 S198 U198 S199 U199 S200 U200 U201 S203 U203 S204 U204 S205 U205 S206 U206 S207 U207 U208 S210 U210 S211 U211 S212 U212 S213 U213 S214 U214 U215 S217 U217 S218 U218 S219 U219 S220 U220 S221 U221 U222 S224 U224 S225 U225 S226 U226 S227 U227 S228 U228 U229 S231 U231 S232 U232 S233 U233 S234 U234 S235 U235 U236 S238 U238 S239 U239 S240 U240 S241 U241 S242 U242 U243 S245 U245 S246 U246 S247 U247 S248 U248 S249 U249 U250 S252 U252 S253 U253 S254 U254 S255 U255 S256 U256 U257 S259 U259 S260 U260 S261 U261 S262 U262 S263 U263 U264 S266 U266 S267 U267 S268 U268 S269 U269 S270 U270 U271 S273 U273 S274 U274 S275 U275 S276 U276 S277 U277 U278 S280 U280 S281 U281 S282 U282 S283 U283 S284 U284 U285" formulaRange="1"/>
  </ignoredErrors>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4687"/>
  </sheetPr>
  <dimension ref="A1:O204"/>
  <sheetViews>
    <sheetView showGridLines="0" zoomScale="55" zoomScaleNormal="55" workbookViewId="0">
      <pane ySplit="4" topLeftCell="A175" activePane="bottomLeft" state="frozen"/>
      <selection pane="bottomLeft" activeCell="A2" sqref="A2:M2"/>
    </sheetView>
  </sheetViews>
  <sheetFormatPr defaultColWidth="8.54296875" defaultRowHeight="15" customHeight="1" x14ac:dyDescent="0.35"/>
  <cols>
    <col min="1" max="1" width="10.54296875" bestFit="1" customWidth="1"/>
    <col min="2" max="2" width="13.453125" bestFit="1" customWidth="1"/>
    <col min="3" max="3" width="14.26953125" bestFit="1" customWidth="1"/>
    <col min="4" max="4" width="28.1796875" bestFit="1" customWidth="1"/>
    <col min="5" max="5" width="24.81640625" bestFit="1" customWidth="1"/>
    <col min="6" max="6" width="22.453125" bestFit="1" customWidth="1"/>
    <col min="7" max="7" width="40.453125" bestFit="1" customWidth="1"/>
    <col min="8" max="8" width="27.26953125" bestFit="1" customWidth="1"/>
    <col min="9" max="9" width="23.26953125" bestFit="1" customWidth="1"/>
    <col min="10" max="10" width="24.54296875" bestFit="1" customWidth="1"/>
    <col min="11" max="11" width="18.81640625" bestFit="1" customWidth="1"/>
    <col min="12" max="12" width="13.1796875" bestFit="1" customWidth="1"/>
    <col min="13" max="13" width="15.26953125" bestFit="1" customWidth="1"/>
  </cols>
  <sheetData>
    <row r="1" spans="1:15" ht="27.75" customHeight="1" x14ac:dyDescent="0.35">
      <c r="A1" s="236" t="s">
        <v>210</v>
      </c>
      <c r="B1" s="213"/>
      <c r="C1" s="213"/>
      <c r="D1" s="213"/>
      <c r="E1" s="213"/>
      <c r="F1" s="213"/>
      <c r="G1" s="213"/>
      <c r="H1" s="213"/>
      <c r="I1" s="213"/>
      <c r="J1" s="213"/>
      <c r="K1" s="213"/>
      <c r="L1" s="213"/>
      <c r="M1" s="213"/>
    </row>
    <row r="2" spans="1:15" ht="18" customHeight="1" x14ac:dyDescent="0.35">
      <c r="A2" s="237"/>
      <c r="B2" s="213"/>
      <c r="C2" s="213"/>
      <c r="D2" s="213"/>
      <c r="E2" s="213"/>
      <c r="F2" s="213"/>
      <c r="G2" s="213"/>
      <c r="H2" s="213"/>
      <c r="I2" s="213"/>
      <c r="J2" s="213"/>
      <c r="K2" s="213"/>
      <c r="L2" s="213"/>
      <c r="M2" s="213"/>
    </row>
    <row r="3" spans="1:15" ht="15" customHeight="1" x14ac:dyDescent="0.35">
      <c r="G3" s="47"/>
    </row>
    <row r="4" spans="1:15" ht="36" customHeight="1" x14ac:dyDescent="0.35">
      <c r="A4" s="158" t="s">
        <v>131</v>
      </c>
      <c r="B4" s="159" t="s">
        <v>211</v>
      </c>
      <c r="C4" s="159" t="s">
        <v>212</v>
      </c>
      <c r="D4" s="159" t="s">
        <v>213</v>
      </c>
      <c r="E4" s="159" t="s">
        <v>169</v>
      </c>
      <c r="F4" s="159" t="s">
        <v>214</v>
      </c>
      <c r="G4" s="159" t="s">
        <v>215</v>
      </c>
      <c r="H4" s="159" t="s">
        <v>216</v>
      </c>
      <c r="I4" s="160" t="s">
        <v>217</v>
      </c>
      <c r="J4" s="159" t="s">
        <v>218</v>
      </c>
      <c r="K4" s="159" t="s">
        <v>219</v>
      </c>
      <c r="L4" s="159" t="s">
        <v>99</v>
      </c>
      <c r="M4" s="161" t="s">
        <v>220</v>
      </c>
    </row>
    <row r="5" spans="1:15" ht="23.15" customHeight="1" x14ac:dyDescent="0.35">
      <c r="A5" s="156">
        <v>1</v>
      </c>
      <c r="B5" s="67">
        <f t="shared" ref="B5:B36" si="0">IF($I5="","","DEP-"&amp;TEXT($A5,"000"))</f>
      </c>
      <c r="C5" s="293"/>
      <c r="D5" s="68">
        <f>IF($C5="","",IFERROR(IF(INDEX('07. BIA'!$E$6:$E$285,MATCH($C5,'07. BIA'!$B$6:$B$285,0))="","",INDEX('07. BIA'!$E$6:$E$285,MATCH($C5,'07. BIA'!$B$6:$B$285,0))),""))</f>
      </c>
      <c r="E5" s="68">
        <f>IF($C5="","",IFERROR(IF(INDEX('07. BIA'!$F$6:$F$285,MATCH($C5,'07. BIA'!$B$6:$B$285,0))="","",INDEX('07. BIA'!$F$6:$F$285,MATCH($C5,'07. BIA'!$B$6:$B$285,0))),""))</f>
      </c>
      <c r="F5" s="303"/>
      <c r="G5" s="303"/>
      <c r="H5" s="306"/>
      <c r="I5" s="19"/>
      <c r="J5" s="19"/>
      <c r="K5" s="293"/>
      <c r="L5" s="19"/>
      <c r="M5" s="157"/>
    </row>
    <row r="6" spans="1:15" ht="23.15" customHeight="1" x14ac:dyDescent="0.35">
      <c r="A6" s="156">
        <v>2</v>
      </c>
      <c r="B6" s="67">
        <f t="shared" si="0"/>
      </c>
      <c r="C6" s="293"/>
      <c r="D6" s="68">
        <f>IF($C6="","",IFERROR(IF(INDEX('07. BIA'!$E$6:$E$285,MATCH($C6,'07. BIA'!$B$6:$B$285,0))="","",INDEX('07. BIA'!$E$6:$E$285,MATCH($C6,'07. BIA'!$B$6:$B$285,0))),""))</f>
      </c>
      <c r="E6" s="68">
        <f>IF($C6="","",IFERROR(IF(INDEX('07. BIA'!$F$6:$F$285,MATCH($C6,'07. BIA'!$B$6:$B$285,0))="","",INDEX('07. BIA'!$F$6:$F$285,MATCH($C6,'07. BIA'!$B$6:$B$285,0))),""))</f>
      </c>
      <c r="F6" s="303"/>
      <c r="G6" s="303"/>
      <c r="H6" s="306"/>
      <c r="I6" s="19"/>
      <c r="J6" s="19"/>
      <c r="K6" s="293"/>
      <c r="L6" s="19"/>
      <c r="M6" s="157"/>
    </row>
    <row r="7" spans="1:15" ht="23.15" customHeight="1" x14ac:dyDescent="0.35">
      <c r="A7" s="156">
        <v>3</v>
      </c>
      <c r="B7" s="67">
        <f t="shared" si="0"/>
      </c>
      <c r="C7" s="293"/>
      <c r="D7" s="68">
        <f>IF($C7="","",IFERROR(IF(INDEX('07. BIA'!$E$6:$E$285,MATCH($C7,'07. BIA'!$B$6:$B$285,0))="","",INDEX('07. BIA'!$E$6:$E$285,MATCH($C7,'07. BIA'!$B$6:$B$285,0))),""))</f>
      </c>
      <c r="E7" s="68">
        <f>IF($C7="","",IFERROR(IF(INDEX('07. BIA'!$F$6:$F$285,MATCH($C7,'07. BIA'!$B$6:$B$285,0))="","",INDEX('07. BIA'!$F$6:$F$285,MATCH($C7,'07. BIA'!$B$6:$B$285,0))),""))</f>
      </c>
      <c r="F7" s="303"/>
      <c r="G7" s="303"/>
      <c r="H7" s="306"/>
      <c r="I7" s="64"/>
      <c r="J7" s="19"/>
      <c r="K7" s="293"/>
      <c r="L7" s="19"/>
      <c r="M7" s="157"/>
    </row>
    <row r="8" spans="1:15" ht="23.15" customHeight="1" x14ac:dyDescent="0.35">
      <c r="A8" s="156">
        <v>4</v>
      </c>
      <c r="B8" s="67">
        <f t="shared" si="0"/>
      </c>
      <c r="C8" s="293"/>
      <c r="D8" s="68">
        <f>IF($C8="","",IFERROR(IF(INDEX('07. BIA'!$E$6:$E$285,MATCH($C8,'07. BIA'!$B$6:$B$285,0))="","",INDEX('07. BIA'!$E$6:$E$285,MATCH($C8,'07. BIA'!$B$6:$B$285,0))),""))</f>
      </c>
      <c r="E8" s="68">
        <f>IF($C8="","",IFERROR(IF(INDEX('07. BIA'!$F$6:$F$285,MATCH($C8,'07. BIA'!$B$6:$B$285,0))="","",INDEX('07. BIA'!$F$6:$F$285,MATCH($C8,'07. BIA'!$B$6:$B$285,0))),""))</f>
      </c>
      <c r="F8" s="303"/>
      <c r="G8" s="303"/>
      <c r="H8" s="306"/>
      <c r="I8" s="19"/>
      <c r="J8" s="19"/>
      <c r="K8" s="293"/>
      <c r="L8" s="19"/>
      <c r="M8" s="157"/>
      <c r="O8" s="47"/>
    </row>
    <row r="9" spans="1:15" ht="23.15" customHeight="1" x14ac:dyDescent="0.35">
      <c r="A9" s="156">
        <v>5</v>
      </c>
      <c r="B9" s="67">
        <f t="shared" si="0"/>
      </c>
      <c r="C9" s="293"/>
      <c r="D9" s="68">
        <f>IF($C9="","",IFERROR(IF(INDEX('07. BIA'!$E$6:$E$285,MATCH($C9,'07. BIA'!$B$6:$B$285,0))="","",INDEX('07. BIA'!$E$6:$E$285,MATCH($C9,'07. BIA'!$B$6:$B$285,0))),""))</f>
      </c>
      <c r="E9" s="68">
        <f>IF($C9="","",IFERROR(IF(INDEX('07. BIA'!$F$6:$F$285,MATCH($C9,'07. BIA'!$B$6:$B$285,0))="","",INDEX('07. BIA'!$F$6:$F$285,MATCH($C9,'07. BIA'!$B$6:$B$285,0))),""))</f>
      </c>
      <c r="F9" s="303"/>
      <c r="G9" s="303"/>
      <c r="H9" s="306"/>
      <c r="I9" s="19"/>
      <c r="J9" s="19"/>
      <c r="K9" s="293"/>
      <c r="L9" s="19"/>
      <c r="M9" s="157"/>
    </row>
    <row r="10" spans="1:15" ht="23.15" customHeight="1" x14ac:dyDescent="0.35">
      <c r="A10" s="156">
        <v>6</v>
      </c>
      <c r="B10" s="67">
        <f t="shared" si="0"/>
      </c>
      <c r="C10" s="293"/>
      <c r="D10" s="68">
        <f>IF($C10="","",IFERROR(IF(INDEX('07. BIA'!$E$6:$E$285,MATCH($C10,'07. BIA'!$B$6:$B$285,0))="","",INDEX('07. BIA'!$E$6:$E$285,MATCH($C10,'07. BIA'!$B$6:$B$285,0))),""))</f>
      </c>
      <c r="E10" s="68">
        <f>IF($C10="","",IFERROR(IF(INDEX('07. BIA'!$F$6:$F$285,MATCH($C10,'07. BIA'!$B$6:$B$285,0))="","",INDEX('07. BIA'!$F$6:$F$285,MATCH($C10,'07. BIA'!$B$6:$B$285,0))),""))</f>
      </c>
      <c r="F10" s="303"/>
      <c r="G10" s="303"/>
      <c r="H10" s="306"/>
      <c r="I10" s="19"/>
      <c r="J10" s="19"/>
      <c r="K10" s="293"/>
      <c r="L10" s="19"/>
      <c r="M10" s="157"/>
    </row>
    <row r="11" spans="1:15" ht="23.15" customHeight="1" x14ac:dyDescent="0.35">
      <c r="A11" s="156">
        <v>7</v>
      </c>
      <c r="B11" s="67">
        <f t="shared" si="0"/>
      </c>
      <c r="C11" s="293"/>
      <c r="D11" s="68">
        <f>IF($C11="","",IFERROR(IF(INDEX('07. BIA'!$E$6:$E$285,MATCH($C11,'07. BIA'!$B$6:$B$285,0))="","",INDEX('07. BIA'!$E$6:$E$285,MATCH($C11,'07. BIA'!$B$6:$B$285,0))),""))</f>
      </c>
      <c r="E11" s="68">
        <f>IF($C11="","",IFERROR(IF(INDEX('07. BIA'!$F$6:$F$285,MATCH($C11,'07. BIA'!$B$6:$B$285,0))="","",INDEX('07. BIA'!$F$6:$F$285,MATCH($C11,'07. BIA'!$B$6:$B$285,0))),""))</f>
      </c>
      <c r="F11" s="303"/>
      <c r="G11" s="303"/>
      <c r="H11" s="306"/>
      <c r="I11" s="19"/>
      <c r="J11" s="19"/>
      <c r="K11" s="293"/>
      <c r="L11" s="19"/>
      <c r="M11" s="157"/>
    </row>
    <row r="12" spans="1:15" ht="23.15" customHeight="1" x14ac:dyDescent="0.35">
      <c r="A12" s="156">
        <v>8</v>
      </c>
      <c r="B12" s="67">
        <f t="shared" si="0"/>
      </c>
      <c r="C12" s="293"/>
      <c r="D12" s="68">
        <f>IF($C12="","",IFERROR(IF(INDEX('07. BIA'!$E$6:$E$285,MATCH($C12,'07. BIA'!$B$6:$B$285,0))="","",INDEX('07. BIA'!$E$6:$E$285,MATCH($C12,'07. BIA'!$B$6:$B$285,0))),""))</f>
      </c>
      <c r="E12" s="68">
        <f>IF($C12="","",IFERROR(IF(INDEX('07. BIA'!$F$6:$F$285,MATCH($C12,'07. BIA'!$B$6:$B$285,0))="","",INDEX('07. BIA'!$F$6:$F$285,MATCH($C12,'07. BIA'!$B$6:$B$285,0))),""))</f>
      </c>
      <c r="F12" s="303"/>
      <c r="G12" s="303"/>
      <c r="H12" s="306"/>
      <c r="I12" s="19"/>
      <c r="J12" s="19"/>
      <c r="K12" s="293"/>
      <c r="L12" s="19"/>
      <c r="M12" s="157"/>
    </row>
    <row r="13" spans="1:15" ht="23.15" customHeight="1" x14ac:dyDescent="0.35">
      <c r="A13" s="156">
        <v>9</v>
      </c>
      <c r="B13" s="67">
        <f t="shared" si="0"/>
      </c>
      <c r="C13" s="293"/>
      <c r="D13" s="68">
        <f>IF($C13="","",IFERROR(IF(INDEX('07. BIA'!$E$6:$E$285,MATCH($C13,'07. BIA'!$B$6:$B$285,0))="","",INDEX('07. BIA'!$E$6:$E$285,MATCH($C13,'07. BIA'!$B$6:$B$285,0))),""))</f>
      </c>
      <c r="E13" s="68">
        <f>IF($C13="","",IFERROR(IF(INDEX('07. BIA'!$F$6:$F$285,MATCH($C13,'07. BIA'!$B$6:$B$285,0))="","",INDEX('07. BIA'!$F$6:$F$285,MATCH($C13,'07. BIA'!$B$6:$B$285,0))),""))</f>
      </c>
      <c r="F13" s="303"/>
      <c r="G13" s="303"/>
      <c r="H13" s="306"/>
      <c r="I13" s="19"/>
      <c r="J13" s="19"/>
      <c r="K13" s="293"/>
      <c r="L13" s="19"/>
      <c r="M13" s="157"/>
    </row>
    <row r="14" spans="1:15" ht="21.75" customHeight="1" x14ac:dyDescent="0.35">
      <c r="A14" s="156">
        <v>10</v>
      </c>
      <c r="B14" s="67">
        <f t="shared" si="0"/>
      </c>
      <c r="C14" s="293"/>
      <c r="D14" s="68">
        <f>IF($C14="","",IFERROR(IF(INDEX('07. BIA'!$E$6:$E$285,MATCH($C14,'07. BIA'!$B$6:$B$285,0))="","",INDEX('07. BIA'!$E$6:$E$285,MATCH($C14,'07. BIA'!$B$6:$B$285,0))),""))</f>
      </c>
      <c r="E14" s="68">
        <f>IF($C14="","",IFERROR(IF(INDEX('07. BIA'!$F$6:$F$285,MATCH($C14,'07. BIA'!$B$6:$B$285,0))="","",INDEX('07. BIA'!$F$6:$F$285,MATCH($C14,'07. BIA'!$B$6:$B$285,0))),""))</f>
      </c>
      <c r="F14" s="303"/>
      <c r="G14" s="303"/>
      <c r="H14" s="306"/>
      <c r="I14" s="19"/>
      <c r="J14" s="19"/>
      <c r="K14" s="293"/>
      <c r="L14" s="19"/>
      <c r="M14" s="157"/>
    </row>
    <row r="15" spans="1:15" ht="21.75" customHeight="1" x14ac:dyDescent="0.35">
      <c r="A15" s="156">
        <v>11</v>
      </c>
      <c r="B15" s="67">
        <f t="shared" si="0"/>
      </c>
      <c r="C15" s="293"/>
      <c r="D15" s="68">
        <f>IF($C15="","",IFERROR(IF(INDEX('07. BIA'!$E$6:$E$285,MATCH($C15,'07. BIA'!$B$6:$B$285,0))="","",INDEX('07. BIA'!$E$6:$E$285,MATCH($C15,'07. BIA'!$B$6:$B$285,0))),""))</f>
      </c>
      <c r="E15" s="68">
        <f>IF($C15="","",IFERROR(IF(INDEX('07. BIA'!$F$6:$F$285,MATCH($C15,'07. BIA'!$B$6:$B$285,0))="","",INDEX('07. BIA'!$F$6:$F$285,MATCH($C15,'07. BIA'!$B$6:$B$285,0))),""))</f>
      </c>
      <c r="F15" s="303"/>
      <c r="G15" s="303"/>
      <c r="H15" s="306"/>
      <c r="I15" s="19"/>
      <c r="J15" s="19"/>
      <c r="K15" s="293"/>
      <c r="L15" s="19"/>
      <c r="M15" s="157"/>
    </row>
    <row r="16" spans="1:15" ht="15" customHeight="1" x14ac:dyDescent="0.35">
      <c r="A16" s="156">
        <v>12</v>
      </c>
      <c r="B16" s="67">
        <f t="shared" si="0"/>
      </c>
      <c r="C16" s="293"/>
      <c r="D16" s="68">
        <f>IF($C16="","",IFERROR(IF(INDEX('07. BIA'!$E$6:$E$285,MATCH($C16,'07. BIA'!$B$6:$B$285,0))="","",INDEX('07. BIA'!$E$6:$E$285,MATCH($C16,'07. BIA'!$B$6:$B$285,0))),""))</f>
      </c>
      <c r="E16" s="68">
        <f>IF($C16="","",IFERROR(IF(INDEX('07. BIA'!$F$6:$F$285,MATCH($C16,'07. BIA'!$B$6:$B$285,0))="","",INDEX('07. BIA'!$F$6:$F$285,MATCH($C16,'07. BIA'!$B$6:$B$285,0))),""))</f>
      </c>
      <c r="F16" s="303"/>
      <c r="G16" s="303"/>
      <c r="H16" s="306"/>
      <c r="I16" s="19"/>
      <c r="J16" s="19"/>
      <c r="K16" s="293"/>
      <c r="L16" s="19"/>
      <c r="M16" s="157"/>
    </row>
    <row r="17" spans="1:13" ht="21.75" customHeight="1" x14ac:dyDescent="0.35">
      <c r="A17" s="156">
        <v>13</v>
      </c>
      <c r="B17" s="67">
        <f t="shared" si="0"/>
      </c>
      <c r="C17" s="293"/>
      <c r="D17" s="68">
        <f>IF($C17="","",IFERROR(IF(INDEX('07. BIA'!$E$6:$E$285,MATCH($C17,'07. BIA'!$B$6:$B$285,0))="","",INDEX('07. BIA'!$E$6:$E$285,MATCH($C17,'07. BIA'!$B$6:$B$285,0))),""))</f>
      </c>
      <c r="E17" s="68">
        <f>IF($C17="","",IFERROR(IF(INDEX('07. BIA'!$F$6:$F$285,MATCH($C17,'07. BIA'!$B$6:$B$285,0))="","",INDEX('07. BIA'!$F$6:$F$285,MATCH($C17,'07. BIA'!$B$6:$B$285,0))),""))</f>
      </c>
      <c r="F17" s="303"/>
      <c r="G17" s="303"/>
      <c r="H17" s="306"/>
      <c r="I17" s="52"/>
      <c r="J17" s="19"/>
      <c r="K17" s="293"/>
      <c r="L17" s="19"/>
      <c r="M17" s="157"/>
    </row>
    <row r="18" spans="1:13" ht="21.75" customHeight="1" x14ac:dyDescent="0.35">
      <c r="A18" s="156">
        <v>14</v>
      </c>
      <c r="B18" s="67">
        <f t="shared" si="0"/>
      </c>
      <c r="C18" s="293"/>
      <c r="D18" s="68">
        <f>IF($C18="","",IFERROR(IF(INDEX('07. BIA'!$E$6:$E$285,MATCH($C18,'07. BIA'!$B$6:$B$285,0))="","",INDEX('07. BIA'!$E$6:$E$285,MATCH($C18,'07. BIA'!$B$6:$B$285,0))),""))</f>
      </c>
      <c r="E18" s="68">
        <f>IF($C18="","",IFERROR(IF(INDEX('07. BIA'!$F$6:$F$285,MATCH($C18,'07. BIA'!$B$6:$B$285,0))="","",INDEX('07. BIA'!$F$6:$F$285,MATCH($C18,'07. BIA'!$B$6:$B$285,0))),""))</f>
      </c>
      <c r="F18" s="303"/>
      <c r="G18" s="303"/>
      <c r="H18" s="306"/>
      <c r="I18" s="52"/>
      <c r="J18" s="19"/>
      <c r="K18" s="293"/>
      <c r="L18" s="19"/>
      <c r="M18" s="157"/>
    </row>
    <row r="19" spans="1:13" ht="21.75" customHeight="1" x14ac:dyDescent="0.35">
      <c r="A19" s="156">
        <v>15</v>
      </c>
      <c r="B19" s="67">
        <f t="shared" si="0"/>
      </c>
      <c r="C19" s="293"/>
      <c r="D19" s="68">
        <f>IF($C19="","",IFERROR(IF(INDEX('07. BIA'!$E$6:$E$285,MATCH($C19,'07. BIA'!$B$6:$B$285,0))="","",INDEX('07. BIA'!$E$6:$E$285,MATCH($C19,'07. BIA'!$B$6:$B$285,0))),""))</f>
      </c>
      <c r="E19" s="68">
        <f>IF($C19="","",IFERROR(IF(INDEX('07. BIA'!$F$6:$F$285,MATCH($C19,'07. BIA'!$B$6:$B$285,0))="","",INDEX('07. BIA'!$F$6:$F$285,MATCH($C19,'07. BIA'!$B$6:$B$285,0))),""))</f>
      </c>
      <c r="F19" s="303"/>
      <c r="G19" s="303"/>
      <c r="H19" s="306"/>
      <c r="I19" s="53"/>
      <c r="J19" s="19"/>
      <c r="K19" s="293"/>
      <c r="L19" s="19"/>
      <c r="M19" s="157"/>
    </row>
    <row r="20" spans="1:13" ht="21.75" customHeight="1" x14ac:dyDescent="0.35">
      <c r="A20" s="156">
        <v>16</v>
      </c>
      <c r="B20" s="67">
        <f t="shared" si="0"/>
      </c>
      <c r="C20" s="293"/>
      <c r="D20" s="68">
        <f>IF($C20="","",IFERROR(IF(INDEX('07. BIA'!$E$6:$E$285,MATCH($C20,'07. BIA'!$B$6:$B$285,0))="","",INDEX('07. BIA'!$E$6:$E$285,MATCH($C20,'07. BIA'!$B$6:$B$285,0))),""))</f>
      </c>
      <c r="E20" s="68">
        <f>IF($C20="","",IFERROR(IF(INDEX('07. BIA'!$F$6:$F$285,MATCH($C20,'07. BIA'!$B$6:$B$285,0))="","",INDEX('07. BIA'!$F$6:$F$285,MATCH($C20,'07. BIA'!$B$6:$B$285,0))),""))</f>
      </c>
      <c r="F20" s="303"/>
      <c r="G20" s="303"/>
      <c r="H20" s="306"/>
      <c r="I20" s="53"/>
      <c r="J20" s="19"/>
      <c r="K20" s="293"/>
      <c r="L20" s="19"/>
      <c r="M20" s="157"/>
    </row>
    <row r="21" spans="1:13" ht="21.75" customHeight="1" x14ac:dyDescent="0.35">
      <c r="A21" s="156">
        <v>17</v>
      </c>
      <c r="B21" s="67">
        <f t="shared" si="0"/>
      </c>
      <c r="C21" s="293"/>
      <c r="D21" s="68">
        <f>IF($C21="","",IFERROR(IF(INDEX('07. BIA'!$E$6:$E$285,MATCH($C21,'07. BIA'!$B$6:$B$285,0))="","",INDEX('07. BIA'!$E$6:$E$285,MATCH($C21,'07. BIA'!$B$6:$B$285,0))),""))</f>
      </c>
      <c r="E21" s="68">
        <f>IF($C21="","",IFERROR(IF(INDEX('07. BIA'!$F$6:$F$285,MATCH($C21,'07. BIA'!$B$6:$B$285,0))="","",INDEX('07. BIA'!$F$6:$F$285,MATCH($C21,'07. BIA'!$B$6:$B$285,0))),""))</f>
      </c>
      <c r="F21" s="303"/>
      <c r="G21" s="303"/>
      <c r="H21" s="306"/>
      <c r="I21" s="53"/>
      <c r="J21" s="19"/>
      <c r="K21" s="293"/>
      <c r="L21" s="19"/>
      <c r="M21" s="157"/>
    </row>
    <row r="22" spans="1:13" ht="21.75" customHeight="1" x14ac:dyDescent="0.35">
      <c r="A22" s="156">
        <v>18</v>
      </c>
      <c r="B22" s="67">
        <f t="shared" si="0"/>
      </c>
      <c r="C22" s="293"/>
      <c r="D22" s="68">
        <f>IF($C22="","",IFERROR(IF(INDEX('07. BIA'!$E$6:$E$285,MATCH($C22,'07. BIA'!$B$6:$B$285,0))="","",INDEX('07. BIA'!$E$6:$E$285,MATCH($C22,'07. BIA'!$B$6:$B$285,0))),""))</f>
      </c>
      <c r="E22" s="68">
        <f>IF($C22="","",IFERROR(IF(INDEX('07. BIA'!$F$6:$F$285,MATCH($C22,'07. BIA'!$B$6:$B$285,0))="","",INDEX('07. BIA'!$F$6:$F$285,MATCH($C22,'07. BIA'!$B$6:$B$285,0))),""))</f>
      </c>
      <c r="F22" s="303"/>
      <c r="G22" s="303"/>
      <c r="H22" s="306"/>
      <c r="I22" s="53"/>
      <c r="J22" s="19"/>
      <c r="K22" s="293"/>
      <c r="L22" s="19"/>
      <c r="M22" s="157"/>
    </row>
    <row r="23" spans="1:13" ht="21.75" customHeight="1" x14ac:dyDescent="0.35">
      <c r="A23" s="156">
        <v>19</v>
      </c>
      <c r="B23" s="67">
        <f t="shared" si="0"/>
      </c>
      <c r="C23" s="293"/>
      <c r="D23" s="68">
        <f>IF($C23="","",IFERROR(IF(INDEX('07. BIA'!$E$6:$E$285,MATCH($C23,'07. BIA'!$B$6:$B$285,0))="","",INDEX('07. BIA'!$E$6:$E$285,MATCH($C23,'07. BIA'!$B$6:$B$285,0))),""))</f>
      </c>
      <c r="E23" s="68">
        <f>IF($C23="","",IFERROR(IF(INDEX('07. BIA'!$F$6:$F$285,MATCH($C23,'07. BIA'!$B$6:$B$285,0))="","",INDEX('07. BIA'!$F$6:$F$285,MATCH($C23,'07. BIA'!$B$6:$B$285,0))),""))</f>
      </c>
      <c r="F23" s="303"/>
      <c r="G23" s="303"/>
      <c r="H23" s="306"/>
      <c r="I23" s="53"/>
      <c r="J23" s="19"/>
      <c r="K23" s="293"/>
      <c r="L23" s="19"/>
      <c r="M23" s="157"/>
    </row>
    <row r="24" spans="1:13" ht="15" customHeight="1" x14ac:dyDescent="0.35">
      <c r="A24" s="156">
        <v>20</v>
      </c>
      <c r="B24" s="67">
        <f t="shared" si="0"/>
      </c>
      <c r="C24" s="293"/>
      <c r="D24" s="68">
        <f>IF($C24="","",IFERROR(IF(INDEX('07. BIA'!$E$6:$E$285,MATCH($C24,'07. BIA'!$B$6:$B$285,0))="","",INDEX('07. BIA'!$E$6:$E$285,MATCH($C24,'07. BIA'!$B$6:$B$285,0))),""))</f>
      </c>
      <c r="E24" s="68">
        <f>IF($C24="","",IFERROR(IF(INDEX('07. BIA'!$F$6:$F$285,MATCH($C24,'07. BIA'!$B$6:$B$285,0))="","",INDEX('07. BIA'!$F$6:$F$285,MATCH($C24,'07. BIA'!$B$6:$B$285,0))),""))</f>
      </c>
      <c r="F24" s="303"/>
      <c r="G24" s="303"/>
      <c r="H24" s="306"/>
      <c r="I24" s="53"/>
      <c r="J24" s="19"/>
      <c r="K24" s="293"/>
      <c r="L24" s="19"/>
      <c r="M24" s="157"/>
    </row>
    <row r="25" spans="1:13" ht="21.75" customHeight="1" x14ac:dyDescent="0.35">
      <c r="A25" s="156">
        <v>21</v>
      </c>
      <c r="B25" s="67">
        <f t="shared" si="0"/>
      </c>
      <c r="C25" s="293"/>
      <c r="D25" s="68">
        <f>IF($C25="","",IFERROR(IF(INDEX('07. BIA'!$E$6:$E$285,MATCH($C25,'07. BIA'!$B$6:$B$285,0))="","",INDEX('07. BIA'!$E$6:$E$285,MATCH($C25,'07. BIA'!$B$6:$B$285,0))),""))</f>
      </c>
      <c r="E25" s="68">
        <f>IF($C25="","",IFERROR(IF(INDEX('07. BIA'!$F$6:$F$285,MATCH($C25,'07. BIA'!$B$6:$B$285,0))="","",INDEX('07. BIA'!$F$6:$F$285,MATCH($C25,'07. BIA'!$B$6:$B$285,0))),""))</f>
      </c>
      <c r="F25" s="303"/>
      <c r="G25" s="303"/>
      <c r="H25" s="306"/>
      <c r="I25" s="53"/>
      <c r="J25" s="19"/>
      <c r="K25" s="293"/>
      <c r="L25" s="19"/>
      <c r="M25" s="157"/>
    </row>
    <row r="26" spans="1:13" ht="21.75" customHeight="1" x14ac:dyDescent="0.35">
      <c r="A26" s="156">
        <v>22</v>
      </c>
      <c r="B26" s="67">
        <f t="shared" si="0"/>
      </c>
      <c r="C26" s="293"/>
      <c r="D26" s="68">
        <f>IF($C26="","",IFERROR(IF(INDEX('07. BIA'!$E$6:$E$285,MATCH($C26,'07. BIA'!$B$6:$B$285,0))="","",INDEX('07. BIA'!$E$6:$E$285,MATCH($C26,'07. BIA'!$B$6:$B$285,0))),""))</f>
      </c>
      <c r="E26" s="68">
        <f>IF($C26="","",IFERROR(IF(INDEX('07. BIA'!$F$6:$F$285,MATCH($C26,'07. BIA'!$B$6:$B$285,0))="","",INDEX('07. BIA'!$F$6:$F$285,MATCH($C26,'07. BIA'!$B$6:$B$285,0))),""))</f>
      </c>
      <c r="F26" s="303"/>
      <c r="G26" s="303"/>
      <c r="H26" s="306"/>
      <c r="I26" s="53"/>
      <c r="J26" s="19"/>
      <c r="K26" s="293"/>
      <c r="L26" s="19"/>
      <c r="M26" s="157"/>
    </row>
    <row r="27" spans="1:13" ht="15" customHeight="1" x14ac:dyDescent="0.35">
      <c r="A27" s="156">
        <v>23</v>
      </c>
      <c r="B27" s="67">
        <f t="shared" si="0"/>
      </c>
      <c r="C27" s="293"/>
      <c r="D27" s="68">
        <f>IF($C27="","",IFERROR(IF(INDEX('07. BIA'!$E$6:$E$285,MATCH($C27,'07. BIA'!$B$6:$B$285,0))="","",INDEX('07. BIA'!$E$6:$E$285,MATCH($C27,'07. BIA'!$B$6:$B$285,0))),""))</f>
      </c>
      <c r="E27" s="68">
        <f>IF($C27="","",IFERROR(IF(INDEX('07. BIA'!$F$6:$F$285,MATCH($C27,'07. BIA'!$B$6:$B$285,0))="","",INDEX('07. BIA'!$F$6:$F$285,MATCH($C27,'07. BIA'!$B$6:$B$285,0))),""))</f>
      </c>
      <c r="F27" s="303"/>
      <c r="G27" s="303"/>
      <c r="H27" s="306"/>
      <c r="I27" s="53"/>
      <c r="J27" s="19"/>
      <c r="K27" s="293"/>
      <c r="L27" s="19"/>
      <c r="M27" s="157"/>
    </row>
    <row r="28" spans="1:13" ht="15" customHeight="1" x14ac:dyDescent="0.35">
      <c r="A28" s="156">
        <v>24</v>
      </c>
      <c r="B28" s="67">
        <f t="shared" si="0"/>
      </c>
      <c r="C28" s="293"/>
      <c r="D28" s="68">
        <f>IF($C28="","",IFERROR(IF(INDEX('07. BIA'!$E$6:$E$285,MATCH($C28,'07. BIA'!$B$6:$B$285,0))="","",INDEX('07. BIA'!$E$6:$E$285,MATCH($C28,'07. BIA'!$B$6:$B$285,0))),""))</f>
      </c>
      <c r="E28" s="68">
        <f>IF($C28="","",IFERROR(IF(INDEX('07. BIA'!$F$6:$F$285,MATCH($C28,'07. BIA'!$B$6:$B$285,0))="","",INDEX('07. BIA'!$F$6:$F$285,MATCH($C28,'07. BIA'!$B$6:$B$285,0))),""))</f>
      </c>
      <c r="F28" s="303"/>
      <c r="G28" s="303"/>
      <c r="H28" s="306"/>
      <c r="I28" s="53"/>
      <c r="J28" s="19"/>
      <c r="K28" s="293"/>
      <c r="L28" s="19"/>
      <c r="M28" s="157"/>
    </row>
    <row r="29" spans="1:13" ht="15" customHeight="1" x14ac:dyDescent="0.35">
      <c r="A29" s="156">
        <v>25</v>
      </c>
      <c r="B29" s="67">
        <f t="shared" si="0"/>
      </c>
      <c r="C29" s="293"/>
      <c r="D29" s="68">
        <f>IF($C29="","",IFERROR(IF(INDEX('07. BIA'!$E$6:$E$285,MATCH($C29,'07. BIA'!$B$6:$B$285,0))="","",INDEX('07. BIA'!$E$6:$E$285,MATCH($C29,'07. BIA'!$B$6:$B$285,0))),""))</f>
      </c>
      <c r="E29" s="68">
        <f>IF($C29="","",IFERROR(IF(INDEX('07. BIA'!$F$6:$F$285,MATCH($C29,'07. BIA'!$B$6:$B$285,0))="","",INDEX('07. BIA'!$F$6:$F$285,MATCH($C29,'07. BIA'!$B$6:$B$285,0))),""))</f>
      </c>
      <c r="F29" s="303"/>
      <c r="G29" s="303"/>
      <c r="H29" s="306"/>
      <c r="I29" s="53"/>
      <c r="J29" s="19"/>
      <c r="K29" s="293"/>
      <c r="L29" s="19"/>
      <c r="M29" s="157"/>
    </row>
    <row r="30" spans="1:13" ht="15" customHeight="1" x14ac:dyDescent="0.35">
      <c r="A30" s="156">
        <v>26</v>
      </c>
      <c r="B30" s="67">
        <f t="shared" si="0"/>
      </c>
      <c r="C30" s="293"/>
      <c r="D30" s="68">
        <f>IF($C30="","",IFERROR(IF(INDEX('07. BIA'!$E$6:$E$285,MATCH($C30,'07. BIA'!$B$6:$B$285,0))="","",INDEX('07. BIA'!$E$6:$E$285,MATCH($C30,'07. BIA'!$B$6:$B$285,0))),""))</f>
      </c>
      <c r="E30" s="68">
        <f>IF($C30="","",IFERROR(IF(INDEX('07. BIA'!$F$6:$F$285,MATCH($C30,'07. BIA'!$B$6:$B$285,0))="","",INDEX('07. BIA'!$F$6:$F$285,MATCH($C30,'07. BIA'!$B$6:$B$285,0))),""))</f>
      </c>
      <c r="F30" s="303"/>
      <c r="G30" s="303"/>
      <c r="H30" s="306"/>
      <c r="I30" s="53"/>
      <c r="J30" s="19"/>
      <c r="K30" s="293"/>
      <c r="L30" s="19"/>
      <c r="M30" s="157"/>
    </row>
    <row r="31" spans="1:13" ht="15" customHeight="1" x14ac:dyDescent="0.35">
      <c r="A31" s="156">
        <v>27</v>
      </c>
      <c r="B31" s="67">
        <f t="shared" si="0"/>
      </c>
      <c r="C31" s="293"/>
      <c r="D31" s="68">
        <f>IF($C31="","",IFERROR(IF(INDEX('07. BIA'!$E$6:$E$285,MATCH($C31,'07. BIA'!$B$6:$B$285,0))="","",INDEX('07. BIA'!$E$6:$E$285,MATCH($C31,'07. BIA'!$B$6:$B$285,0))),""))</f>
      </c>
      <c r="E31" s="68">
        <f>IF($C31="","",IFERROR(IF(INDEX('07. BIA'!$F$6:$F$285,MATCH($C31,'07. BIA'!$B$6:$B$285,0))="","",INDEX('07. BIA'!$F$6:$F$285,MATCH($C31,'07. BIA'!$B$6:$B$285,0))),""))</f>
      </c>
      <c r="F31" s="303"/>
      <c r="G31" s="303"/>
      <c r="H31" s="306"/>
      <c r="I31" s="53"/>
      <c r="J31" s="19"/>
      <c r="K31" s="293"/>
      <c r="L31" s="19"/>
      <c r="M31" s="157"/>
    </row>
    <row r="32" spans="1:13" ht="15" customHeight="1" x14ac:dyDescent="0.35">
      <c r="A32" s="156">
        <v>28</v>
      </c>
      <c r="B32" s="67">
        <f t="shared" si="0"/>
      </c>
      <c r="C32" s="293"/>
      <c r="D32" s="68">
        <f>IF($C32="","",IFERROR(IF(INDEX('07. BIA'!$E$6:$E$285,MATCH($C32,'07. BIA'!$B$6:$B$285,0))="","",INDEX('07. BIA'!$E$6:$E$285,MATCH($C32,'07. BIA'!$B$6:$B$285,0))),""))</f>
      </c>
      <c r="E32" s="68">
        <f>IF($C32="","",IFERROR(IF(INDEX('07. BIA'!$F$6:$F$285,MATCH($C32,'07. BIA'!$B$6:$B$285,0))="","",INDEX('07. BIA'!$F$6:$F$285,MATCH($C32,'07. BIA'!$B$6:$B$285,0))),""))</f>
      </c>
      <c r="F32" s="303"/>
      <c r="G32" s="303"/>
      <c r="H32" s="306"/>
      <c r="I32" s="53"/>
      <c r="J32" s="19"/>
      <c r="K32" s="293"/>
      <c r="L32" s="19"/>
      <c r="M32" s="157"/>
    </row>
    <row r="33" spans="1:13" ht="15" customHeight="1" x14ac:dyDescent="0.35">
      <c r="A33" s="156">
        <v>29</v>
      </c>
      <c r="B33" s="67">
        <f t="shared" si="0"/>
      </c>
      <c r="C33" s="293"/>
      <c r="D33" s="68">
        <f>IF($C33="","",IFERROR(IF(INDEX('07. BIA'!$E$6:$E$285,MATCH($C33,'07. BIA'!$B$6:$B$285,0))="","",INDEX('07. BIA'!$E$6:$E$285,MATCH($C33,'07. BIA'!$B$6:$B$285,0))),""))</f>
      </c>
      <c r="E33" s="68">
        <f>IF($C33="","",IFERROR(IF(INDEX('07. BIA'!$F$6:$F$285,MATCH($C33,'07. BIA'!$B$6:$B$285,0))="","",INDEX('07. BIA'!$F$6:$F$285,MATCH($C33,'07. BIA'!$B$6:$B$285,0))),""))</f>
      </c>
      <c r="F33" s="303"/>
      <c r="G33" s="303"/>
      <c r="H33" s="306"/>
      <c r="I33" s="53"/>
      <c r="J33" s="19"/>
      <c r="K33" s="293"/>
      <c r="L33" s="19"/>
      <c r="M33" s="157"/>
    </row>
    <row r="34" spans="1:13" ht="15" customHeight="1" x14ac:dyDescent="0.35">
      <c r="A34" s="156">
        <v>30</v>
      </c>
      <c r="B34" s="67">
        <f t="shared" si="0"/>
      </c>
      <c r="C34" s="293"/>
      <c r="D34" s="68">
        <f>IF($C34="","",IFERROR(IF(INDEX('07. BIA'!$E$6:$E$285,MATCH($C34,'07. BIA'!$B$6:$B$285,0))="","",INDEX('07. BIA'!$E$6:$E$285,MATCH($C34,'07. BIA'!$B$6:$B$285,0))),""))</f>
      </c>
      <c r="E34" s="68">
        <f>IF($C34="","",IFERROR(IF(INDEX('07. BIA'!$F$6:$F$285,MATCH($C34,'07. BIA'!$B$6:$B$285,0))="","",INDEX('07. BIA'!$F$6:$F$285,MATCH($C34,'07. BIA'!$B$6:$B$285,0))),""))</f>
      </c>
      <c r="F34" s="303"/>
      <c r="G34" s="303"/>
      <c r="H34" s="306"/>
      <c r="I34" s="53"/>
      <c r="J34" s="19"/>
      <c r="K34" s="293"/>
      <c r="L34" s="19"/>
      <c r="M34" s="157"/>
    </row>
    <row r="35" spans="1:13" ht="21.75" customHeight="1" x14ac:dyDescent="0.35">
      <c r="A35" s="156">
        <v>31</v>
      </c>
      <c r="B35" s="67">
        <f t="shared" si="0"/>
      </c>
      <c r="C35" s="293"/>
      <c r="D35" s="68">
        <f>IF($C35="","",IFERROR(IF(INDEX('07. BIA'!$E$6:$E$285,MATCH($C35,'07. BIA'!$B$6:$B$285,0))="","",INDEX('07. BIA'!$E$6:$E$285,MATCH($C35,'07. BIA'!$B$6:$B$285,0))),""))</f>
      </c>
      <c r="E35" s="68">
        <f>IF($C35="","",IFERROR(IF(INDEX('07. BIA'!$F$6:$F$285,MATCH($C35,'07. BIA'!$B$6:$B$285,0))="","",INDEX('07. BIA'!$F$6:$F$285,MATCH($C35,'07. BIA'!$B$6:$B$285,0))),""))</f>
      </c>
      <c r="F35" s="303"/>
      <c r="G35" s="303"/>
      <c r="H35" s="306"/>
      <c r="I35" s="53"/>
      <c r="J35" s="19"/>
      <c r="K35" s="293"/>
      <c r="L35" s="19"/>
      <c r="M35" s="157"/>
    </row>
    <row r="36" spans="1:13" ht="21.75" customHeight="1" x14ac:dyDescent="0.35">
      <c r="A36" s="156">
        <v>32</v>
      </c>
      <c r="B36" s="67">
        <f t="shared" si="0"/>
      </c>
      <c r="C36" s="293"/>
      <c r="D36" s="68">
        <f>IF($C36="","",IFERROR(IF(INDEX('07. BIA'!$E$6:$E$285,MATCH($C36,'07. BIA'!$B$6:$B$285,0))="","",INDEX('07. BIA'!$E$6:$E$285,MATCH($C36,'07. BIA'!$B$6:$B$285,0))),""))</f>
      </c>
      <c r="E36" s="68">
        <f>IF($C36="","",IFERROR(IF(INDEX('07. BIA'!$F$6:$F$285,MATCH($C36,'07. BIA'!$B$6:$B$285,0))="","",INDEX('07. BIA'!$F$6:$F$285,MATCH($C36,'07. BIA'!$B$6:$B$285,0))),""))</f>
      </c>
      <c r="F36" s="303"/>
      <c r="G36" s="303"/>
      <c r="H36" s="306"/>
      <c r="I36" s="53"/>
      <c r="J36" s="19"/>
      <c r="K36" s="293"/>
      <c r="L36" s="19"/>
      <c r="M36" s="157"/>
    </row>
    <row r="37" spans="1:13" ht="15" customHeight="1" x14ac:dyDescent="0.35">
      <c r="A37" s="156">
        <v>33</v>
      </c>
      <c r="B37" s="67">
        <f t="shared" ref="B37:B68" si="1">IF($I37="","","DEP-"&amp;TEXT($A37,"000"))</f>
      </c>
      <c r="C37" s="293"/>
      <c r="D37" s="68">
        <f>IF($C37="","",IFERROR(IF(INDEX('07. BIA'!$E$6:$E$285,MATCH($C37,'07. BIA'!$B$6:$B$285,0))="","",INDEX('07. BIA'!$E$6:$E$285,MATCH($C37,'07. BIA'!$B$6:$B$285,0))),""))</f>
      </c>
      <c r="E37" s="68">
        <f>IF($C37="","",IFERROR(IF(INDEX('07. BIA'!$F$6:$F$285,MATCH($C37,'07. BIA'!$B$6:$B$285,0))="","",INDEX('07. BIA'!$F$6:$F$285,MATCH($C37,'07. BIA'!$B$6:$B$285,0))),""))</f>
      </c>
      <c r="F37" s="303"/>
      <c r="G37" s="303"/>
      <c r="H37" s="306"/>
      <c r="I37" s="53"/>
      <c r="J37" s="19"/>
      <c r="K37" s="293"/>
      <c r="L37" s="19"/>
      <c r="M37" s="157"/>
    </row>
    <row r="38" spans="1:13" ht="15" customHeight="1" x14ac:dyDescent="0.35">
      <c r="A38" s="156">
        <v>34</v>
      </c>
      <c r="B38" s="67">
        <f t="shared" si="1"/>
      </c>
      <c r="C38" s="293"/>
      <c r="D38" s="68">
        <f>IF($C38="","",IFERROR(IF(INDEX('07. BIA'!$E$6:$E$285,MATCH($C38,'07. BIA'!$B$6:$B$285,0))="","",INDEX('07. BIA'!$E$6:$E$285,MATCH($C38,'07. BIA'!$B$6:$B$285,0))),""))</f>
      </c>
      <c r="E38" s="68">
        <f>IF($C38="","",IFERROR(IF(INDEX('07. BIA'!$F$6:$F$285,MATCH($C38,'07. BIA'!$B$6:$B$285,0))="","",INDEX('07. BIA'!$F$6:$F$285,MATCH($C38,'07. BIA'!$B$6:$B$285,0))),""))</f>
      </c>
      <c r="F38" s="303"/>
      <c r="G38" s="303"/>
      <c r="H38" s="306"/>
      <c r="I38" s="53"/>
      <c r="J38" s="19"/>
      <c r="K38" s="293"/>
      <c r="L38" s="19"/>
      <c r="M38" s="157"/>
    </row>
    <row r="39" spans="1:13" ht="15" customHeight="1" x14ac:dyDescent="0.35">
      <c r="A39" s="156">
        <v>35</v>
      </c>
      <c r="B39" s="67">
        <f t="shared" si="1"/>
      </c>
      <c r="C39" s="293"/>
      <c r="D39" s="68">
        <f>IF($C39="","",IFERROR(IF(INDEX('07. BIA'!$E$6:$E$285,MATCH($C39,'07. BIA'!$B$6:$B$285,0))="","",INDEX('07. BIA'!$E$6:$E$285,MATCH($C39,'07. BIA'!$B$6:$B$285,0))),""))</f>
      </c>
      <c r="E39" s="68">
        <f>IF($C39="","",IFERROR(IF(INDEX('07. BIA'!$F$6:$F$285,MATCH($C39,'07. BIA'!$B$6:$B$285,0))="","",INDEX('07. BIA'!$F$6:$F$285,MATCH($C39,'07. BIA'!$B$6:$B$285,0))),""))</f>
      </c>
      <c r="F39" s="303"/>
      <c r="G39" s="303"/>
      <c r="H39" s="306"/>
      <c r="I39" s="53"/>
      <c r="J39" s="19"/>
      <c r="K39" s="293"/>
      <c r="L39" s="19"/>
      <c r="M39" s="157"/>
    </row>
    <row r="40" spans="1:13" ht="15" customHeight="1" x14ac:dyDescent="0.35">
      <c r="A40" s="156">
        <v>36</v>
      </c>
      <c r="B40" s="67">
        <f t="shared" si="1"/>
      </c>
      <c r="C40" s="293"/>
      <c r="D40" s="68">
        <f>IF($C40="","",IFERROR(IF(INDEX('07. BIA'!$E$6:$E$285,MATCH($C40,'07. BIA'!$B$6:$B$285,0))="","",INDEX('07. BIA'!$E$6:$E$285,MATCH($C40,'07. BIA'!$B$6:$B$285,0))),""))</f>
      </c>
      <c r="E40" s="68">
        <f>IF($C40="","",IFERROR(IF(INDEX('07. BIA'!$F$6:$F$285,MATCH($C40,'07. BIA'!$B$6:$B$285,0))="","",INDEX('07. BIA'!$F$6:$F$285,MATCH($C40,'07. BIA'!$B$6:$B$285,0))),""))</f>
      </c>
      <c r="F40" s="303"/>
      <c r="G40" s="303"/>
      <c r="H40" s="306"/>
      <c r="I40" s="53"/>
      <c r="J40" s="19"/>
      <c r="K40" s="293"/>
      <c r="L40" s="19"/>
      <c r="M40" s="157"/>
    </row>
    <row r="41" spans="1:13" ht="21.75" customHeight="1" x14ac:dyDescent="0.35">
      <c r="A41" s="156">
        <v>37</v>
      </c>
      <c r="B41" s="67">
        <f t="shared" si="1"/>
      </c>
      <c r="C41" s="293"/>
      <c r="D41" s="68">
        <f>IF($C41="","",IFERROR(IF(INDEX('07. BIA'!$E$6:$E$285,MATCH($C41,'07. BIA'!$B$6:$B$285,0))="","",INDEX('07. BIA'!$E$6:$E$285,MATCH($C41,'07. BIA'!$B$6:$B$285,0))),""))</f>
      </c>
      <c r="E41" s="68">
        <f>IF($C41="","",IFERROR(IF(INDEX('07. BIA'!$F$6:$F$285,MATCH($C41,'07. BIA'!$B$6:$B$285,0))="","",INDEX('07. BIA'!$F$6:$F$285,MATCH($C41,'07. BIA'!$B$6:$B$285,0))),""))</f>
      </c>
      <c r="F41" s="303"/>
      <c r="G41" s="303"/>
      <c r="H41" s="306"/>
      <c r="I41" s="53"/>
      <c r="J41" s="19"/>
      <c r="K41" s="293"/>
      <c r="L41" s="19"/>
      <c r="M41" s="157"/>
    </row>
    <row r="42" spans="1:13" ht="21.75" customHeight="1" x14ac:dyDescent="0.35">
      <c r="A42" s="156">
        <v>38</v>
      </c>
      <c r="B42" s="67">
        <f t="shared" si="1"/>
      </c>
      <c r="C42" s="293"/>
      <c r="D42" s="68">
        <f>IF($C42="","",IFERROR(IF(INDEX('07. BIA'!$E$6:$E$285,MATCH($C42,'07. BIA'!$B$6:$B$285,0))="","",INDEX('07. BIA'!$E$6:$E$285,MATCH($C42,'07. BIA'!$B$6:$B$285,0))),""))</f>
      </c>
      <c r="E42" s="68">
        <f>IF($C42="","",IFERROR(IF(INDEX('07. BIA'!$F$6:$F$285,MATCH($C42,'07. BIA'!$B$6:$B$285,0))="","",INDEX('07. BIA'!$F$6:$F$285,MATCH($C42,'07. BIA'!$B$6:$B$285,0))),""))</f>
      </c>
      <c r="F42" s="303"/>
      <c r="G42" s="303"/>
      <c r="H42" s="306"/>
      <c r="I42" s="53"/>
      <c r="J42" s="19"/>
      <c r="K42" s="293"/>
      <c r="L42" s="19"/>
      <c r="M42" s="157"/>
    </row>
    <row r="43" spans="1:13" ht="15" customHeight="1" x14ac:dyDescent="0.35">
      <c r="A43" s="156">
        <v>39</v>
      </c>
      <c r="B43" s="67">
        <f t="shared" si="1"/>
      </c>
      <c r="C43" s="293"/>
      <c r="D43" s="68">
        <f>IF($C43="","",IFERROR(IF(INDEX('07. BIA'!$E$6:$E$285,MATCH($C43,'07. BIA'!$B$6:$B$285,0))="","",INDEX('07. BIA'!$E$6:$E$285,MATCH($C43,'07. BIA'!$B$6:$B$285,0))),""))</f>
      </c>
      <c r="E43" s="68">
        <f>IF($C43="","",IFERROR(IF(INDEX('07. BIA'!$F$6:$F$285,MATCH($C43,'07. BIA'!$B$6:$B$285,0))="","",INDEX('07. BIA'!$F$6:$F$285,MATCH($C43,'07. BIA'!$B$6:$B$285,0))),""))</f>
      </c>
      <c r="F43" s="303"/>
      <c r="G43" s="303"/>
      <c r="H43" s="306"/>
      <c r="I43" s="52"/>
      <c r="J43" s="19"/>
      <c r="K43" s="293"/>
      <c r="L43" s="19"/>
      <c r="M43" s="157"/>
    </row>
    <row r="44" spans="1:13" ht="21.75" customHeight="1" x14ac:dyDescent="0.35">
      <c r="A44" s="156">
        <v>40</v>
      </c>
      <c r="B44" s="67">
        <f t="shared" si="1"/>
      </c>
      <c r="C44" s="293"/>
      <c r="D44" s="68">
        <f>IF($C44="","",IFERROR(IF(INDEX('07. BIA'!$E$6:$E$285,MATCH($C44,'07. BIA'!$B$6:$B$285,0))="","",INDEX('07. BIA'!$E$6:$E$285,MATCH($C44,'07. BIA'!$B$6:$B$285,0))),""))</f>
      </c>
      <c r="E44" s="68">
        <f>IF($C44="","",IFERROR(IF(INDEX('07. BIA'!$F$6:$F$285,MATCH($C44,'07. BIA'!$B$6:$B$285,0))="","",INDEX('07. BIA'!$F$6:$F$285,MATCH($C44,'07. BIA'!$B$6:$B$285,0))),""))</f>
      </c>
      <c r="F44" s="303"/>
      <c r="G44" s="303"/>
      <c r="H44" s="306"/>
      <c r="I44" s="52"/>
      <c r="J44" s="19"/>
      <c r="K44" s="293"/>
      <c r="L44" s="19"/>
      <c r="M44" s="157"/>
    </row>
    <row r="45" spans="1:13" ht="15" customHeight="1" x14ac:dyDescent="0.35">
      <c r="A45" s="156">
        <v>41</v>
      </c>
      <c r="B45" s="67">
        <f t="shared" si="1"/>
      </c>
      <c r="C45" s="301"/>
      <c r="D45" s="68">
        <f>IF($C45="","",IFERROR(IF(INDEX('07. BIA'!$E$6:$E$285,MATCH($C45,'07. BIA'!$B$6:$B$285,0))="","",INDEX('07. BIA'!$E$6:$E$285,MATCH($C45,'07. BIA'!$B$6:$B$285,0))),""))</f>
      </c>
      <c r="E45" s="68">
        <f>IF($C45="","",IFERROR(IF(INDEX('07. BIA'!$F$6:$F$285,MATCH($C45,'07. BIA'!$B$6:$B$285,0))="","",INDEX('07. BIA'!$F$6:$F$285,MATCH($C45,'07. BIA'!$B$6:$B$285,0))),""))</f>
      </c>
      <c r="F45" s="304"/>
      <c r="G45" s="303"/>
      <c r="H45" s="306"/>
      <c r="I45" s="52"/>
      <c r="J45" s="19"/>
      <c r="K45" s="301"/>
      <c r="L45" s="19"/>
      <c r="M45" s="157"/>
    </row>
    <row r="46" spans="1:13" ht="15" customHeight="1" x14ac:dyDescent="0.35">
      <c r="A46" s="156">
        <v>42</v>
      </c>
      <c r="B46" s="67">
        <f t="shared" si="1"/>
      </c>
      <c r="C46" s="301"/>
      <c r="D46" s="68">
        <f>IF($C46="","",IFERROR(IF(INDEX('07. BIA'!$E$6:$E$285,MATCH($C46,'07. BIA'!$B$6:$B$285,0))="","",INDEX('07. BIA'!$E$6:$E$285,MATCH($C46,'07. BIA'!$B$6:$B$285,0))),""))</f>
      </c>
      <c r="E46" s="68">
        <f>IF($C46="","",IFERROR(IF(INDEX('07. BIA'!$F$6:$F$285,MATCH($C46,'07. BIA'!$B$6:$B$285,0))="","",INDEX('07. BIA'!$F$6:$F$285,MATCH($C46,'07. BIA'!$B$6:$B$285,0))),""))</f>
      </c>
      <c r="F46" s="304"/>
      <c r="G46" s="303"/>
      <c r="H46" s="306"/>
      <c r="I46" s="52"/>
      <c r="J46" s="19"/>
      <c r="K46" s="301"/>
      <c r="L46" s="19"/>
      <c r="M46" s="157"/>
    </row>
    <row r="47" spans="1:13" ht="15" customHeight="1" x14ac:dyDescent="0.35">
      <c r="A47" s="156">
        <v>43</v>
      </c>
      <c r="B47" s="67">
        <f t="shared" si="1"/>
      </c>
      <c r="C47" s="301"/>
      <c r="D47" s="68">
        <f>IF($C47="","",IFERROR(IF(INDEX('07. BIA'!$E$6:$E$285,MATCH($C47,'07. BIA'!$B$6:$B$285,0))="","",INDEX('07. BIA'!$E$6:$E$285,MATCH($C47,'07. BIA'!$B$6:$B$285,0))),""))</f>
      </c>
      <c r="E47" s="68">
        <f>IF($C47="","",IFERROR(IF(INDEX('07. BIA'!$F$6:$F$285,MATCH($C47,'07. BIA'!$B$6:$B$285,0))="","",INDEX('07. BIA'!$F$6:$F$285,MATCH($C47,'07. BIA'!$B$6:$B$285,0))),""))</f>
      </c>
      <c r="F47" s="304"/>
      <c r="G47" s="303"/>
      <c r="H47" s="306"/>
      <c r="I47" s="52"/>
      <c r="J47" s="19"/>
      <c r="K47" s="301"/>
      <c r="L47" s="19"/>
      <c r="M47" s="157"/>
    </row>
    <row r="48" spans="1:13" ht="15" customHeight="1" x14ac:dyDescent="0.35">
      <c r="A48" s="156">
        <v>44</v>
      </c>
      <c r="B48" s="67">
        <f t="shared" si="1"/>
      </c>
      <c r="C48" s="301"/>
      <c r="D48" s="68">
        <f>IF($C48="","",IFERROR(IF(INDEX('07. BIA'!$E$6:$E$285,MATCH($C48,'07. BIA'!$B$6:$B$285,0))="","",INDEX('07. BIA'!$E$6:$E$285,MATCH($C48,'07. BIA'!$B$6:$B$285,0))),""))</f>
      </c>
      <c r="E48" s="68">
        <f>IF($C48="","",IFERROR(IF(INDEX('07. BIA'!$F$6:$F$285,MATCH($C48,'07. BIA'!$B$6:$B$285,0))="","",INDEX('07. BIA'!$F$6:$F$285,MATCH($C48,'07. BIA'!$B$6:$B$285,0))),""))</f>
      </c>
      <c r="F48" s="304"/>
      <c r="G48" s="303"/>
      <c r="H48" s="306"/>
      <c r="I48" s="52"/>
      <c r="J48" s="19"/>
      <c r="K48" s="301"/>
      <c r="L48" s="19"/>
      <c r="M48" s="157"/>
    </row>
    <row r="49" spans="1:13" ht="15" customHeight="1" x14ac:dyDescent="0.35">
      <c r="A49" s="156">
        <v>45</v>
      </c>
      <c r="B49" s="67">
        <f t="shared" si="1"/>
      </c>
      <c r="C49" s="301"/>
      <c r="D49" s="68">
        <f>IF($C49="","",IFERROR(IF(INDEX('07. BIA'!$E$6:$E$285,MATCH($C49,'07. BIA'!$B$6:$B$285,0))="","",INDEX('07. BIA'!$E$6:$E$285,MATCH($C49,'07. BIA'!$B$6:$B$285,0))),""))</f>
      </c>
      <c r="E49" s="68">
        <f>IF($C49="","",IFERROR(IF(INDEX('07. BIA'!$F$6:$F$285,MATCH($C49,'07. BIA'!$B$6:$B$285,0))="","",INDEX('07. BIA'!$F$6:$F$285,MATCH($C49,'07. BIA'!$B$6:$B$285,0))),""))</f>
      </c>
      <c r="F49" s="304"/>
      <c r="G49" s="303"/>
      <c r="H49" s="306"/>
      <c r="I49" s="52"/>
      <c r="J49" s="19"/>
      <c r="K49" s="301"/>
      <c r="L49" s="19"/>
      <c r="M49" s="157"/>
    </row>
    <row r="50" spans="1:13" ht="15" customHeight="1" x14ac:dyDescent="0.35">
      <c r="A50" s="156">
        <v>46</v>
      </c>
      <c r="B50" s="67">
        <f t="shared" si="1"/>
      </c>
      <c r="C50" s="301"/>
      <c r="D50" s="68">
        <f>IF($C50="","",IFERROR(IF(INDEX('07. BIA'!$E$6:$E$285,MATCH($C50,'07. BIA'!$B$6:$B$285,0))="","",INDEX('07. BIA'!$E$6:$E$285,MATCH($C50,'07. BIA'!$B$6:$B$285,0))),""))</f>
      </c>
      <c r="E50" s="68">
        <f>IF($C50="","",IFERROR(IF(INDEX('07. BIA'!$F$6:$F$285,MATCH($C50,'07. BIA'!$B$6:$B$285,0))="","",INDEX('07. BIA'!$F$6:$F$285,MATCH($C50,'07. BIA'!$B$6:$B$285,0))),""))</f>
      </c>
      <c r="F50" s="304"/>
      <c r="G50" s="303"/>
      <c r="H50" s="306"/>
      <c r="I50" s="52"/>
      <c r="J50" s="19"/>
      <c r="K50" s="301"/>
      <c r="L50" s="19"/>
      <c r="M50" s="157"/>
    </row>
    <row r="51" spans="1:13" ht="15" customHeight="1" x14ac:dyDescent="0.35">
      <c r="A51" s="156">
        <v>47</v>
      </c>
      <c r="B51" s="67">
        <f t="shared" si="1"/>
      </c>
      <c r="C51" s="301"/>
      <c r="D51" s="68">
        <f>IF($C51="","",IFERROR(IF(INDEX('07. BIA'!$E$6:$E$285,MATCH($C51,'07. BIA'!$B$6:$B$285,0))="","",INDEX('07. BIA'!$E$6:$E$285,MATCH($C51,'07. BIA'!$B$6:$B$285,0))),""))</f>
      </c>
      <c r="E51" s="68">
        <f>IF($C51="","",IFERROR(IF(INDEX('07. BIA'!$F$6:$F$285,MATCH($C51,'07. BIA'!$B$6:$B$285,0))="","",INDEX('07. BIA'!$F$6:$F$285,MATCH($C51,'07. BIA'!$B$6:$B$285,0))),""))</f>
      </c>
      <c r="F51" s="304"/>
      <c r="G51" s="303"/>
      <c r="H51" s="306"/>
      <c r="I51" s="52"/>
      <c r="J51" s="19"/>
      <c r="K51" s="301"/>
      <c r="L51" s="19"/>
      <c r="M51" s="157"/>
    </row>
    <row r="52" spans="1:13" ht="15" customHeight="1" x14ac:dyDescent="0.35">
      <c r="A52" s="156">
        <v>48</v>
      </c>
      <c r="B52" s="67">
        <f t="shared" si="1"/>
      </c>
      <c r="C52" s="301"/>
      <c r="D52" s="68">
        <f>IF($C52="","",IFERROR(IF(INDEX('07. BIA'!$E$6:$E$285,MATCH($C52,'07. BIA'!$B$6:$B$285,0))="","",INDEX('07. BIA'!$E$6:$E$285,MATCH($C52,'07. BIA'!$B$6:$B$285,0))),""))</f>
      </c>
      <c r="E52" s="68">
        <f>IF($C52="","",IFERROR(IF(INDEX('07. BIA'!$F$6:$F$285,MATCH($C52,'07. BIA'!$B$6:$B$285,0))="","",INDEX('07. BIA'!$F$6:$F$285,MATCH($C52,'07. BIA'!$B$6:$B$285,0))),""))</f>
      </c>
      <c r="F52" s="304"/>
      <c r="G52" s="303"/>
      <c r="H52" s="306"/>
      <c r="I52" s="52"/>
      <c r="J52" s="19"/>
      <c r="K52" s="301"/>
      <c r="L52" s="19"/>
      <c r="M52" s="157"/>
    </row>
    <row r="53" spans="1:13" ht="15" customHeight="1" x14ac:dyDescent="0.35">
      <c r="A53" s="156">
        <v>49</v>
      </c>
      <c r="B53" s="67">
        <f t="shared" si="1"/>
      </c>
      <c r="C53" s="301"/>
      <c r="D53" s="68">
        <f>IF($C53="","",IFERROR(IF(INDEX('07. BIA'!$E$6:$E$285,MATCH($C53,'07. BIA'!$B$6:$B$285,0))="","",INDEX('07. BIA'!$E$6:$E$285,MATCH($C53,'07. BIA'!$B$6:$B$285,0))),""))</f>
      </c>
      <c r="E53" s="68">
        <f>IF($C53="","",IFERROR(IF(INDEX('07. BIA'!$F$6:$F$285,MATCH($C53,'07. BIA'!$B$6:$B$285,0))="","",INDEX('07. BIA'!$F$6:$F$285,MATCH($C53,'07. BIA'!$B$6:$B$285,0))),""))</f>
      </c>
      <c r="F53" s="304"/>
      <c r="G53" s="303"/>
      <c r="H53" s="306"/>
      <c r="I53" s="52"/>
      <c r="J53" s="19"/>
      <c r="K53" s="301"/>
      <c r="L53" s="19"/>
      <c r="M53" s="157"/>
    </row>
    <row r="54" spans="1:13" ht="15" customHeight="1" x14ac:dyDescent="0.35">
      <c r="A54" s="156">
        <v>50</v>
      </c>
      <c r="B54" s="67">
        <f t="shared" si="1"/>
      </c>
      <c r="C54" s="301"/>
      <c r="D54" s="68">
        <f>IF($C54="","",IFERROR(IF(INDEX('07. BIA'!$E$6:$E$285,MATCH($C54,'07. BIA'!$B$6:$B$285,0))="","",INDEX('07. BIA'!$E$6:$E$285,MATCH($C54,'07. BIA'!$B$6:$B$285,0))),""))</f>
      </c>
      <c r="E54" s="68">
        <f>IF($C54="","",IFERROR(IF(INDEX('07. BIA'!$F$6:$F$285,MATCH($C54,'07. BIA'!$B$6:$B$285,0))="","",INDEX('07. BIA'!$F$6:$F$285,MATCH($C54,'07. BIA'!$B$6:$B$285,0))),""))</f>
      </c>
      <c r="F54" s="304"/>
      <c r="G54" s="303"/>
      <c r="H54" s="306"/>
      <c r="I54" s="52"/>
      <c r="J54" s="19"/>
      <c r="K54" s="301"/>
      <c r="L54" s="19"/>
      <c r="M54" s="157"/>
    </row>
    <row r="55" spans="1:13" ht="15" customHeight="1" x14ac:dyDescent="0.35">
      <c r="A55" s="156">
        <v>51</v>
      </c>
      <c r="B55" s="67">
        <f t="shared" si="1"/>
      </c>
      <c r="C55" s="301"/>
      <c r="D55" s="68">
        <f>IF($C55="","",IFERROR(IF(INDEX('07. BIA'!$E$6:$E$285,MATCH($C55,'07. BIA'!$B$6:$B$285,0))="","",INDEX('07. BIA'!$E$6:$E$285,MATCH($C55,'07. BIA'!$B$6:$B$285,0))),""))</f>
      </c>
      <c r="E55" s="68">
        <f>IF($C55="","",IFERROR(IF(INDEX('07. BIA'!$F$6:$F$285,MATCH($C55,'07. BIA'!$B$6:$B$285,0))="","",INDEX('07. BIA'!$F$6:$F$285,MATCH($C55,'07. BIA'!$B$6:$B$285,0))),""))</f>
      </c>
      <c r="F55" s="304"/>
      <c r="G55" s="303"/>
      <c r="H55" s="306"/>
      <c r="I55" s="52"/>
      <c r="J55" s="19"/>
      <c r="K55" s="301"/>
      <c r="L55" s="19"/>
      <c r="M55" s="157"/>
    </row>
    <row r="56" spans="1:13" ht="15" customHeight="1" x14ac:dyDescent="0.35">
      <c r="A56" s="156">
        <v>52</v>
      </c>
      <c r="B56" s="67">
        <f t="shared" si="1"/>
      </c>
      <c r="C56" s="301"/>
      <c r="D56" s="68">
        <f>IF($C56="","",IFERROR(IF(INDEX('07. BIA'!$E$6:$E$285,MATCH($C56,'07. BIA'!$B$6:$B$285,0))="","",INDEX('07. BIA'!$E$6:$E$285,MATCH($C56,'07. BIA'!$B$6:$B$285,0))),""))</f>
      </c>
      <c r="E56" s="68">
        <f>IF($C56="","",IFERROR(IF(INDEX('07. BIA'!$F$6:$F$285,MATCH($C56,'07. BIA'!$B$6:$B$285,0))="","",INDEX('07. BIA'!$F$6:$F$285,MATCH($C56,'07. BIA'!$B$6:$B$285,0))),""))</f>
      </c>
      <c r="F56" s="304"/>
      <c r="G56" s="303"/>
      <c r="H56" s="306"/>
      <c r="I56" s="52"/>
      <c r="J56" s="19"/>
      <c r="K56" s="301"/>
      <c r="L56" s="19"/>
      <c r="M56" s="157"/>
    </row>
    <row r="57" spans="1:13" ht="15" customHeight="1" x14ac:dyDescent="0.35">
      <c r="A57" s="156">
        <v>53</v>
      </c>
      <c r="B57" s="67">
        <f t="shared" si="1"/>
      </c>
      <c r="C57" s="301"/>
      <c r="D57" s="68">
        <f>IF($C57="","",IFERROR(IF(INDEX('07. BIA'!$E$6:$E$285,MATCH($C57,'07. BIA'!$B$6:$B$285,0))="","",INDEX('07. BIA'!$E$6:$E$285,MATCH($C57,'07. BIA'!$B$6:$B$285,0))),""))</f>
      </c>
      <c r="E57" s="68">
        <f>IF($C57="","",IFERROR(IF(INDEX('07. BIA'!$F$6:$F$285,MATCH($C57,'07. BIA'!$B$6:$B$285,0))="","",INDEX('07. BIA'!$F$6:$F$285,MATCH($C57,'07. BIA'!$B$6:$B$285,0))),""))</f>
      </c>
      <c r="F57" s="304"/>
      <c r="G57" s="303"/>
      <c r="H57" s="306"/>
      <c r="I57" s="52"/>
      <c r="J57" s="19"/>
      <c r="K57" s="301"/>
      <c r="L57" s="19"/>
      <c r="M57" s="157"/>
    </row>
    <row r="58" spans="1:13" ht="15" customHeight="1" x14ac:dyDescent="0.35">
      <c r="A58" s="156">
        <v>54</v>
      </c>
      <c r="B58" s="67">
        <f t="shared" si="1"/>
      </c>
      <c r="C58" s="301"/>
      <c r="D58" s="68">
        <f>IF($C58="","",IFERROR(IF(INDEX('07. BIA'!$E$6:$E$285,MATCH($C58,'07. BIA'!$B$6:$B$285,0))="","",INDEX('07. BIA'!$E$6:$E$285,MATCH($C58,'07. BIA'!$B$6:$B$285,0))),""))</f>
      </c>
      <c r="E58" s="68">
        <f>IF($C58="","",IFERROR(IF(INDEX('07. BIA'!$F$6:$F$285,MATCH($C58,'07. BIA'!$B$6:$B$285,0))="","",INDEX('07. BIA'!$F$6:$F$285,MATCH($C58,'07. BIA'!$B$6:$B$285,0))),""))</f>
      </c>
      <c r="F58" s="304"/>
      <c r="G58" s="303"/>
      <c r="H58" s="306"/>
      <c r="I58" s="52"/>
      <c r="J58" s="19"/>
      <c r="K58" s="301"/>
      <c r="L58" s="19"/>
      <c r="M58" s="157"/>
    </row>
    <row r="59" spans="1:13" ht="15" customHeight="1" x14ac:dyDescent="0.35">
      <c r="A59" s="156">
        <v>55</v>
      </c>
      <c r="B59" s="67">
        <f t="shared" si="1"/>
      </c>
      <c r="C59" s="301"/>
      <c r="D59" s="68">
        <f>IF($C59="","",IFERROR(IF(INDEX('07. BIA'!$E$6:$E$285,MATCH($C59,'07. BIA'!$B$6:$B$285,0))="","",INDEX('07. BIA'!$E$6:$E$285,MATCH($C59,'07. BIA'!$B$6:$B$285,0))),""))</f>
      </c>
      <c r="E59" s="68">
        <f>IF($C59="","",IFERROR(IF(INDEX('07. BIA'!$F$6:$F$285,MATCH($C59,'07. BIA'!$B$6:$B$285,0))="","",INDEX('07. BIA'!$F$6:$F$285,MATCH($C59,'07. BIA'!$B$6:$B$285,0))),""))</f>
      </c>
      <c r="F59" s="304"/>
      <c r="G59" s="303"/>
      <c r="H59" s="306"/>
      <c r="I59" s="52"/>
      <c r="J59" s="19"/>
      <c r="K59" s="301"/>
      <c r="L59" s="19"/>
      <c r="M59" s="157"/>
    </row>
    <row r="60" spans="1:13" ht="15" customHeight="1" x14ac:dyDescent="0.35">
      <c r="A60" s="156">
        <v>56</v>
      </c>
      <c r="B60" s="67">
        <f t="shared" si="1"/>
      </c>
      <c r="C60" s="301"/>
      <c r="D60" s="68">
        <f>IF($C60="","",IFERROR(IF(INDEX('07. BIA'!$E$6:$E$285,MATCH($C60,'07. BIA'!$B$6:$B$285,0))="","",INDEX('07. BIA'!$E$6:$E$285,MATCH($C60,'07. BIA'!$B$6:$B$285,0))),""))</f>
      </c>
      <c r="E60" s="68">
        <f>IF($C60="","",IFERROR(IF(INDEX('07. BIA'!$F$6:$F$285,MATCH($C60,'07. BIA'!$B$6:$B$285,0))="","",INDEX('07. BIA'!$F$6:$F$285,MATCH($C60,'07. BIA'!$B$6:$B$285,0))),""))</f>
      </c>
      <c r="F60" s="304"/>
      <c r="G60" s="303"/>
      <c r="H60" s="306"/>
      <c r="I60" s="52"/>
      <c r="J60" s="19"/>
      <c r="K60" s="301"/>
      <c r="L60" s="19"/>
      <c r="M60" s="157"/>
    </row>
    <row r="61" spans="1:13" ht="15" customHeight="1" x14ac:dyDescent="0.35">
      <c r="A61" s="156">
        <v>57</v>
      </c>
      <c r="B61" s="67">
        <f t="shared" si="1"/>
      </c>
      <c r="C61" s="301"/>
      <c r="D61" s="68">
        <f>IF($C61="","",IFERROR(IF(INDEX('07. BIA'!$E$6:$E$285,MATCH($C61,'07. BIA'!$B$6:$B$285,0))="","",INDEX('07. BIA'!$E$6:$E$285,MATCH($C61,'07. BIA'!$B$6:$B$285,0))),""))</f>
      </c>
      <c r="E61" s="68">
        <f>IF($C61="","",IFERROR(IF(INDEX('07. BIA'!$F$6:$F$285,MATCH($C61,'07. BIA'!$B$6:$B$285,0))="","",INDEX('07. BIA'!$F$6:$F$285,MATCH($C61,'07. BIA'!$B$6:$B$285,0))),""))</f>
      </c>
      <c r="F61" s="304"/>
      <c r="G61" s="303"/>
      <c r="H61" s="306"/>
      <c r="I61" s="52"/>
      <c r="J61" s="19"/>
      <c r="K61" s="301"/>
      <c r="L61" s="19"/>
      <c r="M61" s="157"/>
    </row>
    <row r="62" spans="1:13" ht="15" customHeight="1" x14ac:dyDescent="0.35">
      <c r="A62" s="156">
        <v>58</v>
      </c>
      <c r="B62" s="67">
        <f t="shared" si="1"/>
      </c>
      <c r="C62" s="301"/>
      <c r="D62" s="68">
        <f>IF($C62="","",IFERROR(IF(INDEX('07. BIA'!$E$6:$E$285,MATCH($C62,'07. BIA'!$B$6:$B$285,0))="","",INDEX('07. BIA'!$E$6:$E$285,MATCH($C62,'07. BIA'!$B$6:$B$285,0))),""))</f>
      </c>
      <c r="E62" s="68">
        <f>IF($C62="","",IFERROR(IF(INDEX('07. BIA'!$F$6:$F$285,MATCH($C62,'07. BIA'!$B$6:$B$285,0))="","",INDEX('07. BIA'!$F$6:$F$285,MATCH($C62,'07. BIA'!$B$6:$B$285,0))),""))</f>
      </c>
      <c r="F62" s="304"/>
      <c r="G62" s="303"/>
      <c r="H62" s="306"/>
      <c r="I62" s="52"/>
      <c r="J62" s="19"/>
      <c r="K62" s="301"/>
      <c r="L62" s="19"/>
      <c r="M62" s="157"/>
    </row>
    <row r="63" spans="1:13" ht="15" customHeight="1" x14ac:dyDescent="0.35">
      <c r="A63" s="156">
        <v>59</v>
      </c>
      <c r="B63" s="67">
        <f t="shared" si="1"/>
      </c>
      <c r="C63" s="301"/>
      <c r="D63" s="68">
        <f>IF($C63="","",IFERROR(IF(INDEX('07. BIA'!$E$6:$E$285,MATCH($C63,'07. BIA'!$B$6:$B$285,0))="","",INDEX('07. BIA'!$E$6:$E$285,MATCH($C63,'07. BIA'!$B$6:$B$285,0))),""))</f>
      </c>
      <c r="E63" s="68">
        <f>IF($C63="","",IFERROR(IF(INDEX('07. BIA'!$F$6:$F$285,MATCH($C63,'07. BIA'!$B$6:$B$285,0))="","",INDEX('07. BIA'!$F$6:$F$285,MATCH($C63,'07. BIA'!$B$6:$B$285,0))),""))</f>
      </c>
      <c r="F63" s="304"/>
      <c r="G63" s="303"/>
      <c r="H63" s="306"/>
      <c r="I63" s="52"/>
      <c r="J63" s="19"/>
      <c r="K63" s="301"/>
      <c r="L63" s="19"/>
      <c r="M63" s="157"/>
    </row>
    <row r="64" spans="1:13" ht="15" customHeight="1" x14ac:dyDescent="0.35">
      <c r="A64" s="156">
        <v>60</v>
      </c>
      <c r="B64" s="67">
        <f t="shared" si="1"/>
      </c>
      <c r="C64" s="301"/>
      <c r="D64" s="68">
        <f>IF($C64="","",IFERROR(IF(INDEX('07. BIA'!$E$6:$E$285,MATCH($C64,'07. BIA'!$B$6:$B$285,0))="","",INDEX('07. BIA'!$E$6:$E$285,MATCH($C64,'07. BIA'!$B$6:$B$285,0))),""))</f>
      </c>
      <c r="E64" s="68">
        <f>IF($C64="","",IFERROR(IF(INDEX('07. BIA'!$F$6:$F$285,MATCH($C64,'07. BIA'!$B$6:$B$285,0))="","",INDEX('07. BIA'!$F$6:$F$285,MATCH($C64,'07. BIA'!$B$6:$B$285,0))),""))</f>
      </c>
      <c r="F64" s="304"/>
      <c r="G64" s="303"/>
      <c r="H64" s="306"/>
      <c r="I64" s="52"/>
      <c r="J64" s="19"/>
      <c r="K64" s="301"/>
      <c r="L64" s="19"/>
      <c r="M64" s="157"/>
    </row>
    <row r="65" spans="1:13" ht="15" customHeight="1" x14ac:dyDescent="0.35">
      <c r="A65" s="156">
        <v>61</v>
      </c>
      <c r="B65" s="67">
        <f t="shared" si="1"/>
      </c>
      <c r="C65" s="301"/>
      <c r="D65" s="68">
        <f>IF($C65="","",IFERROR(IF(INDEX('07. BIA'!$E$6:$E$285,MATCH($C65,'07. BIA'!$B$6:$B$285,0))="","",INDEX('07. BIA'!$E$6:$E$285,MATCH($C65,'07. BIA'!$B$6:$B$285,0))),""))</f>
      </c>
      <c r="E65" s="68">
        <f>IF($C65="","",IFERROR(IF(INDEX('07. BIA'!$F$6:$F$285,MATCH($C65,'07. BIA'!$B$6:$B$285,0))="","",INDEX('07. BIA'!$F$6:$F$285,MATCH($C65,'07. BIA'!$B$6:$B$285,0))),""))</f>
      </c>
      <c r="F65" s="304"/>
      <c r="G65" s="303"/>
      <c r="H65" s="306"/>
      <c r="I65" s="52"/>
      <c r="J65" s="19"/>
      <c r="K65" s="301"/>
      <c r="L65" s="19"/>
      <c r="M65" s="157"/>
    </row>
    <row r="66" spans="1:13" ht="15" customHeight="1" x14ac:dyDescent="0.35">
      <c r="A66" s="156">
        <v>62</v>
      </c>
      <c r="B66" s="67">
        <f t="shared" si="1"/>
      </c>
      <c r="C66" s="301"/>
      <c r="D66" s="68">
        <f>IF($C66="","",IFERROR(IF(INDEX('07. BIA'!$E$6:$E$285,MATCH($C66,'07. BIA'!$B$6:$B$285,0))="","",INDEX('07. BIA'!$E$6:$E$285,MATCH($C66,'07. BIA'!$B$6:$B$285,0))),""))</f>
      </c>
      <c r="E66" s="68">
        <f>IF($C66="","",IFERROR(IF(INDEX('07. BIA'!$F$6:$F$285,MATCH($C66,'07. BIA'!$B$6:$B$285,0))="","",INDEX('07. BIA'!$F$6:$F$285,MATCH($C66,'07. BIA'!$B$6:$B$285,0))),""))</f>
      </c>
      <c r="F66" s="304"/>
      <c r="G66" s="303"/>
      <c r="H66" s="306"/>
      <c r="I66" s="52"/>
      <c r="J66" s="19"/>
      <c r="K66" s="301"/>
      <c r="L66" s="19"/>
      <c r="M66" s="157"/>
    </row>
    <row r="67" spans="1:13" ht="15" customHeight="1" x14ac:dyDescent="0.35">
      <c r="A67" s="156">
        <v>63</v>
      </c>
      <c r="B67" s="67">
        <f t="shared" si="1"/>
      </c>
      <c r="C67" s="301"/>
      <c r="D67" s="68">
        <f>IF($C67="","",IFERROR(IF(INDEX('07. BIA'!$E$6:$E$285,MATCH($C67,'07. BIA'!$B$6:$B$285,0))="","",INDEX('07. BIA'!$E$6:$E$285,MATCH($C67,'07. BIA'!$B$6:$B$285,0))),""))</f>
      </c>
      <c r="E67" s="68">
        <f>IF($C67="","",IFERROR(IF(INDEX('07. BIA'!$F$6:$F$285,MATCH($C67,'07. BIA'!$B$6:$B$285,0))="","",INDEX('07. BIA'!$F$6:$F$285,MATCH($C67,'07. BIA'!$B$6:$B$285,0))),""))</f>
      </c>
      <c r="F67" s="304"/>
      <c r="G67" s="303"/>
      <c r="H67" s="306"/>
      <c r="I67" s="52"/>
      <c r="J67" s="19"/>
      <c r="K67" s="301"/>
      <c r="L67" s="19"/>
      <c r="M67" s="157"/>
    </row>
    <row r="68" spans="1:13" ht="15" customHeight="1" x14ac:dyDescent="0.35">
      <c r="A68" s="156">
        <v>64</v>
      </c>
      <c r="B68" s="67">
        <f t="shared" si="1"/>
      </c>
      <c r="C68" s="301"/>
      <c r="D68" s="68">
        <f>IF($C68="","",IFERROR(IF(INDEX('07. BIA'!$E$6:$E$285,MATCH($C68,'07. BIA'!$B$6:$B$285,0))="","",INDEX('07. BIA'!$E$6:$E$285,MATCH($C68,'07. BIA'!$B$6:$B$285,0))),""))</f>
      </c>
      <c r="E68" s="68">
        <f>IF($C68="","",IFERROR(IF(INDEX('07. BIA'!$F$6:$F$285,MATCH($C68,'07. BIA'!$B$6:$B$285,0))="","",INDEX('07. BIA'!$F$6:$F$285,MATCH($C68,'07. BIA'!$B$6:$B$285,0))),""))</f>
      </c>
      <c r="F68" s="304"/>
      <c r="G68" s="303"/>
      <c r="H68" s="306"/>
      <c r="I68" s="52"/>
      <c r="J68" s="19"/>
      <c r="K68" s="301"/>
      <c r="L68" s="19"/>
      <c r="M68" s="157"/>
    </row>
    <row r="69" spans="1:13" ht="15" customHeight="1" x14ac:dyDescent="0.35">
      <c r="A69" s="156">
        <v>65</v>
      </c>
      <c r="B69" s="67">
        <f t="shared" ref="B69:B100" si="2">IF($I69="","","DEP-"&amp;TEXT($A69,"000"))</f>
      </c>
      <c r="C69" s="301"/>
      <c r="D69" s="68">
        <f>IF($C69="","",IFERROR(IF(INDEX('07. BIA'!$E$6:$E$285,MATCH($C69,'07. BIA'!$B$6:$B$285,0))="","",INDEX('07. BIA'!$E$6:$E$285,MATCH($C69,'07. BIA'!$B$6:$B$285,0))),""))</f>
      </c>
      <c r="E69" s="68">
        <f>IF($C69="","",IFERROR(IF(INDEX('07. BIA'!$F$6:$F$285,MATCH($C69,'07. BIA'!$B$6:$B$285,0))="","",INDEX('07. BIA'!$F$6:$F$285,MATCH($C69,'07. BIA'!$B$6:$B$285,0))),""))</f>
      </c>
      <c r="F69" s="304"/>
      <c r="G69" s="303"/>
      <c r="H69" s="306"/>
      <c r="I69" s="52"/>
      <c r="J69" s="19"/>
      <c r="K69" s="301"/>
      <c r="L69" s="19"/>
      <c r="M69" s="157"/>
    </row>
    <row r="70" spans="1:13" ht="15" customHeight="1" x14ac:dyDescent="0.35">
      <c r="A70" s="156">
        <v>66</v>
      </c>
      <c r="B70" s="67">
        <f t="shared" si="2"/>
      </c>
      <c r="C70" s="301"/>
      <c r="D70" s="68">
        <f>IF($C70="","",IFERROR(IF(INDEX('07. BIA'!$E$6:$E$285,MATCH($C70,'07. BIA'!$B$6:$B$285,0))="","",INDEX('07. BIA'!$E$6:$E$285,MATCH($C70,'07. BIA'!$B$6:$B$285,0))),""))</f>
      </c>
      <c r="E70" s="68">
        <f>IF($C70="","",IFERROR(IF(INDEX('07. BIA'!$F$6:$F$285,MATCH($C70,'07. BIA'!$B$6:$B$285,0))="","",INDEX('07. BIA'!$F$6:$F$285,MATCH($C70,'07. BIA'!$B$6:$B$285,0))),""))</f>
      </c>
      <c r="F70" s="304"/>
      <c r="G70" s="303"/>
      <c r="H70" s="306"/>
      <c r="I70" s="52"/>
      <c r="J70" s="19"/>
      <c r="K70" s="301"/>
      <c r="L70" s="19"/>
      <c r="M70" s="157"/>
    </row>
    <row r="71" spans="1:13" ht="15" customHeight="1" x14ac:dyDescent="0.35">
      <c r="A71" s="156">
        <v>67</v>
      </c>
      <c r="B71" s="67">
        <f t="shared" si="2"/>
      </c>
      <c r="C71" s="301"/>
      <c r="D71" s="68">
        <f>IF($C71="","",IFERROR(IF(INDEX('07. BIA'!$E$6:$E$285,MATCH($C71,'07. BIA'!$B$6:$B$285,0))="","",INDEX('07. BIA'!$E$6:$E$285,MATCH($C71,'07. BIA'!$B$6:$B$285,0))),""))</f>
      </c>
      <c r="E71" s="68">
        <f>IF($C71="","",IFERROR(IF(INDEX('07. BIA'!$F$6:$F$285,MATCH($C71,'07. BIA'!$B$6:$B$285,0))="","",INDEX('07. BIA'!$F$6:$F$285,MATCH($C71,'07. BIA'!$B$6:$B$285,0))),""))</f>
      </c>
      <c r="F71" s="304"/>
      <c r="G71" s="303"/>
      <c r="H71" s="306"/>
      <c r="I71" s="52"/>
      <c r="J71" s="19"/>
      <c r="K71" s="301"/>
      <c r="L71" s="19"/>
      <c r="M71" s="157"/>
    </row>
    <row r="72" spans="1:13" ht="15" customHeight="1" x14ac:dyDescent="0.35">
      <c r="A72" s="156">
        <v>68</v>
      </c>
      <c r="B72" s="67">
        <f t="shared" si="2"/>
      </c>
      <c r="C72" s="301"/>
      <c r="D72" s="68">
        <f>IF($C72="","",IFERROR(IF(INDEX('07. BIA'!$E$6:$E$285,MATCH($C72,'07. BIA'!$B$6:$B$285,0))="","",INDEX('07. BIA'!$E$6:$E$285,MATCH($C72,'07. BIA'!$B$6:$B$285,0))),""))</f>
      </c>
      <c r="E72" s="68">
        <f>IF($C72="","",IFERROR(IF(INDEX('07. BIA'!$F$6:$F$285,MATCH($C72,'07. BIA'!$B$6:$B$285,0))="","",INDEX('07. BIA'!$F$6:$F$285,MATCH($C72,'07. BIA'!$B$6:$B$285,0))),""))</f>
      </c>
      <c r="F72" s="304"/>
      <c r="G72" s="303"/>
      <c r="H72" s="306"/>
      <c r="I72" s="52"/>
      <c r="J72" s="19"/>
      <c r="K72" s="301"/>
      <c r="L72" s="19"/>
      <c r="M72" s="157"/>
    </row>
    <row r="73" spans="1:13" ht="15" customHeight="1" x14ac:dyDescent="0.35">
      <c r="A73" s="156">
        <v>69</v>
      </c>
      <c r="B73" s="67">
        <f t="shared" si="2"/>
      </c>
      <c r="C73" s="301"/>
      <c r="D73" s="68">
        <f>IF($C73="","",IFERROR(IF(INDEX('07. BIA'!$E$6:$E$285,MATCH($C73,'07. BIA'!$B$6:$B$285,0))="","",INDEX('07. BIA'!$E$6:$E$285,MATCH($C73,'07. BIA'!$B$6:$B$285,0))),""))</f>
      </c>
      <c r="E73" s="68">
        <f>IF($C73="","",IFERROR(IF(INDEX('07. BIA'!$F$6:$F$285,MATCH($C73,'07. BIA'!$B$6:$B$285,0))="","",INDEX('07. BIA'!$F$6:$F$285,MATCH($C73,'07. BIA'!$B$6:$B$285,0))),""))</f>
      </c>
      <c r="F73" s="304"/>
      <c r="G73" s="303"/>
      <c r="H73" s="306"/>
      <c r="I73" s="52"/>
      <c r="J73" s="19"/>
      <c r="K73" s="301"/>
      <c r="L73" s="19"/>
      <c r="M73" s="157"/>
    </row>
    <row r="74" spans="1:13" ht="15" customHeight="1" x14ac:dyDescent="0.35">
      <c r="A74" s="156">
        <v>70</v>
      </c>
      <c r="B74" s="67">
        <f t="shared" si="2"/>
      </c>
      <c r="C74" s="301"/>
      <c r="D74" s="68">
        <f>IF($C74="","",IFERROR(IF(INDEX('07. BIA'!$E$6:$E$285,MATCH($C74,'07. BIA'!$B$6:$B$285,0))="","",INDEX('07. BIA'!$E$6:$E$285,MATCH($C74,'07. BIA'!$B$6:$B$285,0))),""))</f>
      </c>
      <c r="E74" s="68">
        <f>IF($C74="","",IFERROR(IF(INDEX('07. BIA'!$F$6:$F$285,MATCH($C74,'07. BIA'!$B$6:$B$285,0))="","",INDEX('07. BIA'!$F$6:$F$285,MATCH($C74,'07. BIA'!$B$6:$B$285,0))),""))</f>
      </c>
      <c r="F74" s="304"/>
      <c r="G74" s="303"/>
      <c r="H74" s="306"/>
      <c r="I74" s="52"/>
      <c r="J74" s="19"/>
      <c r="K74" s="301"/>
      <c r="L74" s="19"/>
      <c r="M74" s="157"/>
    </row>
    <row r="75" spans="1:13" ht="15" customHeight="1" x14ac:dyDescent="0.35">
      <c r="A75" s="156">
        <v>71</v>
      </c>
      <c r="B75" s="67">
        <f t="shared" si="2"/>
      </c>
      <c r="C75" s="301"/>
      <c r="D75" s="68">
        <f>IF($C75="","",IFERROR(IF(INDEX('07. BIA'!$E$6:$E$285,MATCH($C75,'07. BIA'!$B$6:$B$285,0))="","",INDEX('07. BIA'!$E$6:$E$285,MATCH($C75,'07. BIA'!$B$6:$B$285,0))),""))</f>
      </c>
      <c r="E75" s="68">
        <f>IF($C75="","",IFERROR(IF(INDEX('07. BIA'!$F$6:$F$285,MATCH($C75,'07. BIA'!$B$6:$B$285,0))="","",INDEX('07. BIA'!$F$6:$F$285,MATCH($C75,'07. BIA'!$B$6:$B$285,0))),""))</f>
      </c>
      <c r="F75" s="304"/>
      <c r="G75" s="303"/>
      <c r="H75" s="306"/>
      <c r="I75" s="52"/>
      <c r="J75" s="19"/>
      <c r="K75" s="301"/>
      <c r="L75" s="19"/>
      <c r="M75" s="157"/>
    </row>
    <row r="76" spans="1:13" ht="15" customHeight="1" x14ac:dyDescent="0.35">
      <c r="A76" s="156">
        <v>72</v>
      </c>
      <c r="B76" s="67">
        <f t="shared" si="2"/>
      </c>
      <c r="C76" s="301"/>
      <c r="D76" s="68">
        <f>IF($C76="","",IFERROR(IF(INDEX('07. BIA'!$E$6:$E$285,MATCH($C76,'07. BIA'!$B$6:$B$285,0))="","",INDEX('07. BIA'!$E$6:$E$285,MATCH($C76,'07. BIA'!$B$6:$B$285,0))),""))</f>
      </c>
      <c r="E76" s="68">
        <f>IF($C76="","",IFERROR(IF(INDEX('07. BIA'!$F$6:$F$285,MATCH($C76,'07. BIA'!$B$6:$B$285,0))="","",INDEX('07. BIA'!$F$6:$F$285,MATCH($C76,'07. BIA'!$B$6:$B$285,0))),""))</f>
      </c>
      <c r="F76" s="304"/>
      <c r="G76" s="303"/>
      <c r="H76" s="306"/>
      <c r="I76" s="52"/>
      <c r="J76" s="19"/>
      <c r="K76" s="301"/>
      <c r="L76" s="19"/>
      <c r="M76" s="157"/>
    </row>
    <row r="77" spans="1:13" ht="15" customHeight="1" x14ac:dyDescent="0.35">
      <c r="A77" s="156">
        <v>73</v>
      </c>
      <c r="B77" s="67">
        <f t="shared" si="2"/>
      </c>
      <c r="C77" s="301"/>
      <c r="D77" s="68">
        <f>IF($C77="","",IFERROR(IF(INDEX('07. BIA'!$E$6:$E$285,MATCH($C77,'07. BIA'!$B$6:$B$285,0))="","",INDEX('07. BIA'!$E$6:$E$285,MATCH($C77,'07. BIA'!$B$6:$B$285,0))),""))</f>
      </c>
      <c r="E77" s="68">
        <f>IF($C77="","",IFERROR(IF(INDEX('07. BIA'!$F$6:$F$285,MATCH($C77,'07. BIA'!$B$6:$B$285,0))="","",INDEX('07. BIA'!$F$6:$F$285,MATCH($C77,'07. BIA'!$B$6:$B$285,0))),""))</f>
      </c>
      <c r="F77" s="304"/>
      <c r="G77" s="303"/>
      <c r="H77" s="306"/>
      <c r="I77" s="52"/>
      <c r="J77" s="19"/>
      <c r="K77" s="301"/>
      <c r="L77" s="19"/>
      <c r="M77" s="157"/>
    </row>
    <row r="78" spans="1:13" ht="15" customHeight="1" x14ac:dyDescent="0.35">
      <c r="A78" s="156">
        <v>74</v>
      </c>
      <c r="B78" s="67">
        <f t="shared" si="2"/>
      </c>
      <c r="C78" s="301"/>
      <c r="D78" s="68">
        <f>IF($C78="","",IFERROR(IF(INDEX('07. BIA'!$E$6:$E$285,MATCH($C78,'07. BIA'!$B$6:$B$285,0))="","",INDEX('07. BIA'!$E$6:$E$285,MATCH($C78,'07. BIA'!$B$6:$B$285,0))),""))</f>
      </c>
      <c r="E78" s="68">
        <f>IF($C78="","",IFERROR(IF(INDEX('07. BIA'!$F$6:$F$285,MATCH($C78,'07. BIA'!$B$6:$B$285,0))="","",INDEX('07. BIA'!$F$6:$F$285,MATCH($C78,'07. BIA'!$B$6:$B$285,0))),""))</f>
      </c>
      <c r="F78" s="304"/>
      <c r="G78" s="303"/>
      <c r="H78" s="306"/>
      <c r="I78" s="52"/>
      <c r="J78" s="19"/>
      <c r="K78" s="301"/>
      <c r="L78" s="19"/>
      <c r="M78" s="157"/>
    </row>
    <row r="79" spans="1:13" ht="15" customHeight="1" x14ac:dyDescent="0.35">
      <c r="A79" s="156">
        <v>75</v>
      </c>
      <c r="B79" s="67">
        <f t="shared" si="2"/>
      </c>
      <c r="C79" s="301"/>
      <c r="D79" s="68">
        <f>IF($C79="","",IFERROR(IF(INDEX('07. BIA'!$E$6:$E$285,MATCH($C79,'07. BIA'!$B$6:$B$285,0))="","",INDEX('07. BIA'!$E$6:$E$285,MATCH($C79,'07. BIA'!$B$6:$B$285,0))),""))</f>
      </c>
      <c r="E79" s="68">
        <f>IF($C79="","",IFERROR(IF(INDEX('07. BIA'!$F$6:$F$285,MATCH($C79,'07. BIA'!$B$6:$B$285,0))="","",INDEX('07. BIA'!$F$6:$F$285,MATCH($C79,'07. BIA'!$B$6:$B$285,0))),""))</f>
      </c>
      <c r="F79" s="304"/>
      <c r="G79" s="303"/>
      <c r="H79" s="306"/>
      <c r="I79" s="52"/>
      <c r="J79" s="19"/>
      <c r="K79" s="301"/>
      <c r="L79" s="19"/>
      <c r="M79" s="157"/>
    </row>
    <row r="80" spans="1:13" ht="15" customHeight="1" x14ac:dyDescent="0.35">
      <c r="A80" s="156">
        <v>76</v>
      </c>
      <c r="B80" s="67">
        <f t="shared" si="2"/>
      </c>
      <c r="C80" s="301"/>
      <c r="D80" s="68">
        <f>IF($C80="","",IFERROR(IF(INDEX('07. BIA'!$E$6:$E$285,MATCH($C80,'07. BIA'!$B$6:$B$285,0))="","",INDEX('07. BIA'!$E$6:$E$285,MATCH($C80,'07. BIA'!$B$6:$B$285,0))),""))</f>
      </c>
      <c r="E80" s="68">
        <f>IF($C80="","",IFERROR(IF(INDEX('07. BIA'!$F$6:$F$285,MATCH($C80,'07. BIA'!$B$6:$B$285,0))="","",INDEX('07. BIA'!$F$6:$F$285,MATCH($C80,'07. BIA'!$B$6:$B$285,0))),""))</f>
      </c>
      <c r="F80" s="304"/>
      <c r="G80" s="303"/>
      <c r="H80" s="306"/>
      <c r="I80" s="52"/>
      <c r="J80" s="19"/>
      <c r="K80" s="301"/>
      <c r="L80" s="19"/>
      <c r="M80" s="157"/>
    </row>
    <row r="81" spans="1:13" ht="15" customHeight="1" x14ac:dyDescent="0.35">
      <c r="A81" s="156">
        <v>77</v>
      </c>
      <c r="B81" s="67">
        <f t="shared" si="2"/>
      </c>
      <c r="C81" s="301"/>
      <c r="D81" s="68">
        <f>IF($C81="","",IFERROR(IF(INDEX('07. BIA'!$E$6:$E$285,MATCH($C81,'07. BIA'!$B$6:$B$285,0))="","",INDEX('07. BIA'!$E$6:$E$285,MATCH($C81,'07. BIA'!$B$6:$B$285,0))),""))</f>
      </c>
      <c r="E81" s="68">
        <f>IF($C81="","",IFERROR(IF(INDEX('07. BIA'!$F$6:$F$285,MATCH($C81,'07. BIA'!$B$6:$B$285,0))="","",INDEX('07. BIA'!$F$6:$F$285,MATCH($C81,'07. BIA'!$B$6:$B$285,0))),""))</f>
      </c>
      <c r="F81" s="304"/>
      <c r="G81" s="303"/>
      <c r="H81" s="306"/>
      <c r="I81" s="52"/>
      <c r="J81" s="19"/>
      <c r="K81" s="301"/>
      <c r="L81" s="19"/>
      <c r="M81" s="157"/>
    </row>
    <row r="82" spans="1:13" ht="15" customHeight="1" x14ac:dyDescent="0.35">
      <c r="A82" s="156">
        <v>78</v>
      </c>
      <c r="B82" s="67">
        <f t="shared" si="2"/>
      </c>
      <c r="C82" s="301"/>
      <c r="D82" s="68">
        <f>IF($C82="","",IFERROR(IF(INDEX('07. BIA'!$E$6:$E$285,MATCH($C82,'07. BIA'!$B$6:$B$285,0))="","",INDEX('07. BIA'!$E$6:$E$285,MATCH($C82,'07. BIA'!$B$6:$B$285,0))),""))</f>
      </c>
      <c r="E82" s="68">
        <f>IF($C82="","",IFERROR(IF(INDEX('07. BIA'!$F$6:$F$285,MATCH($C82,'07. BIA'!$B$6:$B$285,0))="","",INDEX('07. BIA'!$F$6:$F$285,MATCH($C82,'07. BIA'!$B$6:$B$285,0))),""))</f>
      </c>
      <c r="F82" s="304"/>
      <c r="G82" s="303"/>
      <c r="H82" s="306"/>
      <c r="I82" s="52"/>
      <c r="J82" s="19"/>
      <c r="K82" s="301"/>
      <c r="L82" s="19"/>
      <c r="M82" s="157"/>
    </row>
    <row r="83" spans="1:13" ht="15" customHeight="1" x14ac:dyDescent="0.35">
      <c r="A83" s="156">
        <v>79</v>
      </c>
      <c r="B83" s="67">
        <f t="shared" si="2"/>
      </c>
      <c r="C83" s="301"/>
      <c r="D83" s="68">
        <f>IF($C83="","",IFERROR(IF(INDEX('07. BIA'!$E$6:$E$285,MATCH($C83,'07. BIA'!$B$6:$B$285,0))="","",INDEX('07. BIA'!$E$6:$E$285,MATCH($C83,'07. BIA'!$B$6:$B$285,0))),""))</f>
      </c>
      <c r="E83" s="68">
        <f>IF($C83="","",IFERROR(IF(INDEX('07. BIA'!$F$6:$F$285,MATCH($C83,'07. BIA'!$B$6:$B$285,0))="","",INDEX('07. BIA'!$F$6:$F$285,MATCH($C83,'07. BIA'!$B$6:$B$285,0))),""))</f>
      </c>
      <c r="F83" s="304"/>
      <c r="G83" s="303"/>
      <c r="H83" s="306"/>
      <c r="I83" s="52"/>
      <c r="J83" s="19"/>
      <c r="K83" s="301"/>
      <c r="L83" s="19"/>
      <c r="M83" s="157"/>
    </row>
    <row r="84" spans="1:13" ht="15" customHeight="1" x14ac:dyDescent="0.35">
      <c r="A84" s="156">
        <v>80</v>
      </c>
      <c r="B84" s="67">
        <f t="shared" si="2"/>
      </c>
      <c r="C84" s="301"/>
      <c r="D84" s="68">
        <f>IF($C84="","",IFERROR(IF(INDEX('07. BIA'!$E$6:$E$285,MATCH($C84,'07. BIA'!$B$6:$B$285,0))="","",INDEX('07. BIA'!$E$6:$E$285,MATCH($C84,'07. BIA'!$B$6:$B$285,0))),""))</f>
      </c>
      <c r="E84" s="68">
        <f>IF($C84="","",IFERROR(IF(INDEX('07. BIA'!$F$6:$F$285,MATCH($C84,'07. BIA'!$B$6:$B$285,0))="","",INDEX('07. BIA'!$F$6:$F$285,MATCH($C84,'07. BIA'!$B$6:$B$285,0))),""))</f>
      </c>
      <c r="F84" s="304"/>
      <c r="G84" s="303"/>
      <c r="H84" s="306"/>
      <c r="I84" s="52"/>
      <c r="J84" s="19"/>
      <c r="K84" s="301"/>
      <c r="L84" s="19"/>
      <c r="M84" s="157"/>
    </row>
    <row r="85" spans="1:13" ht="15" customHeight="1" x14ac:dyDescent="0.35">
      <c r="A85" s="156">
        <v>81</v>
      </c>
      <c r="B85" s="67">
        <f t="shared" si="2"/>
      </c>
      <c r="C85" s="301"/>
      <c r="D85" s="68">
        <f>IF($C85="","",IFERROR(IF(INDEX('07. BIA'!$E$6:$E$285,MATCH($C85,'07. BIA'!$B$6:$B$285,0))="","",INDEX('07. BIA'!$E$6:$E$285,MATCH($C85,'07. BIA'!$B$6:$B$285,0))),""))</f>
      </c>
      <c r="E85" s="68">
        <f>IF($C85="","",IFERROR(IF(INDEX('07. BIA'!$F$6:$F$285,MATCH($C85,'07. BIA'!$B$6:$B$285,0))="","",INDEX('07. BIA'!$F$6:$F$285,MATCH($C85,'07. BIA'!$B$6:$B$285,0))),""))</f>
      </c>
      <c r="F85" s="304"/>
      <c r="G85" s="303"/>
      <c r="H85" s="306"/>
      <c r="I85" s="52"/>
      <c r="J85" s="19"/>
      <c r="K85" s="301"/>
      <c r="L85" s="19"/>
      <c r="M85" s="157"/>
    </row>
    <row r="86" spans="1:13" ht="15" customHeight="1" x14ac:dyDescent="0.35">
      <c r="A86" s="156">
        <v>82</v>
      </c>
      <c r="B86" s="67">
        <f t="shared" si="2"/>
      </c>
      <c r="C86" s="301"/>
      <c r="D86" s="68">
        <f>IF($C86="","",IFERROR(IF(INDEX('07. BIA'!$E$6:$E$285,MATCH($C86,'07. BIA'!$B$6:$B$285,0))="","",INDEX('07. BIA'!$E$6:$E$285,MATCH($C86,'07. BIA'!$B$6:$B$285,0))),""))</f>
      </c>
      <c r="E86" s="68">
        <f>IF($C86="","",IFERROR(IF(INDEX('07. BIA'!$F$6:$F$285,MATCH($C86,'07. BIA'!$B$6:$B$285,0))="","",INDEX('07. BIA'!$F$6:$F$285,MATCH($C86,'07. BIA'!$B$6:$B$285,0))),""))</f>
      </c>
      <c r="F86" s="304"/>
      <c r="G86" s="303"/>
      <c r="H86" s="306"/>
      <c r="I86" s="52"/>
      <c r="J86" s="19"/>
      <c r="K86" s="301"/>
      <c r="L86" s="19"/>
      <c r="M86" s="157"/>
    </row>
    <row r="87" spans="1:13" ht="15" customHeight="1" x14ac:dyDescent="0.35">
      <c r="A87" s="156">
        <v>83</v>
      </c>
      <c r="B87" s="67">
        <f t="shared" si="2"/>
      </c>
      <c r="C87" s="301"/>
      <c r="D87" s="68">
        <f>IF($C87="","",IFERROR(IF(INDEX('07. BIA'!$E$6:$E$285,MATCH($C87,'07. BIA'!$B$6:$B$285,0))="","",INDEX('07. BIA'!$E$6:$E$285,MATCH($C87,'07. BIA'!$B$6:$B$285,0))),""))</f>
      </c>
      <c r="E87" s="68">
        <f>IF($C87="","",IFERROR(IF(INDEX('07. BIA'!$F$6:$F$285,MATCH($C87,'07. BIA'!$B$6:$B$285,0))="","",INDEX('07. BIA'!$F$6:$F$285,MATCH($C87,'07. BIA'!$B$6:$B$285,0))),""))</f>
      </c>
      <c r="F87" s="304"/>
      <c r="G87" s="303"/>
      <c r="H87" s="306"/>
      <c r="I87" s="52"/>
      <c r="J87" s="19"/>
      <c r="K87" s="301"/>
      <c r="L87" s="19"/>
      <c r="M87" s="157"/>
    </row>
    <row r="88" spans="1:13" ht="15" customHeight="1" x14ac:dyDescent="0.35">
      <c r="A88" s="156">
        <v>84</v>
      </c>
      <c r="B88" s="67">
        <f t="shared" si="2"/>
      </c>
      <c r="C88" s="301"/>
      <c r="D88" s="68">
        <f>IF($C88="","",IFERROR(IF(INDEX('07. BIA'!$E$6:$E$285,MATCH($C88,'07. BIA'!$B$6:$B$285,0))="","",INDEX('07. BIA'!$E$6:$E$285,MATCH($C88,'07. BIA'!$B$6:$B$285,0))),""))</f>
      </c>
      <c r="E88" s="68">
        <f>IF($C88="","",IFERROR(IF(INDEX('07. BIA'!$F$6:$F$285,MATCH($C88,'07. BIA'!$B$6:$B$285,0))="","",INDEX('07. BIA'!$F$6:$F$285,MATCH($C88,'07. BIA'!$B$6:$B$285,0))),""))</f>
      </c>
      <c r="F88" s="304"/>
      <c r="G88" s="303"/>
      <c r="H88" s="306"/>
      <c r="I88" s="52"/>
      <c r="J88" s="19"/>
      <c r="K88" s="301"/>
      <c r="L88" s="19"/>
      <c r="M88" s="157"/>
    </row>
    <row r="89" spans="1:13" ht="15" customHeight="1" x14ac:dyDescent="0.35">
      <c r="A89" s="156">
        <v>85</v>
      </c>
      <c r="B89" s="67">
        <f t="shared" si="2"/>
      </c>
      <c r="C89" s="301"/>
      <c r="D89" s="68">
        <f>IF($C89="","",IFERROR(IF(INDEX('07. BIA'!$E$6:$E$285,MATCH($C89,'07. BIA'!$B$6:$B$285,0))="","",INDEX('07. BIA'!$E$6:$E$285,MATCH($C89,'07. BIA'!$B$6:$B$285,0))),""))</f>
      </c>
      <c r="E89" s="68">
        <f>IF($C89="","",IFERROR(IF(INDEX('07. BIA'!$F$6:$F$285,MATCH($C89,'07. BIA'!$B$6:$B$285,0))="","",INDEX('07. BIA'!$F$6:$F$285,MATCH($C89,'07. BIA'!$B$6:$B$285,0))),""))</f>
      </c>
      <c r="F89" s="304"/>
      <c r="G89" s="303"/>
      <c r="H89" s="306"/>
      <c r="I89" s="52"/>
      <c r="J89" s="19"/>
      <c r="K89" s="301"/>
      <c r="L89" s="19"/>
      <c r="M89" s="157"/>
    </row>
    <row r="90" spans="1:13" ht="15" customHeight="1" x14ac:dyDescent="0.35">
      <c r="A90" s="156">
        <v>86</v>
      </c>
      <c r="B90" s="67">
        <f t="shared" si="2"/>
      </c>
      <c r="C90" s="301"/>
      <c r="D90" s="68">
        <f>IF($C90="","",IFERROR(IF(INDEX('07. BIA'!$E$6:$E$285,MATCH($C90,'07. BIA'!$B$6:$B$285,0))="","",INDEX('07. BIA'!$E$6:$E$285,MATCH($C90,'07. BIA'!$B$6:$B$285,0))),""))</f>
      </c>
      <c r="E90" s="68">
        <f>IF($C90="","",IFERROR(IF(INDEX('07. BIA'!$F$6:$F$285,MATCH($C90,'07. BIA'!$B$6:$B$285,0))="","",INDEX('07. BIA'!$F$6:$F$285,MATCH($C90,'07. BIA'!$B$6:$B$285,0))),""))</f>
      </c>
      <c r="F90" s="304"/>
      <c r="G90" s="303"/>
      <c r="H90" s="306"/>
      <c r="I90" s="52"/>
      <c r="J90" s="19"/>
      <c r="K90" s="301"/>
      <c r="L90" s="19"/>
      <c r="M90" s="157"/>
    </row>
    <row r="91" spans="1:13" ht="15" customHeight="1" x14ac:dyDescent="0.35">
      <c r="A91" s="156">
        <v>87</v>
      </c>
      <c r="B91" s="67">
        <f t="shared" si="2"/>
      </c>
      <c r="C91" s="301"/>
      <c r="D91" s="68">
        <f>IF($C91="","",IFERROR(IF(INDEX('07. BIA'!$E$6:$E$285,MATCH($C91,'07. BIA'!$B$6:$B$285,0))="","",INDEX('07. BIA'!$E$6:$E$285,MATCH($C91,'07. BIA'!$B$6:$B$285,0))),""))</f>
      </c>
      <c r="E91" s="68">
        <f>IF($C91="","",IFERROR(IF(INDEX('07. BIA'!$F$6:$F$285,MATCH($C91,'07. BIA'!$B$6:$B$285,0))="","",INDEX('07. BIA'!$F$6:$F$285,MATCH($C91,'07. BIA'!$B$6:$B$285,0))),""))</f>
      </c>
      <c r="F91" s="304"/>
      <c r="G91" s="303"/>
      <c r="H91" s="306"/>
      <c r="I91" s="52"/>
      <c r="J91" s="19"/>
      <c r="K91" s="301"/>
      <c r="L91" s="19"/>
      <c r="M91" s="157"/>
    </row>
    <row r="92" spans="1:13" ht="15" customHeight="1" x14ac:dyDescent="0.35">
      <c r="A92" s="156">
        <v>88</v>
      </c>
      <c r="B92" s="67">
        <f t="shared" si="2"/>
      </c>
      <c r="C92" s="301"/>
      <c r="D92" s="68">
        <f>IF($C92="","",IFERROR(IF(INDEX('07. BIA'!$E$6:$E$285,MATCH($C92,'07. BIA'!$B$6:$B$285,0))="","",INDEX('07. BIA'!$E$6:$E$285,MATCH($C92,'07. BIA'!$B$6:$B$285,0))),""))</f>
      </c>
      <c r="E92" s="68">
        <f>IF($C92="","",IFERROR(IF(INDEX('07. BIA'!$F$6:$F$285,MATCH($C92,'07. BIA'!$B$6:$B$285,0))="","",INDEX('07. BIA'!$F$6:$F$285,MATCH($C92,'07. BIA'!$B$6:$B$285,0))),""))</f>
      </c>
      <c r="F92" s="304"/>
      <c r="G92" s="303"/>
      <c r="H92" s="306"/>
      <c r="I92" s="52"/>
      <c r="J92" s="19"/>
      <c r="K92" s="301"/>
      <c r="L92" s="19"/>
      <c r="M92" s="157"/>
    </row>
    <row r="93" spans="1:13" ht="15" customHeight="1" x14ac:dyDescent="0.35">
      <c r="A93" s="156">
        <v>89</v>
      </c>
      <c r="B93" s="67">
        <f t="shared" si="2"/>
      </c>
      <c r="C93" s="301"/>
      <c r="D93" s="68">
        <f>IF($C93="","",IFERROR(IF(INDEX('07. BIA'!$E$6:$E$285,MATCH($C93,'07. BIA'!$B$6:$B$285,0))="","",INDEX('07. BIA'!$E$6:$E$285,MATCH($C93,'07. BIA'!$B$6:$B$285,0))),""))</f>
      </c>
      <c r="E93" s="68">
        <f>IF($C93="","",IFERROR(IF(INDEX('07. BIA'!$F$6:$F$285,MATCH($C93,'07. BIA'!$B$6:$B$285,0))="","",INDEX('07. BIA'!$F$6:$F$285,MATCH($C93,'07. BIA'!$B$6:$B$285,0))),""))</f>
      </c>
      <c r="F93" s="304"/>
      <c r="G93" s="303"/>
      <c r="H93" s="306"/>
      <c r="I93" s="52"/>
      <c r="J93" s="19"/>
      <c r="K93" s="301"/>
      <c r="L93" s="19"/>
      <c r="M93" s="157"/>
    </row>
    <row r="94" spans="1:13" ht="15" customHeight="1" x14ac:dyDescent="0.35">
      <c r="A94" s="156">
        <v>90</v>
      </c>
      <c r="B94" s="67">
        <f t="shared" si="2"/>
      </c>
      <c r="C94" s="301"/>
      <c r="D94" s="68">
        <f>IF($C94="","",IFERROR(IF(INDEX('07. BIA'!$E$6:$E$285,MATCH($C94,'07. BIA'!$B$6:$B$285,0))="","",INDEX('07. BIA'!$E$6:$E$285,MATCH($C94,'07. BIA'!$B$6:$B$285,0))),""))</f>
      </c>
      <c r="E94" s="68">
        <f>IF($C94="","",IFERROR(IF(INDEX('07. BIA'!$F$6:$F$285,MATCH($C94,'07. BIA'!$B$6:$B$285,0))="","",INDEX('07. BIA'!$F$6:$F$285,MATCH($C94,'07. BIA'!$B$6:$B$285,0))),""))</f>
      </c>
      <c r="F94" s="304"/>
      <c r="G94" s="303"/>
      <c r="H94" s="306"/>
      <c r="I94" s="52"/>
      <c r="J94" s="19"/>
      <c r="K94" s="301"/>
      <c r="L94" s="19"/>
      <c r="M94" s="157"/>
    </row>
    <row r="95" spans="1:13" ht="15" customHeight="1" x14ac:dyDescent="0.35">
      <c r="A95" s="156">
        <v>91</v>
      </c>
      <c r="B95" s="67">
        <f t="shared" si="2"/>
      </c>
      <c r="C95" s="301"/>
      <c r="D95" s="68">
        <f>IF($C95="","",IFERROR(IF(INDEX('07. BIA'!$E$6:$E$285,MATCH($C95,'07. BIA'!$B$6:$B$285,0))="","",INDEX('07. BIA'!$E$6:$E$285,MATCH($C95,'07. BIA'!$B$6:$B$285,0))),""))</f>
      </c>
      <c r="E95" s="68">
        <f>IF($C95="","",IFERROR(IF(INDEX('07. BIA'!$F$6:$F$285,MATCH($C95,'07. BIA'!$B$6:$B$285,0))="","",INDEX('07. BIA'!$F$6:$F$285,MATCH($C95,'07. BIA'!$B$6:$B$285,0))),""))</f>
      </c>
      <c r="F95" s="304"/>
      <c r="G95" s="303"/>
      <c r="H95" s="306"/>
      <c r="I95" s="52"/>
      <c r="J95" s="19"/>
      <c r="K95" s="301"/>
      <c r="L95" s="19"/>
      <c r="M95" s="157"/>
    </row>
    <row r="96" spans="1:13" ht="15" customHeight="1" x14ac:dyDescent="0.35">
      <c r="A96" s="156">
        <v>92</v>
      </c>
      <c r="B96" s="67">
        <f t="shared" si="2"/>
      </c>
      <c r="C96" s="301"/>
      <c r="D96" s="68">
        <f>IF($C96="","",IFERROR(IF(INDEX('07. BIA'!$E$6:$E$285,MATCH($C96,'07. BIA'!$B$6:$B$285,0))="","",INDEX('07. BIA'!$E$6:$E$285,MATCH($C96,'07. BIA'!$B$6:$B$285,0))),""))</f>
      </c>
      <c r="E96" s="68">
        <f>IF($C96="","",IFERROR(IF(INDEX('07. BIA'!$F$6:$F$285,MATCH($C96,'07. BIA'!$B$6:$B$285,0))="","",INDEX('07. BIA'!$F$6:$F$285,MATCH($C96,'07. BIA'!$B$6:$B$285,0))),""))</f>
      </c>
      <c r="F96" s="304"/>
      <c r="G96" s="303"/>
      <c r="H96" s="306"/>
      <c r="I96" s="52"/>
      <c r="J96" s="19"/>
      <c r="K96" s="301"/>
      <c r="L96" s="19"/>
      <c r="M96" s="157"/>
    </row>
    <row r="97" spans="1:13" ht="15" customHeight="1" x14ac:dyDescent="0.35">
      <c r="A97" s="156">
        <v>93</v>
      </c>
      <c r="B97" s="67">
        <f t="shared" si="2"/>
      </c>
      <c r="C97" s="301"/>
      <c r="D97" s="68">
        <f>IF($C97="","",IFERROR(IF(INDEX('07. BIA'!$E$6:$E$285,MATCH($C97,'07. BIA'!$B$6:$B$285,0))="","",INDEX('07. BIA'!$E$6:$E$285,MATCH($C97,'07. BIA'!$B$6:$B$285,0))),""))</f>
      </c>
      <c r="E97" s="68">
        <f>IF($C97="","",IFERROR(IF(INDEX('07. BIA'!$F$6:$F$285,MATCH($C97,'07. BIA'!$B$6:$B$285,0))="","",INDEX('07. BIA'!$F$6:$F$285,MATCH($C97,'07. BIA'!$B$6:$B$285,0))),""))</f>
      </c>
      <c r="F97" s="304"/>
      <c r="G97" s="303"/>
      <c r="H97" s="306"/>
      <c r="I97" s="52"/>
      <c r="J97" s="19"/>
      <c r="K97" s="301"/>
      <c r="L97" s="19"/>
      <c r="M97" s="157"/>
    </row>
    <row r="98" spans="1:13" ht="15" customHeight="1" x14ac:dyDescent="0.35">
      <c r="A98" s="156">
        <v>94</v>
      </c>
      <c r="B98" s="67">
        <f t="shared" si="2"/>
      </c>
      <c r="C98" s="301"/>
      <c r="D98" s="68">
        <f>IF($C98="","",IFERROR(IF(INDEX('07. BIA'!$E$6:$E$285,MATCH($C98,'07. BIA'!$B$6:$B$285,0))="","",INDEX('07. BIA'!$E$6:$E$285,MATCH($C98,'07. BIA'!$B$6:$B$285,0))),""))</f>
      </c>
      <c r="E98" s="68">
        <f>IF($C98="","",IFERROR(IF(INDEX('07. BIA'!$F$6:$F$285,MATCH($C98,'07. BIA'!$B$6:$B$285,0))="","",INDEX('07. BIA'!$F$6:$F$285,MATCH($C98,'07. BIA'!$B$6:$B$285,0))),""))</f>
      </c>
      <c r="F98" s="304"/>
      <c r="G98" s="303"/>
      <c r="H98" s="306"/>
      <c r="I98" s="52"/>
      <c r="J98" s="19"/>
      <c r="K98" s="301"/>
      <c r="L98" s="19"/>
      <c r="M98" s="157"/>
    </row>
    <row r="99" spans="1:13" ht="15" customHeight="1" x14ac:dyDescent="0.35">
      <c r="A99" s="156">
        <v>95</v>
      </c>
      <c r="B99" s="67">
        <f t="shared" si="2"/>
      </c>
      <c r="C99" s="301"/>
      <c r="D99" s="68">
        <f>IF($C99="","",IFERROR(IF(INDEX('07. BIA'!$E$6:$E$285,MATCH($C99,'07. BIA'!$B$6:$B$285,0))="","",INDEX('07. BIA'!$E$6:$E$285,MATCH($C99,'07. BIA'!$B$6:$B$285,0))),""))</f>
      </c>
      <c r="E99" s="68">
        <f>IF($C99="","",IFERROR(IF(INDEX('07. BIA'!$F$6:$F$285,MATCH($C99,'07. BIA'!$B$6:$B$285,0))="","",INDEX('07. BIA'!$F$6:$F$285,MATCH($C99,'07. BIA'!$B$6:$B$285,0))),""))</f>
      </c>
      <c r="F99" s="304"/>
      <c r="G99" s="303"/>
      <c r="H99" s="306"/>
      <c r="I99" s="52"/>
      <c r="J99" s="19"/>
      <c r="K99" s="301"/>
      <c r="L99" s="19"/>
      <c r="M99" s="157"/>
    </row>
    <row r="100" spans="1:13" ht="15" customHeight="1" x14ac:dyDescent="0.35">
      <c r="A100" s="156">
        <v>96</v>
      </c>
      <c r="B100" s="67">
        <f t="shared" si="2"/>
      </c>
      <c r="C100" s="301"/>
      <c r="D100" s="68">
        <f>IF($C100="","",IFERROR(IF(INDEX('07. BIA'!$E$6:$E$285,MATCH($C100,'07. BIA'!$B$6:$B$285,0))="","",INDEX('07. BIA'!$E$6:$E$285,MATCH($C100,'07. BIA'!$B$6:$B$285,0))),""))</f>
      </c>
      <c r="E100" s="68">
        <f>IF($C100="","",IFERROR(IF(INDEX('07. BIA'!$F$6:$F$285,MATCH($C100,'07. BIA'!$B$6:$B$285,0))="","",INDEX('07. BIA'!$F$6:$F$285,MATCH($C100,'07. BIA'!$B$6:$B$285,0))),""))</f>
      </c>
      <c r="F100" s="304"/>
      <c r="G100" s="303"/>
      <c r="H100" s="306"/>
      <c r="I100" s="52"/>
      <c r="J100" s="19"/>
      <c r="K100" s="301"/>
      <c r="L100" s="19"/>
      <c r="M100" s="157"/>
    </row>
    <row r="101" spans="1:13" ht="15" customHeight="1" x14ac:dyDescent="0.35">
      <c r="A101" s="156">
        <v>97</v>
      </c>
      <c r="B101" s="67">
        <f t="shared" ref="B101:B132" si="3">IF($I101="","","DEP-"&amp;TEXT($A101,"000"))</f>
      </c>
      <c r="C101" s="301"/>
      <c r="D101" s="68">
        <f>IF($C101="","",IFERROR(IF(INDEX('07. BIA'!$E$6:$E$285,MATCH($C101,'07. BIA'!$B$6:$B$285,0))="","",INDEX('07. BIA'!$E$6:$E$285,MATCH($C101,'07. BIA'!$B$6:$B$285,0))),""))</f>
      </c>
      <c r="E101" s="68">
        <f>IF($C101="","",IFERROR(IF(INDEX('07. BIA'!$F$6:$F$285,MATCH($C101,'07. BIA'!$B$6:$B$285,0))="","",INDEX('07. BIA'!$F$6:$F$285,MATCH($C101,'07. BIA'!$B$6:$B$285,0))),""))</f>
      </c>
      <c r="F101" s="304"/>
      <c r="G101" s="303"/>
      <c r="H101" s="306"/>
      <c r="I101" s="52"/>
      <c r="J101" s="19"/>
      <c r="K101" s="301"/>
      <c r="L101" s="19"/>
      <c r="M101" s="157"/>
    </row>
    <row r="102" spans="1:13" ht="15" customHeight="1" x14ac:dyDescent="0.35">
      <c r="A102" s="156">
        <v>98</v>
      </c>
      <c r="B102" s="67">
        <f t="shared" si="3"/>
      </c>
      <c r="C102" s="301"/>
      <c r="D102" s="68">
        <f>IF($C102="","",IFERROR(IF(INDEX('07. BIA'!$E$6:$E$285,MATCH($C102,'07. BIA'!$B$6:$B$285,0))="","",INDEX('07. BIA'!$E$6:$E$285,MATCH($C102,'07. BIA'!$B$6:$B$285,0))),""))</f>
      </c>
      <c r="E102" s="68">
        <f>IF($C102="","",IFERROR(IF(INDEX('07. BIA'!$F$6:$F$285,MATCH($C102,'07. BIA'!$B$6:$B$285,0))="","",INDEX('07. BIA'!$F$6:$F$285,MATCH($C102,'07. BIA'!$B$6:$B$285,0))),""))</f>
      </c>
      <c r="F102" s="304"/>
      <c r="G102" s="303"/>
      <c r="H102" s="306"/>
      <c r="I102" s="52"/>
      <c r="J102" s="19"/>
      <c r="K102" s="301"/>
      <c r="L102" s="19"/>
      <c r="M102" s="157"/>
    </row>
    <row r="103" spans="1:13" ht="15" customHeight="1" x14ac:dyDescent="0.35">
      <c r="A103" s="156">
        <v>99</v>
      </c>
      <c r="B103" s="67">
        <f t="shared" si="3"/>
      </c>
      <c r="C103" s="301"/>
      <c r="D103" s="68">
        <f>IF($C103="","",IFERROR(IF(INDEX('07. BIA'!$E$6:$E$285,MATCH($C103,'07. BIA'!$B$6:$B$285,0))="","",INDEX('07. BIA'!$E$6:$E$285,MATCH($C103,'07. BIA'!$B$6:$B$285,0))),""))</f>
      </c>
      <c r="E103" s="68">
        <f>IF($C103="","",IFERROR(IF(INDEX('07. BIA'!$F$6:$F$285,MATCH($C103,'07. BIA'!$B$6:$B$285,0))="","",INDEX('07. BIA'!$F$6:$F$285,MATCH($C103,'07. BIA'!$B$6:$B$285,0))),""))</f>
      </c>
      <c r="F103" s="304"/>
      <c r="G103" s="303"/>
      <c r="H103" s="306"/>
      <c r="I103" s="52"/>
      <c r="J103" s="19"/>
      <c r="K103" s="301"/>
      <c r="L103" s="19"/>
      <c r="M103" s="157"/>
    </row>
    <row r="104" spans="1:13" ht="15" customHeight="1" x14ac:dyDescent="0.35">
      <c r="A104" s="156">
        <v>100</v>
      </c>
      <c r="B104" s="67">
        <f t="shared" si="3"/>
      </c>
      <c r="C104" s="301"/>
      <c r="D104" s="68">
        <f>IF($C104="","",IFERROR(IF(INDEX('07. BIA'!$E$6:$E$285,MATCH($C104,'07. BIA'!$B$6:$B$285,0))="","",INDEX('07. BIA'!$E$6:$E$285,MATCH($C104,'07. BIA'!$B$6:$B$285,0))),""))</f>
      </c>
      <c r="E104" s="68">
        <f>IF($C104="","",IFERROR(IF(INDEX('07. BIA'!$F$6:$F$285,MATCH($C104,'07. BIA'!$B$6:$B$285,0))="","",INDEX('07. BIA'!$F$6:$F$285,MATCH($C104,'07. BIA'!$B$6:$B$285,0))),""))</f>
      </c>
      <c r="F104" s="304"/>
      <c r="G104" s="303"/>
      <c r="H104" s="306"/>
      <c r="I104" s="52"/>
      <c r="J104" s="19"/>
      <c r="K104" s="301"/>
      <c r="L104" s="19"/>
      <c r="M104" s="157"/>
    </row>
    <row r="105" spans="1:13" ht="15" customHeight="1" x14ac:dyDescent="0.35">
      <c r="A105" s="156">
        <v>101</v>
      </c>
      <c r="B105" s="67">
        <f t="shared" si="3"/>
      </c>
      <c r="C105" s="301"/>
      <c r="D105" s="68">
        <f>IF($C105="","",IFERROR(IF(INDEX('07. BIA'!$E$6:$E$285,MATCH($C105,'07. BIA'!$B$6:$B$285,0))="","",INDEX('07. BIA'!$E$6:$E$285,MATCH($C105,'07. BIA'!$B$6:$B$285,0))),""))</f>
      </c>
      <c r="E105" s="68">
        <f>IF($C105="","",IFERROR(IF(INDEX('07. BIA'!$F$6:$F$285,MATCH($C105,'07. BIA'!$B$6:$B$285,0))="","",INDEX('07. BIA'!$F$6:$F$285,MATCH($C105,'07. BIA'!$B$6:$B$285,0))),""))</f>
      </c>
      <c r="F105" s="304"/>
      <c r="G105" s="303"/>
      <c r="H105" s="306"/>
      <c r="I105" s="52"/>
      <c r="J105" s="19"/>
      <c r="K105" s="301"/>
      <c r="L105" s="19"/>
      <c r="M105" s="157"/>
    </row>
    <row r="106" spans="1:13" ht="15" customHeight="1" x14ac:dyDescent="0.35">
      <c r="A106" s="156">
        <v>102</v>
      </c>
      <c r="B106" s="67">
        <f t="shared" si="3"/>
      </c>
      <c r="C106" s="301"/>
      <c r="D106" s="68">
        <f>IF($C106="","",IFERROR(IF(INDEX('07. BIA'!$E$6:$E$285,MATCH($C106,'07. BIA'!$B$6:$B$285,0))="","",INDEX('07. BIA'!$E$6:$E$285,MATCH($C106,'07. BIA'!$B$6:$B$285,0))),""))</f>
      </c>
      <c r="E106" s="68">
        <f>IF($C106="","",IFERROR(IF(INDEX('07. BIA'!$F$6:$F$285,MATCH($C106,'07. BIA'!$B$6:$B$285,0))="","",INDEX('07. BIA'!$F$6:$F$285,MATCH($C106,'07. BIA'!$B$6:$B$285,0))),""))</f>
      </c>
      <c r="F106" s="304"/>
      <c r="G106" s="303"/>
      <c r="H106" s="306"/>
      <c r="I106" s="52"/>
      <c r="J106" s="19"/>
      <c r="K106" s="301"/>
      <c r="L106" s="19"/>
      <c r="M106" s="157"/>
    </row>
    <row r="107" spans="1:13" ht="15" customHeight="1" x14ac:dyDescent="0.35">
      <c r="A107" s="156">
        <v>103</v>
      </c>
      <c r="B107" s="67">
        <f t="shared" si="3"/>
      </c>
      <c r="C107" s="301"/>
      <c r="D107" s="68">
        <f>IF($C107="","",IFERROR(IF(INDEX('07. BIA'!$E$6:$E$285,MATCH($C107,'07. BIA'!$B$6:$B$285,0))="","",INDEX('07. BIA'!$E$6:$E$285,MATCH($C107,'07. BIA'!$B$6:$B$285,0))),""))</f>
      </c>
      <c r="E107" s="68">
        <f>IF($C107="","",IFERROR(IF(INDEX('07. BIA'!$F$6:$F$285,MATCH($C107,'07. BIA'!$B$6:$B$285,0))="","",INDEX('07. BIA'!$F$6:$F$285,MATCH($C107,'07. BIA'!$B$6:$B$285,0))),""))</f>
      </c>
      <c r="F107" s="304"/>
      <c r="G107" s="303"/>
      <c r="H107" s="306"/>
      <c r="I107" s="52"/>
      <c r="J107" s="19"/>
      <c r="K107" s="301"/>
      <c r="L107" s="19"/>
      <c r="M107" s="157"/>
    </row>
    <row r="108" spans="1:13" ht="15" customHeight="1" x14ac:dyDescent="0.35">
      <c r="A108" s="156">
        <v>104</v>
      </c>
      <c r="B108" s="67">
        <f t="shared" si="3"/>
      </c>
      <c r="C108" s="301"/>
      <c r="D108" s="68">
        <f>IF($C108="","",IFERROR(IF(INDEX('07. BIA'!$E$6:$E$285,MATCH($C108,'07. BIA'!$B$6:$B$285,0))="","",INDEX('07. BIA'!$E$6:$E$285,MATCH($C108,'07. BIA'!$B$6:$B$285,0))),""))</f>
      </c>
      <c r="E108" s="68">
        <f>IF($C108="","",IFERROR(IF(INDEX('07. BIA'!$F$6:$F$285,MATCH($C108,'07. BIA'!$B$6:$B$285,0))="","",INDEX('07. BIA'!$F$6:$F$285,MATCH($C108,'07. BIA'!$B$6:$B$285,0))),""))</f>
      </c>
      <c r="F108" s="304"/>
      <c r="G108" s="303"/>
      <c r="H108" s="306"/>
      <c r="I108" s="52"/>
      <c r="J108" s="19"/>
      <c r="K108" s="301"/>
      <c r="L108" s="19"/>
      <c r="M108" s="157"/>
    </row>
    <row r="109" spans="1:13" ht="15" customHeight="1" x14ac:dyDescent="0.35">
      <c r="A109" s="156">
        <v>105</v>
      </c>
      <c r="B109" s="67">
        <f t="shared" si="3"/>
      </c>
      <c r="C109" s="301"/>
      <c r="D109" s="68">
        <f>IF($C109="","",IFERROR(IF(INDEX('07. BIA'!$E$6:$E$285,MATCH($C109,'07. BIA'!$B$6:$B$285,0))="","",INDEX('07. BIA'!$E$6:$E$285,MATCH($C109,'07. BIA'!$B$6:$B$285,0))),""))</f>
      </c>
      <c r="E109" s="68">
        <f>IF($C109="","",IFERROR(IF(INDEX('07. BIA'!$F$6:$F$285,MATCH($C109,'07. BIA'!$B$6:$B$285,0))="","",INDEX('07. BIA'!$F$6:$F$285,MATCH($C109,'07. BIA'!$B$6:$B$285,0))),""))</f>
      </c>
      <c r="F109" s="304"/>
      <c r="G109" s="303"/>
      <c r="H109" s="306"/>
      <c r="I109" s="52"/>
      <c r="J109" s="19"/>
      <c r="K109" s="301"/>
      <c r="L109" s="19"/>
      <c r="M109" s="157"/>
    </row>
    <row r="110" spans="1:13" ht="15" customHeight="1" x14ac:dyDescent="0.35">
      <c r="A110" s="156">
        <v>106</v>
      </c>
      <c r="B110" s="67">
        <f t="shared" si="3"/>
      </c>
      <c r="C110" s="301"/>
      <c r="D110" s="68">
        <f>IF($C110="","",IFERROR(IF(INDEX('07. BIA'!$E$6:$E$285,MATCH($C110,'07. BIA'!$B$6:$B$285,0))="","",INDEX('07. BIA'!$E$6:$E$285,MATCH($C110,'07. BIA'!$B$6:$B$285,0))),""))</f>
      </c>
      <c r="E110" s="68">
        <f>IF($C110="","",IFERROR(IF(INDEX('07. BIA'!$F$6:$F$285,MATCH($C110,'07. BIA'!$B$6:$B$285,0))="","",INDEX('07. BIA'!$F$6:$F$285,MATCH($C110,'07. BIA'!$B$6:$B$285,0))),""))</f>
      </c>
      <c r="F110" s="304"/>
      <c r="G110" s="303"/>
      <c r="H110" s="306"/>
      <c r="I110" s="52"/>
      <c r="J110" s="19"/>
      <c r="K110" s="301"/>
      <c r="L110" s="19"/>
      <c r="M110" s="157"/>
    </row>
    <row r="111" spans="1:13" ht="15" customHeight="1" x14ac:dyDescent="0.35">
      <c r="A111" s="156">
        <v>107</v>
      </c>
      <c r="B111" s="67">
        <f t="shared" si="3"/>
      </c>
      <c r="C111" s="301"/>
      <c r="D111" s="68">
        <f>IF($C111="","",IFERROR(IF(INDEX('07. BIA'!$E$6:$E$285,MATCH($C111,'07. BIA'!$B$6:$B$285,0))="","",INDEX('07. BIA'!$E$6:$E$285,MATCH($C111,'07. BIA'!$B$6:$B$285,0))),""))</f>
      </c>
      <c r="E111" s="68">
        <f>IF($C111="","",IFERROR(IF(INDEX('07. BIA'!$F$6:$F$285,MATCH($C111,'07. BIA'!$B$6:$B$285,0))="","",INDEX('07. BIA'!$F$6:$F$285,MATCH($C111,'07. BIA'!$B$6:$B$285,0))),""))</f>
      </c>
      <c r="F111" s="304"/>
      <c r="G111" s="303"/>
      <c r="H111" s="306"/>
      <c r="I111" s="52"/>
      <c r="J111" s="19"/>
      <c r="K111" s="301"/>
      <c r="L111" s="19"/>
      <c r="M111" s="157"/>
    </row>
    <row r="112" spans="1:13" ht="15" customHeight="1" x14ac:dyDescent="0.35">
      <c r="A112" s="156">
        <v>108</v>
      </c>
      <c r="B112" s="67">
        <f t="shared" si="3"/>
      </c>
      <c r="C112" s="301"/>
      <c r="D112" s="68">
        <f>IF($C112="","",IFERROR(IF(INDEX('07. BIA'!$E$6:$E$285,MATCH($C112,'07. BIA'!$B$6:$B$285,0))="","",INDEX('07. BIA'!$E$6:$E$285,MATCH($C112,'07. BIA'!$B$6:$B$285,0))),""))</f>
      </c>
      <c r="E112" s="68">
        <f>IF($C112="","",IFERROR(IF(INDEX('07. BIA'!$F$6:$F$285,MATCH($C112,'07. BIA'!$B$6:$B$285,0))="","",INDEX('07. BIA'!$F$6:$F$285,MATCH($C112,'07. BIA'!$B$6:$B$285,0))),""))</f>
      </c>
      <c r="F112" s="304"/>
      <c r="G112" s="303"/>
      <c r="H112" s="306"/>
      <c r="I112" s="52"/>
      <c r="J112" s="19"/>
      <c r="K112" s="301"/>
      <c r="L112" s="19"/>
      <c r="M112" s="157"/>
    </row>
    <row r="113" spans="1:13" ht="15" customHeight="1" x14ac:dyDescent="0.35">
      <c r="A113" s="156">
        <v>109</v>
      </c>
      <c r="B113" s="67">
        <f t="shared" si="3"/>
      </c>
      <c r="C113" s="301"/>
      <c r="D113" s="68">
        <f>IF($C113="","",IFERROR(IF(INDEX('07. BIA'!$E$6:$E$285,MATCH($C113,'07. BIA'!$B$6:$B$285,0))="","",INDEX('07. BIA'!$E$6:$E$285,MATCH($C113,'07. BIA'!$B$6:$B$285,0))),""))</f>
      </c>
      <c r="E113" s="68">
        <f>IF($C113="","",IFERROR(IF(INDEX('07. BIA'!$F$6:$F$285,MATCH($C113,'07. BIA'!$B$6:$B$285,0))="","",INDEX('07. BIA'!$F$6:$F$285,MATCH($C113,'07. BIA'!$B$6:$B$285,0))),""))</f>
      </c>
      <c r="F113" s="304"/>
      <c r="G113" s="303"/>
      <c r="H113" s="306"/>
      <c r="I113" s="52"/>
      <c r="J113" s="19"/>
      <c r="K113" s="301"/>
      <c r="L113" s="19"/>
      <c r="M113" s="157"/>
    </row>
    <row r="114" spans="1:13" ht="15" customHeight="1" x14ac:dyDescent="0.35">
      <c r="A114" s="156">
        <v>110</v>
      </c>
      <c r="B114" s="67">
        <f t="shared" si="3"/>
      </c>
      <c r="C114" s="301"/>
      <c r="D114" s="68">
        <f>IF($C114="","",IFERROR(IF(INDEX('07. BIA'!$E$6:$E$285,MATCH($C114,'07. BIA'!$B$6:$B$285,0))="","",INDEX('07. BIA'!$E$6:$E$285,MATCH($C114,'07. BIA'!$B$6:$B$285,0))),""))</f>
      </c>
      <c r="E114" s="68">
        <f>IF($C114="","",IFERROR(IF(INDEX('07. BIA'!$F$6:$F$285,MATCH($C114,'07. BIA'!$B$6:$B$285,0))="","",INDEX('07. BIA'!$F$6:$F$285,MATCH($C114,'07. BIA'!$B$6:$B$285,0))),""))</f>
      </c>
      <c r="F114" s="304"/>
      <c r="G114" s="303"/>
      <c r="H114" s="306"/>
      <c r="I114" s="52"/>
      <c r="J114" s="19"/>
      <c r="K114" s="301"/>
      <c r="L114" s="19"/>
      <c r="M114" s="157"/>
    </row>
    <row r="115" spans="1:13" ht="15" customHeight="1" x14ac:dyDescent="0.35">
      <c r="A115" s="156">
        <v>111</v>
      </c>
      <c r="B115" s="67">
        <f t="shared" si="3"/>
      </c>
      <c r="C115" s="301"/>
      <c r="D115" s="68">
        <f>IF($C115="","",IFERROR(IF(INDEX('07. BIA'!$E$6:$E$285,MATCH($C115,'07. BIA'!$B$6:$B$285,0))="","",INDEX('07. BIA'!$E$6:$E$285,MATCH($C115,'07. BIA'!$B$6:$B$285,0))),""))</f>
      </c>
      <c r="E115" s="68">
        <f>IF($C115="","",IFERROR(IF(INDEX('07. BIA'!$F$6:$F$285,MATCH($C115,'07. BIA'!$B$6:$B$285,0))="","",INDEX('07. BIA'!$F$6:$F$285,MATCH($C115,'07. BIA'!$B$6:$B$285,0))),""))</f>
      </c>
      <c r="F115" s="304"/>
      <c r="G115" s="303"/>
      <c r="H115" s="306"/>
      <c r="I115" s="52"/>
      <c r="J115" s="19"/>
      <c r="K115" s="301"/>
      <c r="L115" s="19"/>
      <c r="M115" s="157"/>
    </row>
    <row r="116" spans="1:13" ht="15" customHeight="1" x14ac:dyDescent="0.35">
      <c r="A116" s="156">
        <v>112</v>
      </c>
      <c r="B116" s="67">
        <f t="shared" si="3"/>
      </c>
      <c r="C116" s="301"/>
      <c r="D116" s="68">
        <f>IF($C116="","",IFERROR(IF(INDEX('07. BIA'!$E$6:$E$285,MATCH($C116,'07. BIA'!$B$6:$B$285,0))="","",INDEX('07. BIA'!$E$6:$E$285,MATCH($C116,'07. BIA'!$B$6:$B$285,0))),""))</f>
      </c>
      <c r="E116" s="68">
        <f>IF($C116="","",IFERROR(IF(INDEX('07. BIA'!$F$6:$F$285,MATCH($C116,'07. BIA'!$B$6:$B$285,0))="","",INDEX('07. BIA'!$F$6:$F$285,MATCH($C116,'07. BIA'!$B$6:$B$285,0))),""))</f>
      </c>
      <c r="F116" s="304"/>
      <c r="G116" s="303"/>
      <c r="H116" s="306"/>
      <c r="I116" s="52"/>
      <c r="J116" s="19"/>
      <c r="K116" s="301"/>
      <c r="L116" s="19"/>
      <c r="M116" s="157"/>
    </row>
    <row r="117" spans="1:13" ht="15" customHeight="1" x14ac:dyDescent="0.35">
      <c r="A117" s="156">
        <v>113</v>
      </c>
      <c r="B117" s="67">
        <f t="shared" si="3"/>
      </c>
      <c r="C117" s="301"/>
      <c r="D117" s="68">
        <f>IF($C117="","",IFERROR(IF(INDEX('07. BIA'!$E$6:$E$285,MATCH($C117,'07. BIA'!$B$6:$B$285,0))="","",INDEX('07. BIA'!$E$6:$E$285,MATCH($C117,'07. BIA'!$B$6:$B$285,0))),""))</f>
      </c>
      <c r="E117" s="68">
        <f>IF($C117="","",IFERROR(IF(INDEX('07. BIA'!$F$6:$F$285,MATCH($C117,'07. BIA'!$B$6:$B$285,0))="","",INDEX('07. BIA'!$F$6:$F$285,MATCH($C117,'07. BIA'!$B$6:$B$285,0))),""))</f>
      </c>
      <c r="F117" s="304"/>
      <c r="G117" s="303"/>
      <c r="H117" s="306"/>
      <c r="I117" s="52"/>
      <c r="J117" s="19"/>
      <c r="K117" s="301"/>
      <c r="L117" s="19"/>
      <c r="M117" s="157"/>
    </row>
    <row r="118" spans="1:13" ht="15" customHeight="1" x14ac:dyDescent="0.35">
      <c r="A118" s="156">
        <v>114</v>
      </c>
      <c r="B118" s="67">
        <f t="shared" si="3"/>
      </c>
      <c r="C118" s="301"/>
      <c r="D118" s="68">
        <f>IF($C118="","",IFERROR(IF(INDEX('07. BIA'!$E$6:$E$285,MATCH($C118,'07. BIA'!$B$6:$B$285,0))="","",INDEX('07. BIA'!$E$6:$E$285,MATCH($C118,'07. BIA'!$B$6:$B$285,0))),""))</f>
      </c>
      <c r="E118" s="68">
        <f>IF($C118="","",IFERROR(IF(INDEX('07. BIA'!$F$6:$F$285,MATCH($C118,'07. BIA'!$B$6:$B$285,0))="","",INDEX('07. BIA'!$F$6:$F$285,MATCH($C118,'07. BIA'!$B$6:$B$285,0))),""))</f>
      </c>
      <c r="F118" s="304"/>
      <c r="G118" s="303"/>
      <c r="H118" s="306"/>
      <c r="I118" s="52"/>
      <c r="J118" s="19"/>
      <c r="K118" s="301"/>
      <c r="L118" s="19"/>
      <c r="M118" s="157"/>
    </row>
    <row r="119" spans="1:13" ht="15" customHeight="1" x14ac:dyDescent="0.35">
      <c r="A119" s="156">
        <v>115</v>
      </c>
      <c r="B119" s="67">
        <f t="shared" si="3"/>
      </c>
      <c r="C119" s="301"/>
      <c r="D119" s="68">
        <f>IF($C119="","",IFERROR(IF(INDEX('07. BIA'!$E$6:$E$285,MATCH($C119,'07. BIA'!$B$6:$B$285,0))="","",INDEX('07. BIA'!$E$6:$E$285,MATCH($C119,'07. BIA'!$B$6:$B$285,0))),""))</f>
      </c>
      <c r="E119" s="68">
        <f>IF($C119="","",IFERROR(IF(INDEX('07. BIA'!$F$6:$F$285,MATCH($C119,'07. BIA'!$B$6:$B$285,0))="","",INDEX('07. BIA'!$F$6:$F$285,MATCH($C119,'07. BIA'!$B$6:$B$285,0))),""))</f>
      </c>
      <c r="F119" s="304"/>
      <c r="G119" s="303"/>
      <c r="H119" s="306"/>
      <c r="I119" s="52"/>
      <c r="J119" s="19"/>
      <c r="K119" s="301"/>
      <c r="L119" s="19"/>
      <c r="M119" s="157"/>
    </row>
    <row r="120" spans="1:13" ht="15" customHeight="1" x14ac:dyDescent="0.35">
      <c r="A120" s="156">
        <v>116</v>
      </c>
      <c r="B120" s="67">
        <f t="shared" si="3"/>
      </c>
      <c r="C120" s="301"/>
      <c r="D120" s="68">
        <f>IF($C120="","",IFERROR(IF(INDEX('07. BIA'!$E$6:$E$285,MATCH($C120,'07. BIA'!$B$6:$B$285,0))="","",INDEX('07. BIA'!$E$6:$E$285,MATCH($C120,'07. BIA'!$B$6:$B$285,0))),""))</f>
      </c>
      <c r="E120" s="68">
        <f>IF($C120="","",IFERROR(IF(INDEX('07. BIA'!$F$6:$F$285,MATCH($C120,'07. BIA'!$B$6:$B$285,0))="","",INDEX('07. BIA'!$F$6:$F$285,MATCH($C120,'07. BIA'!$B$6:$B$285,0))),""))</f>
      </c>
      <c r="F120" s="304"/>
      <c r="G120" s="303"/>
      <c r="H120" s="306"/>
      <c r="I120" s="52"/>
      <c r="J120" s="19"/>
      <c r="K120" s="301"/>
      <c r="L120" s="19"/>
      <c r="M120" s="157"/>
    </row>
    <row r="121" spans="1:13" ht="15" customHeight="1" x14ac:dyDescent="0.35">
      <c r="A121" s="156">
        <v>117</v>
      </c>
      <c r="B121" s="67">
        <f t="shared" si="3"/>
      </c>
      <c r="C121" s="301"/>
      <c r="D121" s="68">
        <f>IF($C121="","",IFERROR(IF(INDEX('07. BIA'!$E$6:$E$285,MATCH($C121,'07. BIA'!$B$6:$B$285,0))="","",INDEX('07. BIA'!$E$6:$E$285,MATCH($C121,'07. BIA'!$B$6:$B$285,0))),""))</f>
      </c>
      <c r="E121" s="68">
        <f>IF($C121="","",IFERROR(IF(INDEX('07. BIA'!$F$6:$F$285,MATCH($C121,'07. BIA'!$B$6:$B$285,0))="","",INDEX('07. BIA'!$F$6:$F$285,MATCH($C121,'07. BIA'!$B$6:$B$285,0))),""))</f>
      </c>
      <c r="F121" s="304"/>
      <c r="G121" s="303"/>
      <c r="H121" s="306"/>
      <c r="I121" s="52"/>
      <c r="J121" s="19"/>
      <c r="K121" s="301"/>
      <c r="L121" s="19"/>
      <c r="M121" s="157"/>
    </row>
    <row r="122" spans="1:13" ht="15" customHeight="1" x14ac:dyDescent="0.35">
      <c r="A122" s="156">
        <v>118</v>
      </c>
      <c r="B122" s="67">
        <f t="shared" si="3"/>
      </c>
      <c r="C122" s="301"/>
      <c r="D122" s="68">
        <f>IF($C122="","",IFERROR(IF(INDEX('07. BIA'!$E$6:$E$285,MATCH($C122,'07. BIA'!$B$6:$B$285,0))="","",INDEX('07. BIA'!$E$6:$E$285,MATCH($C122,'07. BIA'!$B$6:$B$285,0))),""))</f>
      </c>
      <c r="E122" s="68">
        <f>IF($C122="","",IFERROR(IF(INDEX('07. BIA'!$F$6:$F$285,MATCH($C122,'07. BIA'!$B$6:$B$285,0))="","",INDEX('07. BIA'!$F$6:$F$285,MATCH($C122,'07. BIA'!$B$6:$B$285,0))),""))</f>
      </c>
      <c r="F122" s="304"/>
      <c r="G122" s="303"/>
      <c r="H122" s="306"/>
      <c r="I122" s="52"/>
      <c r="J122" s="19"/>
      <c r="K122" s="301"/>
      <c r="L122" s="19"/>
      <c r="M122" s="157"/>
    </row>
    <row r="123" spans="1:13" ht="15" customHeight="1" x14ac:dyDescent="0.35">
      <c r="A123" s="156">
        <v>119</v>
      </c>
      <c r="B123" s="67">
        <f t="shared" si="3"/>
      </c>
      <c r="C123" s="301"/>
      <c r="D123" s="68">
        <f>IF($C123="","",IFERROR(IF(INDEX('07. BIA'!$E$6:$E$285,MATCH($C123,'07. BIA'!$B$6:$B$285,0))="","",INDEX('07. BIA'!$E$6:$E$285,MATCH($C123,'07. BIA'!$B$6:$B$285,0))),""))</f>
      </c>
      <c r="E123" s="68">
        <f>IF($C123="","",IFERROR(IF(INDEX('07. BIA'!$F$6:$F$285,MATCH($C123,'07. BIA'!$B$6:$B$285,0))="","",INDEX('07. BIA'!$F$6:$F$285,MATCH($C123,'07. BIA'!$B$6:$B$285,0))),""))</f>
      </c>
      <c r="F123" s="304"/>
      <c r="G123" s="303"/>
      <c r="H123" s="306"/>
      <c r="I123" s="52"/>
      <c r="J123" s="19"/>
      <c r="K123" s="301"/>
      <c r="L123" s="19"/>
      <c r="M123" s="157"/>
    </row>
    <row r="124" spans="1:13" ht="15" customHeight="1" x14ac:dyDescent="0.35">
      <c r="A124" s="156">
        <v>120</v>
      </c>
      <c r="B124" s="67">
        <f t="shared" si="3"/>
      </c>
      <c r="C124" s="301"/>
      <c r="D124" s="68">
        <f>IF($C124="","",IFERROR(IF(INDEX('07. BIA'!$E$6:$E$285,MATCH($C124,'07. BIA'!$B$6:$B$285,0))="","",INDEX('07. BIA'!$E$6:$E$285,MATCH($C124,'07. BIA'!$B$6:$B$285,0))),""))</f>
      </c>
      <c r="E124" s="68">
        <f>IF($C124="","",IFERROR(IF(INDEX('07. BIA'!$F$6:$F$285,MATCH($C124,'07. BIA'!$B$6:$B$285,0))="","",INDEX('07. BIA'!$F$6:$F$285,MATCH($C124,'07. BIA'!$B$6:$B$285,0))),""))</f>
      </c>
      <c r="F124" s="304"/>
      <c r="G124" s="303"/>
      <c r="H124" s="306"/>
      <c r="I124" s="52"/>
      <c r="J124" s="19"/>
      <c r="K124" s="301"/>
      <c r="L124" s="19"/>
      <c r="M124" s="157"/>
    </row>
    <row r="125" spans="1:13" ht="15" customHeight="1" x14ac:dyDescent="0.35">
      <c r="A125" s="156">
        <v>121</v>
      </c>
      <c r="B125" s="67">
        <f t="shared" si="3"/>
      </c>
      <c r="C125" s="301"/>
      <c r="D125" s="68">
        <f>IF($C125="","",IFERROR(IF(INDEX('07. BIA'!$E$6:$E$285,MATCH($C125,'07. BIA'!$B$6:$B$285,0))="","",INDEX('07. BIA'!$E$6:$E$285,MATCH($C125,'07. BIA'!$B$6:$B$285,0))),""))</f>
      </c>
      <c r="E125" s="68">
        <f>IF($C125="","",IFERROR(IF(INDEX('07. BIA'!$F$6:$F$285,MATCH($C125,'07. BIA'!$B$6:$B$285,0))="","",INDEX('07. BIA'!$F$6:$F$285,MATCH($C125,'07. BIA'!$B$6:$B$285,0))),""))</f>
      </c>
      <c r="F125" s="304"/>
      <c r="G125" s="303"/>
      <c r="H125" s="306"/>
      <c r="I125" s="52"/>
      <c r="J125" s="19"/>
      <c r="K125" s="301"/>
      <c r="L125" s="19"/>
      <c r="M125" s="157"/>
    </row>
    <row r="126" spans="1:13" ht="15" customHeight="1" x14ac:dyDescent="0.35">
      <c r="A126" s="156">
        <v>122</v>
      </c>
      <c r="B126" s="67">
        <f t="shared" si="3"/>
      </c>
      <c r="C126" s="301"/>
      <c r="D126" s="68">
        <f>IF($C126="","",IFERROR(IF(INDEX('07. BIA'!$E$6:$E$285,MATCH($C126,'07. BIA'!$B$6:$B$285,0))="","",INDEX('07. BIA'!$E$6:$E$285,MATCH($C126,'07. BIA'!$B$6:$B$285,0))),""))</f>
      </c>
      <c r="E126" s="68">
        <f>IF($C126="","",IFERROR(IF(INDEX('07. BIA'!$F$6:$F$285,MATCH($C126,'07. BIA'!$B$6:$B$285,0))="","",INDEX('07. BIA'!$F$6:$F$285,MATCH($C126,'07. BIA'!$B$6:$B$285,0))),""))</f>
      </c>
      <c r="F126" s="304"/>
      <c r="G126" s="303"/>
      <c r="H126" s="306"/>
      <c r="I126" s="52"/>
      <c r="J126" s="19"/>
      <c r="K126" s="301"/>
      <c r="L126" s="19"/>
      <c r="M126" s="157"/>
    </row>
    <row r="127" spans="1:13" ht="15" customHeight="1" x14ac:dyDescent="0.35">
      <c r="A127" s="156">
        <v>123</v>
      </c>
      <c r="B127" s="67">
        <f t="shared" si="3"/>
      </c>
      <c r="C127" s="301"/>
      <c r="D127" s="68">
        <f>IF($C127="","",IFERROR(IF(INDEX('07. BIA'!$E$6:$E$285,MATCH($C127,'07. BIA'!$B$6:$B$285,0))="","",INDEX('07. BIA'!$E$6:$E$285,MATCH($C127,'07. BIA'!$B$6:$B$285,0))),""))</f>
      </c>
      <c r="E127" s="68">
        <f>IF($C127="","",IFERROR(IF(INDEX('07. BIA'!$F$6:$F$285,MATCH($C127,'07. BIA'!$B$6:$B$285,0))="","",INDEX('07. BIA'!$F$6:$F$285,MATCH($C127,'07. BIA'!$B$6:$B$285,0))),""))</f>
      </c>
      <c r="F127" s="304"/>
      <c r="G127" s="303"/>
      <c r="H127" s="306"/>
      <c r="I127" s="52"/>
      <c r="J127" s="19"/>
      <c r="K127" s="301"/>
      <c r="L127" s="19"/>
      <c r="M127" s="157"/>
    </row>
    <row r="128" spans="1:13" ht="15" customHeight="1" x14ac:dyDescent="0.35">
      <c r="A128" s="156">
        <v>124</v>
      </c>
      <c r="B128" s="67">
        <f t="shared" si="3"/>
      </c>
      <c r="C128" s="301"/>
      <c r="D128" s="68">
        <f>IF($C128="","",IFERROR(IF(INDEX('07. BIA'!$E$6:$E$285,MATCH($C128,'07. BIA'!$B$6:$B$285,0))="","",INDEX('07. BIA'!$E$6:$E$285,MATCH($C128,'07. BIA'!$B$6:$B$285,0))),""))</f>
      </c>
      <c r="E128" s="68">
        <f>IF($C128="","",IFERROR(IF(INDEX('07. BIA'!$F$6:$F$285,MATCH($C128,'07. BIA'!$B$6:$B$285,0))="","",INDEX('07. BIA'!$F$6:$F$285,MATCH($C128,'07. BIA'!$B$6:$B$285,0))),""))</f>
      </c>
      <c r="F128" s="304"/>
      <c r="G128" s="303"/>
      <c r="H128" s="306"/>
      <c r="I128" s="52"/>
      <c r="J128" s="19"/>
      <c r="K128" s="301"/>
      <c r="L128" s="19"/>
      <c r="M128" s="157"/>
    </row>
    <row r="129" spans="1:13" ht="15" customHeight="1" x14ac:dyDescent="0.35">
      <c r="A129" s="156">
        <v>125</v>
      </c>
      <c r="B129" s="67">
        <f t="shared" si="3"/>
      </c>
      <c r="C129" s="301"/>
      <c r="D129" s="68">
        <f>IF($C129="","",IFERROR(IF(INDEX('07. BIA'!$E$6:$E$285,MATCH($C129,'07. BIA'!$B$6:$B$285,0))="","",INDEX('07. BIA'!$E$6:$E$285,MATCH($C129,'07. BIA'!$B$6:$B$285,0))),""))</f>
      </c>
      <c r="E129" s="68">
        <f>IF($C129="","",IFERROR(IF(INDEX('07. BIA'!$F$6:$F$285,MATCH($C129,'07. BIA'!$B$6:$B$285,0))="","",INDEX('07. BIA'!$F$6:$F$285,MATCH($C129,'07. BIA'!$B$6:$B$285,0))),""))</f>
      </c>
      <c r="F129" s="304"/>
      <c r="G129" s="303"/>
      <c r="H129" s="306"/>
      <c r="I129" s="52"/>
      <c r="J129" s="19"/>
      <c r="K129" s="301"/>
      <c r="L129" s="19"/>
      <c r="M129" s="157"/>
    </row>
    <row r="130" spans="1:13" ht="15" customHeight="1" x14ac:dyDescent="0.35">
      <c r="A130" s="156">
        <v>126</v>
      </c>
      <c r="B130" s="67">
        <f t="shared" si="3"/>
      </c>
      <c r="C130" s="301"/>
      <c r="D130" s="68">
        <f>IF($C130="","",IFERROR(IF(INDEX('07. BIA'!$E$6:$E$285,MATCH($C130,'07. BIA'!$B$6:$B$285,0))="","",INDEX('07. BIA'!$E$6:$E$285,MATCH($C130,'07. BIA'!$B$6:$B$285,0))),""))</f>
      </c>
      <c r="E130" s="68">
        <f>IF($C130="","",IFERROR(IF(INDEX('07. BIA'!$F$6:$F$285,MATCH($C130,'07. BIA'!$B$6:$B$285,0))="","",INDEX('07. BIA'!$F$6:$F$285,MATCH($C130,'07. BIA'!$B$6:$B$285,0))),""))</f>
      </c>
      <c r="F130" s="304"/>
      <c r="G130" s="303"/>
      <c r="H130" s="306"/>
      <c r="I130" s="52"/>
      <c r="J130" s="19"/>
      <c r="K130" s="301"/>
      <c r="L130" s="19"/>
      <c r="M130" s="157"/>
    </row>
    <row r="131" spans="1:13" ht="15" customHeight="1" x14ac:dyDescent="0.35">
      <c r="A131" s="156">
        <v>127</v>
      </c>
      <c r="B131" s="67">
        <f t="shared" si="3"/>
      </c>
      <c r="C131" s="301"/>
      <c r="D131" s="68">
        <f>IF($C131="","",IFERROR(IF(INDEX('07. BIA'!$E$6:$E$285,MATCH($C131,'07. BIA'!$B$6:$B$285,0))="","",INDEX('07. BIA'!$E$6:$E$285,MATCH($C131,'07. BIA'!$B$6:$B$285,0))),""))</f>
      </c>
      <c r="E131" s="68">
        <f>IF($C131="","",IFERROR(IF(INDEX('07. BIA'!$F$6:$F$285,MATCH($C131,'07. BIA'!$B$6:$B$285,0))="","",INDEX('07. BIA'!$F$6:$F$285,MATCH($C131,'07. BIA'!$B$6:$B$285,0))),""))</f>
      </c>
      <c r="F131" s="304"/>
      <c r="G131" s="303"/>
      <c r="H131" s="306"/>
      <c r="I131" s="52"/>
      <c r="J131" s="19"/>
      <c r="K131" s="301"/>
      <c r="L131" s="19"/>
      <c r="M131" s="157"/>
    </row>
    <row r="132" spans="1:13" ht="15" customHeight="1" x14ac:dyDescent="0.35">
      <c r="A132" s="156">
        <v>128</v>
      </c>
      <c r="B132" s="67">
        <f t="shared" si="3"/>
      </c>
      <c r="C132" s="301"/>
      <c r="D132" s="68">
        <f>IF($C132="","",IFERROR(IF(INDEX('07. BIA'!$E$6:$E$285,MATCH($C132,'07. BIA'!$B$6:$B$285,0))="","",INDEX('07. BIA'!$E$6:$E$285,MATCH($C132,'07. BIA'!$B$6:$B$285,0))),""))</f>
      </c>
      <c r="E132" s="68">
        <f>IF($C132="","",IFERROR(IF(INDEX('07. BIA'!$F$6:$F$285,MATCH($C132,'07. BIA'!$B$6:$B$285,0))="","",INDEX('07. BIA'!$F$6:$F$285,MATCH($C132,'07. BIA'!$B$6:$B$285,0))),""))</f>
      </c>
      <c r="F132" s="304"/>
      <c r="G132" s="303"/>
      <c r="H132" s="306"/>
      <c r="I132" s="52"/>
      <c r="J132" s="19"/>
      <c r="K132" s="301"/>
      <c r="L132" s="19"/>
      <c r="M132" s="157"/>
    </row>
    <row r="133" spans="1:13" ht="15" customHeight="1" x14ac:dyDescent="0.35">
      <c r="A133" s="156">
        <v>129</v>
      </c>
      <c r="B133" s="67">
        <f t="shared" ref="B133:B164" si="4">IF($I133="","","DEP-"&amp;TEXT($A133,"000"))</f>
      </c>
      <c r="C133" s="301"/>
      <c r="D133" s="68">
        <f>IF($C133="","",IFERROR(IF(INDEX('07. BIA'!$E$6:$E$285,MATCH($C133,'07. BIA'!$B$6:$B$285,0))="","",INDEX('07. BIA'!$E$6:$E$285,MATCH($C133,'07. BIA'!$B$6:$B$285,0))),""))</f>
      </c>
      <c r="E133" s="68">
        <f>IF($C133="","",IFERROR(IF(INDEX('07. BIA'!$F$6:$F$285,MATCH($C133,'07. BIA'!$B$6:$B$285,0))="","",INDEX('07. BIA'!$F$6:$F$285,MATCH($C133,'07. BIA'!$B$6:$B$285,0))),""))</f>
      </c>
      <c r="F133" s="304"/>
      <c r="G133" s="303"/>
      <c r="H133" s="306"/>
      <c r="I133" s="52"/>
      <c r="J133" s="19"/>
      <c r="K133" s="301"/>
      <c r="L133" s="19"/>
      <c r="M133" s="157"/>
    </row>
    <row r="134" spans="1:13" ht="15" customHeight="1" x14ac:dyDescent="0.35">
      <c r="A134" s="156">
        <v>130</v>
      </c>
      <c r="B134" s="67">
        <f t="shared" si="4"/>
      </c>
      <c r="C134" s="301"/>
      <c r="D134" s="68">
        <f>IF($C134="","",IFERROR(IF(INDEX('07. BIA'!$E$6:$E$285,MATCH($C134,'07. BIA'!$B$6:$B$285,0))="","",INDEX('07. BIA'!$E$6:$E$285,MATCH($C134,'07. BIA'!$B$6:$B$285,0))),""))</f>
      </c>
      <c r="E134" s="68">
        <f>IF($C134="","",IFERROR(IF(INDEX('07. BIA'!$F$6:$F$285,MATCH($C134,'07. BIA'!$B$6:$B$285,0))="","",INDEX('07. BIA'!$F$6:$F$285,MATCH($C134,'07. BIA'!$B$6:$B$285,0))),""))</f>
      </c>
      <c r="F134" s="304"/>
      <c r="G134" s="303"/>
      <c r="H134" s="306"/>
      <c r="I134" s="52"/>
      <c r="J134" s="19"/>
      <c r="K134" s="301"/>
      <c r="L134" s="19"/>
      <c r="M134" s="157"/>
    </row>
    <row r="135" spans="1:13" ht="15" customHeight="1" x14ac:dyDescent="0.35">
      <c r="A135" s="156">
        <v>131</v>
      </c>
      <c r="B135" s="67">
        <f t="shared" si="4"/>
      </c>
      <c r="C135" s="301"/>
      <c r="D135" s="68">
        <f>IF($C135="","",IFERROR(IF(INDEX('07. BIA'!$E$6:$E$285,MATCH($C135,'07. BIA'!$B$6:$B$285,0))="","",INDEX('07. BIA'!$E$6:$E$285,MATCH($C135,'07. BIA'!$B$6:$B$285,0))),""))</f>
      </c>
      <c r="E135" s="68">
        <f>IF($C135="","",IFERROR(IF(INDEX('07. BIA'!$F$6:$F$285,MATCH($C135,'07. BIA'!$B$6:$B$285,0))="","",INDEX('07. BIA'!$F$6:$F$285,MATCH($C135,'07. BIA'!$B$6:$B$285,0))),""))</f>
      </c>
      <c r="F135" s="304"/>
      <c r="G135" s="303"/>
      <c r="H135" s="306"/>
      <c r="I135" s="52"/>
      <c r="J135" s="19"/>
      <c r="K135" s="301"/>
      <c r="L135" s="19"/>
      <c r="M135" s="157"/>
    </row>
    <row r="136" spans="1:13" ht="15" customHeight="1" x14ac:dyDescent="0.35">
      <c r="A136" s="156">
        <v>132</v>
      </c>
      <c r="B136" s="67">
        <f t="shared" si="4"/>
      </c>
      <c r="C136" s="301"/>
      <c r="D136" s="68">
        <f>IF($C136="","",IFERROR(IF(INDEX('07. BIA'!$E$6:$E$285,MATCH($C136,'07. BIA'!$B$6:$B$285,0))="","",INDEX('07. BIA'!$E$6:$E$285,MATCH($C136,'07. BIA'!$B$6:$B$285,0))),""))</f>
      </c>
      <c r="E136" s="68">
        <f>IF($C136="","",IFERROR(IF(INDEX('07. BIA'!$F$6:$F$285,MATCH($C136,'07. BIA'!$B$6:$B$285,0))="","",INDEX('07. BIA'!$F$6:$F$285,MATCH($C136,'07. BIA'!$B$6:$B$285,0))),""))</f>
      </c>
      <c r="F136" s="304"/>
      <c r="G136" s="303"/>
      <c r="H136" s="306"/>
      <c r="I136" s="52"/>
      <c r="J136" s="19"/>
      <c r="K136" s="301"/>
      <c r="L136" s="19"/>
      <c r="M136" s="157"/>
    </row>
    <row r="137" spans="1:13" ht="15" customHeight="1" x14ac:dyDescent="0.35">
      <c r="A137" s="156">
        <v>133</v>
      </c>
      <c r="B137" s="67">
        <f t="shared" si="4"/>
      </c>
      <c r="C137" s="301"/>
      <c r="D137" s="68">
        <f>IF($C137="","",IFERROR(IF(INDEX('07. BIA'!$E$6:$E$285,MATCH($C137,'07. BIA'!$B$6:$B$285,0))="","",INDEX('07. BIA'!$E$6:$E$285,MATCH($C137,'07. BIA'!$B$6:$B$285,0))),""))</f>
      </c>
      <c r="E137" s="68">
        <f>IF($C137="","",IFERROR(IF(INDEX('07. BIA'!$F$6:$F$285,MATCH($C137,'07. BIA'!$B$6:$B$285,0))="","",INDEX('07. BIA'!$F$6:$F$285,MATCH($C137,'07. BIA'!$B$6:$B$285,0))),""))</f>
      </c>
      <c r="F137" s="304"/>
      <c r="G137" s="303"/>
      <c r="H137" s="306"/>
      <c r="I137" s="52"/>
      <c r="J137" s="19"/>
      <c r="K137" s="301"/>
      <c r="L137" s="19"/>
      <c r="M137" s="157"/>
    </row>
    <row r="138" spans="1:13" ht="15" customHeight="1" x14ac:dyDescent="0.35">
      <c r="A138" s="156">
        <v>134</v>
      </c>
      <c r="B138" s="67">
        <f t="shared" si="4"/>
      </c>
      <c r="C138" s="301"/>
      <c r="D138" s="68">
        <f>IF($C138="","",IFERROR(IF(INDEX('07. BIA'!$E$6:$E$285,MATCH($C138,'07. BIA'!$B$6:$B$285,0))="","",INDEX('07. BIA'!$E$6:$E$285,MATCH($C138,'07. BIA'!$B$6:$B$285,0))),""))</f>
      </c>
      <c r="E138" s="68">
        <f>IF($C138="","",IFERROR(IF(INDEX('07. BIA'!$F$6:$F$285,MATCH($C138,'07. BIA'!$B$6:$B$285,0))="","",INDEX('07. BIA'!$F$6:$F$285,MATCH($C138,'07. BIA'!$B$6:$B$285,0))),""))</f>
      </c>
      <c r="F138" s="304"/>
      <c r="G138" s="303"/>
      <c r="H138" s="306"/>
      <c r="I138" s="52"/>
      <c r="J138" s="19"/>
      <c r="K138" s="301"/>
      <c r="L138" s="19"/>
      <c r="M138" s="157"/>
    </row>
    <row r="139" spans="1:13" ht="15" customHeight="1" x14ac:dyDescent="0.35">
      <c r="A139" s="156">
        <v>135</v>
      </c>
      <c r="B139" s="67">
        <f t="shared" si="4"/>
      </c>
      <c r="C139" s="301"/>
      <c r="D139" s="68">
        <f>IF($C139="","",IFERROR(IF(INDEX('07. BIA'!$E$6:$E$285,MATCH($C139,'07. BIA'!$B$6:$B$285,0))="","",INDEX('07. BIA'!$E$6:$E$285,MATCH($C139,'07. BIA'!$B$6:$B$285,0))),""))</f>
      </c>
      <c r="E139" s="68">
        <f>IF($C139="","",IFERROR(IF(INDEX('07. BIA'!$F$6:$F$285,MATCH($C139,'07. BIA'!$B$6:$B$285,0))="","",INDEX('07. BIA'!$F$6:$F$285,MATCH($C139,'07. BIA'!$B$6:$B$285,0))),""))</f>
      </c>
      <c r="F139" s="304"/>
      <c r="G139" s="303"/>
      <c r="H139" s="306"/>
      <c r="I139" s="52"/>
      <c r="J139" s="19"/>
      <c r="K139" s="301"/>
      <c r="L139" s="19"/>
      <c r="M139" s="157"/>
    </row>
    <row r="140" spans="1:13" ht="15" customHeight="1" x14ac:dyDescent="0.35">
      <c r="A140" s="156">
        <v>136</v>
      </c>
      <c r="B140" s="67">
        <f t="shared" si="4"/>
      </c>
      <c r="C140" s="301"/>
      <c r="D140" s="68">
        <f>IF($C140="","",IFERROR(IF(INDEX('07. BIA'!$E$6:$E$285,MATCH($C140,'07. BIA'!$B$6:$B$285,0))="","",INDEX('07. BIA'!$E$6:$E$285,MATCH($C140,'07. BIA'!$B$6:$B$285,0))),""))</f>
      </c>
      <c r="E140" s="68">
        <f>IF($C140="","",IFERROR(IF(INDEX('07. BIA'!$F$6:$F$285,MATCH($C140,'07. BIA'!$B$6:$B$285,0))="","",INDEX('07. BIA'!$F$6:$F$285,MATCH($C140,'07. BIA'!$B$6:$B$285,0))),""))</f>
      </c>
      <c r="F140" s="304"/>
      <c r="G140" s="303"/>
      <c r="H140" s="306"/>
      <c r="I140" s="52"/>
      <c r="J140" s="19"/>
      <c r="K140" s="301"/>
      <c r="L140" s="19"/>
      <c r="M140" s="157"/>
    </row>
    <row r="141" spans="1:13" ht="15" customHeight="1" x14ac:dyDescent="0.35">
      <c r="A141" s="156">
        <v>137</v>
      </c>
      <c r="B141" s="67">
        <f t="shared" si="4"/>
      </c>
      <c r="C141" s="301"/>
      <c r="D141" s="68">
        <f>IF($C141="","",IFERROR(IF(INDEX('07. BIA'!$E$6:$E$285,MATCH($C141,'07. BIA'!$B$6:$B$285,0))="","",INDEX('07. BIA'!$E$6:$E$285,MATCH($C141,'07. BIA'!$B$6:$B$285,0))),""))</f>
      </c>
      <c r="E141" s="68">
        <f>IF($C141="","",IFERROR(IF(INDEX('07. BIA'!$F$6:$F$285,MATCH($C141,'07. BIA'!$B$6:$B$285,0))="","",INDEX('07. BIA'!$F$6:$F$285,MATCH($C141,'07. BIA'!$B$6:$B$285,0))),""))</f>
      </c>
      <c r="F141" s="304"/>
      <c r="G141" s="303"/>
      <c r="H141" s="306"/>
      <c r="I141" s="52"/>
      <c r="J141" s="19"/>
      <c r="K141" s="301"/>
      <c r="L141" s="19"/>
      <c r="M141" s="157"/>
    </row>
    <row r="142" spans="1:13" ht="15" customHeight="1" x14ac:dyDescent="0.35">
      <c r="A142" s="156">
        <v>138</v>
      </c>
      <c r="B142" s="67">
        <f t="shared" si="4"/>
      </c>
      <c r="C142" s="301"/>
      <c r="D142" s="68">
        <f>IF($C142="","",IFERROR(IF(INDEX('07. BIA'!$E$6:$E$285,MATCH($C142,'07. BIA'!$B$6:$B$285,0))="","",INDEX('07. BIA'!$E$6:$E$285,MATCH($C142,'07. BIA'!$B$6:$B$285,0))),""))</f>
      </c>
      <c r="E142" s="68">
        <f>IF($C142="","",IFERROR(IF(INDEX('07. BIA'!$F$6:$F$285,MATCH($C142,'07. BIA'!$B$6:$B$285,0))="","",INDEX('07. BIA'!$F$6:$F$285,MATCH($C142,'07. BIA'!$B$6:$B$285,0))),""))</f>
      </c>
      <c r="F142" s="304"/>
      <c r="G142" s="303"/>
      <c r="H142" s="306"/>
      <c r="I142" s="52"/>
      <c r="J142" s="19"/>
      <c r="K142" s="301"/>
      <c r="L142" s="19"/>
      <c r="M142" s="157"/>
    </row>
    <row r="143" spans="1:13" ht="15" customHeight="1" x14ac:dyDescent="0.35">
      <c r="A143" s="156">
        <v>139</v>
      </c>
      <c r="B143" s="67">
        <f t="shared" si="4"/>
      </c>
      <c r="C143" s="301"/>
      <c r="D143" s="68">
        <f>IF($C143="","",IFERROR(IF(INDEX('07. BIA'!$E$6:$E$285,MATCH($C143,'07. BIA'!$B$6:$B$285,0))="","",INDEX('07. BIA'!$E$6:$E$285,MATCH($C143,'07. BIA'!$B$6:$B$285,0))),""))</f>
      </c>
      <c r="E143" s="68">
        <f>IF($C143="","",IFERROR(IF(INDEX('07. BIA'!$F$6:$F$285,MATCH($C143,'07. BIA'!$B$6:$B$285,0))="","",INDEX('07. BIA'!$F$6:$F$285,MATCH($C143,'07. BIA'!$B$6:$B$285,0))),""))</f>
      </c>
      <c r="F143" s="304"/>
      <c r="G143" s="303"/>
      <c r="H143" s="306"/>
      <c r="I143" s="52"/>
      <c r="J143" s="19"/>
      <c r="K143" s="301"/>
      <c r="L143" s="19"/>
      <c r="M143" s="157"/>
    </row>
    <row r="144" spans="1:13" ht="15" customHeight="1" x14ac:dyDescent="0.35">
      <c r="A144" s="156">
        <v>140</v>
      </c>
      <c r="B144" s="67">
        <f t="shared" si="4"/>
      </c>
      <c r="C144" s="301"/>
      <c r="D144" s="68">
        <f>IF($C144="","",IFERROR(IF(INDEX('07. BIA'!$E$6:$E$285,MATCH($C144,'07. BIA'!$B$6:$B$285,0))="","",INDEX('07. BIA'!$E$6:$E$285,MATCH($C144,'07. BIA'!$B$6:$B$285,0))),""))</f>
      </c>
      <c r="E144" s="68">
        <f>IF($C144="","",IFERROR(IF(INDEX('07. BIA'!$F$6:$F$285,MATCH($C144,'07. BIA'!$B$6:$B$285,0))="","",INDEX('07. BIA'!$F$6:$F$285,MATCH($C144,'07. BIA'!$B$6:$B$285,0))),""))</f>
      </c>
      <c r="F144" s="304"/>
      <c r="G144" s="303"/>
      <c r="H144" s="306"/>
      <c r="I144" s="52"/>
      <c r="J144" s="19"/>
      <c r="K144" s="301"/>
      <c r="L144" s="19"/>
      <c r="M144" s="157"/>
    </row>
    <row r="145" spans="1:13" ht="15" customHeight="1" x14ac:dyDescent="0.35">
      <c r="A145" s="156">
        <v>141</v>
      </c>
      <c r="B145" s="67">
        <f t="shared" si="4"/>
      </c>
      <c r="C145" s="301"/>
      <c r="D145" s="68">
        <f>IF($C145="","",IFERROR(IF(INDEX('07. BIA'!$E$6:$E$285,MATCH($C145,'07. BIA'!$B$6:$B$285,0))="","",INDEX('07. BIA'!$E$6:$E$285,MATCH($C145,'07. BIA'!$B$6:$B$285,0))),""))</f>
      </c>
      <c r="E145" s="68">
        <f>IF($C145="","",IFERROR(IF(INDEX('07. BIA'!$F$6:$F$285,MATCH($C145,'07. BIA'!$B$6:$B$285,0))="","",INDEX('07. BIA'!$F$6:$F$285,MATCH($C145,'07. BIA'!$B$6:$B$285,0))),""))</f>
      </c>
      <c r="F145" s="304"/>
      <c r="G145" s="303"/>
      <c r="H145" s="306"/>
      <c r="I145" s="52"/>
      <c r="J145" s="19"/>
      <c r="K145" s="301"/>
      <c r="L145" s="19"/>
      <c r="M145" s="157"/>
    </row>
    <row r="146" spans="1:13" ht="15" customHeight="1" x14ac:dyDescent="0.35">
      <c r="A146" s="156">
        <v>142</v>
      </c>
      <c r="B146" s="67">
        <f t="shared" si="4"/>
      </c>
      <c r="C146" s="301"/>
      <c r="D146" s="68">
        <f>IF($C146="","",IFERROR(IF(INDEX('07. BIA'!$E$6:$E$285,MATCH($C146,'07. BIA'!$B$6:$B$285,0))="","",INDEX('07. BIA'!$E$6:$E$285,MATCH($C146,'07. BIA'!$B$6:$B$285,0))),""))</f>
      </c>
      <c r="E146" s="68">
        <f>IF($C146="","",IFERROR(IF(INDEX('07. BIA'!$F$6:$F$285,MATCH($C146,'07. BIA'!$B$6:$B$285,0))="","",INDEX('07. BIA'!$F$6:$F$285,MATCH($C146,'07. BIA'!$B$6:$B$285,0))),""))</f>
      </c>
      <c r="F146" s="304"/>
      <c r="G146" s="303"/>
      <c r="H146" s="306"/>
      <c r="I146" s="52"/>
      <c r="J146" s="19"/>
      <c r="K146" s="301"/>
      <c r="L146" s="19"/>
      <c r="M146" s="157"/>
    </row>
    <row r="147" spans="1:13" ht="15" customHeight="1" x14ac:dyDescent="0.35">
      <c r="A147" s="156">
        <v>143</v>
      </c>
      <c r="B147" s="67">
        <f t="shared" si="4"/>
      </c>
      <c r="C147" s="301"/>
      <c r="D147" s="68">
        <f>IF($C147="","",IFERROR(IF(INDEX('07. BIA'!$E$6:$E$285,MATCH($C147,'07. BIA'!$B$6:$B$285,0))="","",INDEX('07. BIA'!$E$6:$E$285,MATCH($C147,'07. BIA'!$B$6:$B$285,0))),""))</f>
      </c>
      <c r="E147" s="68">
        <f>IF($C147="","",IFERROR(IF(INDEX('07. BIA'!$F$6:$F$285,MATCH($C147,'07. BIA'!$B$6:$B$285,0))="","",INDEX('07. BIA'!$F$6:$F$285,MATCH($C147,'07. BIA'!$B$6:$B$285,0))),""))</f>
      </c>
      <c r="F147" s="304"/>
      <c r="G147" s="303"/>
      <c r="H147" s="306"/>
      <c r="I147" s="52"/>
      <c r="J147" s="19"/>
      <c r="K147" s="301"/>
      <c r="L147" s="19"/>
      <c r="M147" s="157"/>
    </row>
    <row r="148" spans="1:13" ht="15" customHeight="1" x14ac:dyDescent="0.35">
      <c r="A148" s="156">
        <v>144</v>
      </c>
      <c r="B148" s="67">
        <f t="shared" si="4"/>
      </c>
      <c r="C148" s="301"/>
      <c r="D148" s="68">
        <f>IF($C148="","",IFERROR(IF(INDEX('07. BIA'!$E$6:$E$285,MATCH($C148,'07. BIA'!$B$6:$B$285,0))="","",INDEX('07. BIA'!$E$6:$E$285,MATCH($C148,'07. BIA'!$B$6:$B$285,0))),""))</f>
      </c>
      <c r="E148" s="68">
        <f>IF($C148="","",IFERROR(IF(INDEX('07. BIA'!$F$6:$F$285,MATCH($C148,'07. BIA'!$B$6:$B$285,0))="","",INDEX('07. BIA'!$F$6:$F$285,MATCH($C148,'07. BIA'!$B$6:$B$285,0))),""))</f>
      </c>
      <c r="F148" s="304"/>
      <c r="G148" s="303"/>
      <c r="H148" s="306"/>
      <c r="I148" s="52"/>
      <c r="J148" s="19"/>
      <c r="K148" s="301"/>
      <c r="L148" s="19"/>
      <c r="M148" s="157"/>
    </row>
    <row r="149" spans="1:13" ht="15" customHeight="1" x14ac:dyDescent="0.35">
      <c r="A149" s="156">
        <v>145</v>
      </c>
      <c r="B149" s="67">
        <f t="shared" si="4"/>
      </c>
      <c r="C149" s="301"/>
      <c r="D149" s="68">
        <f>IF($C149="","",IFERROR(IF(INDEX('07. BIA'!$E$6:$E$285,MATCH($C149,'07. BIA'!$B$6:$B$285,0))="","",INDEX('07. BIA'!$E$6:$E$285,MATCH($C149,'07. BIA'!$B$6:$B$285,0))),""))</f>
      </c>
      <c r="E149" s="68">
        <f>IF($C149="","",IFERROR(IF(INDEX('07. BIA'!$F$6:$F$285,MATCH($C149,'07. BIA'!$B$6:$B$285,0))="","",INDEX('07. BIA'!$F$6:$F$285,MATCH($C149,'07. BIA'!$B$6:$B$285,0))),""))</f>
      </c>
      <c r="F149" s="304"/>
      <c r="G149" s="303"/>
      <c r="H149" s="306"/>
      <c r="I149" s="52"/>
      <c r="J149" s="19"/>
      <c r="K149" s="301"/>
      <c r="L149" s="19"/>
      <c r="M149" s="157"/>
    </row>
    <row r="150" spans="1:13" ht="15" customHeight="1" x14ac:dyDescent="0.35">
      <c r="A150" s="156">
        <v>146</v>
      </c>
      <c r="B150" s="67">
        <f t="shared" si="4"/>
      </c>
      <c r="C150" s="301"/>
      <c r="D150" s="68">
        <f>IF($C150="","",IFERROR(IF(INDEX('07. BIA'!$E$6:$E$285,MATCH($C150,'07. BIA'!$B$6:$B$285,0))="","",INDEX('07. BIA'!$E$6:$E$285,MATCH($C150,'07. BIA'!$B$6:$B$285,0))),""))</f>
      </c>
      <c r="E150" s="68">
        <f>IF($C150="","",IFERROR(IF(INDEX('07. BIA'!$F$6:$F$285,MATCH($C150,'07. BIA'!$B$6:$B$285,0))="","",INDEX('07. BIA'!$F$6:$F$285,MATCH($C150,'07. BIA'!$B$6:$B$285,0))),""))</f>
      </c>
      <c r="F150" s="304"/>
      <c r="G150" s="303"/>
      <c r="H150" s="306"/>
      <c r="I150" s="52"/>
      <c r="J150" s="19"/>
      <c r="K150" s="301"/>
      <c r="L150" s="19"/>
      <c r="M150" s="157"/>
    </row>
    <row r="151" spans="1:13" ht="15" customHeight="1" x14ac:dyDescent="0.35">
      <c r="A151" s="156">
        <v>147</v>
      </c>
      <c r="B151" s="67">
        <f t="shared" si="4"/>
      </c>
      <c r="C151" s="301"/>
      <c r="D151" s="68">
        <f>IF($C151="","",IFERROR(IF(INDEX('07. BIA'!$E$6:$E$285,MATCH($C151,'07. BIA'!$B$6:$B$285,0))="","",INDEX('07. BIA'!$E$6:$E$285,MATCH($C151,'07. BIA'!$B$6:$B$285,0))),""))</f>
      </c>
      <c r="E151" s="68">
        <f>IF($C151="","",IFERROR(IF(INDEX('07. BIA'!$F$6:$F$285,MATCH($C151,'07. BIA'!$B$6:$B$285,0))="","",INDEX('07. BIA'!$F$6:$F$285,MATCH($C151,'07. BIA'!$B$6:$B$285,0))),""))</f>
      </c>
      <c r="F151" s="304"/>
      <c r="G151" s="303"/>
      <c r="H151" s="306"/>
      <c r="I151" s="52"/>
      <c r="J151" s="19"/>
      <c r="K151" s="301"/>
      <c r="L151" s="19"/>
      <c r="M151" s="157"/>
    </row>
    <row r="152" spans="1:13" ht="15" customHeight="1" x14ac:dyDescent="0.35">
      <c r="A152" s="156">
        <v>148</v>
      </c>
      <c r="B152" s="67">
        <f t="shared" si="4"/>
      </c>
      <c r="C152" s="301"/>
      <c r="D152" s="68">
        <f>IF($C152="","",IFERROR(IF(INDEX('07. BIA'!$E$6:$E$285,MATCH($C152,'07. BIA'!$B$6:$B$285,0))="","",INDEX('07. BIA'!$E$6:$E$285,MATCH($C152,'07. BIA'!$B$6:$B$285,0))),""))</f>
      </c>
      <c r="E152" s="68">
        <f>IF($C152="","",IFERROR(IF(INDEX('07. BIA'!$F$6:$F$285,MATCH($C152,'07. BIA'!$B$6:$B$285,0))="","",INDEX('07. BIA'!$F$6:$F$285,MATCH($C152,'07. BIA'!$B$6:$B$285,0))),""))</f>
      </c>
      <c r="F152" s="304"/>
      <c r="G152" s="303"/>
      <c r="H152" s="306"/>
      <c r="I152" s="52"/>
      <c r="J152" s="19"/>
      <c r="K152" s="301"/>
      <c r="L152" s="19"/>
      <c r="M152" s="157"/>
    </row>
    <row r="153" spans="1:13" ht="15" customHeight="1" x14ac:dyDescent="0.35">
      <c r="A153" s="156">
        <v>149</v>
      </c>
      <c r="B153" s="67">
        <f t="shared" si="4"/>
      </c>
      <c r="C153" s="301"/>
      <c r="D153" s="68">
        <f>IF($C153="","",IFERROR(IF(INDEX('07. BIA'!$E$6:$E$285,MATCH($C153,'07. BIA'!$B$6:$B$285,0))="","",INDEX('07. BIA'!$E$6:$E$285,MATCH($C153,'07. BIA'!$B$6:$B$285,0))),""))</f>
      </c>
      <c r="E153" s="68">
        <f>IF($C153="","",IFERROR(IF(INDEX('07. BIA'!$F$6:$F$285,MATCH($C153,'07. BIA'!$B$6:$B$285,0))="","",INDEX('07. BIA'!$F$6:$F$285,MATCH($C153,'07. BIA'!$B$6:$B$285,0))),""))</f>
      </c>
      <c r="F153" s="304"/>
      <c r="G153" s="303"/>
      <c r="H153" s="306"/>
      <c r="I153" s="52"/>
      <c r="J153" s="19"/>
      <c r="K153" s="301"/>
      <c r="L153" s="19"/>
      <c r="M153" s="157"/>
    </row>
    <row r="154" spans="1:13" ht="15" customHeight="1" x14ac:dyDescent="0.35">
      <c r="A154" s="156">
        <v>150</v>
      </c>
      <c r="B154" s="67">
        <f t="shared" si="4"/>
      </c>
      <c r="C154" s="301"/>
      <c r="D154" s="68">
        <f>IF($C154="","",IFERROR(IF(INDEX('07. BIA'!$E$6:$E$285,MATCH($C154,'07. BIA'!$B$6:$B$285,0))="","",INDEX('07. BIA'!$E$6:$E$285,MATCH($C154,'07. BIA'!$B$6:$B$285,0))),""))</f>
      </c>
      <c r="E154" s="68">
        <f>IF($C154="","",IFERROR(IF(INDEX('07. BIA'!$F$6:$F$285,MATCH($C154,'07. BIA'!$B$6:$B$285,0))="","",INDEX('07. BIA'!$F$6:$F$285,MATCH($C154,'07. BIA'!$B$6:$B$285,0))),""))</f>
      </c>
      <c r="F154" s="304"/>
      <c r="G154" s="303"/>
      <c r="H154" s="306"/>
      <c r="I154" s="52"/>
      <c r="J154" s="19"/>
      <c r="K154" s="301"/>
      <c r="L154" s="19"/>
      <c r="M154" s="157"/>
    </row>
    <row r="155" spans="1:13" ht="15" customHeight="1" x14ac:dyDescent="0.35">
      <c r="A155" s="156">
        <v>151</v>
      </c>
      <c r="B155" s="67">
        <f t="shared" si="4"/>
      </c>
      <c r="C155" s="301"/>
      <c r="D155" s="68">
        <f>IF($C155="","",IFERROR(IF(INDEX('07. BIA'!$E$6:$E$285,MATCH($C155,'07. BIA'!$B$6:$B$285,0))="","",INDEX('07. BIA'!$E$6:$E$285,MATCH($C155,'07. BIA'!$B$6:$B$285,0))),""))</f>
      </c>
      <c r="E155" s="68">
        <f>IF($C155="","",IFERROR(IF(INDEX('07. BIA'!$F$6:$F$285,MATCH($C155,'07. BIA'!$B$6:$B$285,0))="","",INDEX('07. BIA'!$F$6:$F$285,MATCH($C155,'07. BIA'!$B$6:$B$285,0))),""))</f>
      </c>
      <c r="F155" s="304"/>
      <c r="G155" s="303"/>
      <c r="H155" s="306"/>
      <c r="I155" s="52"/>
      <c r="J155" s="19"/>
      <c r="K155" s="301"/>
      <c r="L155" s="19"/>
      <c r="M155" s="157"/>
    </row>
    <row r="156" spans="1:13" ht="15" customHeight="1" x14ac:dyDescent="0.35">
      <c r="A156" s="156">
        <v>152</v>
      </c>
      <c r="B156" s="67">
        <f t="shared" si="4"/>
      </c>
      <c r="C156" s="301"/>
      <c r="D156" s="68">
        <f>IF($C156="","",IFERROR(IF(INDEX('07. BIA'!$E$6:$E$285,MATCH($C156,'07. BIA'!$B$6:$B$285,0))="","",INDEX('07. BIA'!$E$6:$E$285,MATCH($C156,'07. BIA'!$B$6:$B$285,0))),""))</f>
      </c>
      <c r="E156" s="68">
        <f>IF($C156="","",IFERROR(IF(INDEX('07. BIA'!$F$6:$F$285,MATCH($C156,'07. BIA'!$B$6:$B$285,0))="","",INDEX('07. BIA'!$F$6:$F$285,MATCH($C156,'07. BIA'!$B$6:$B$285,0))),""))</f>
      </c>
      <c r="F156" s="304"/>
      <c r="G156" s="303"/>
      <c r="H156" s="306"/>
      <c r="I156" s="52"/>
      <c r="J156" s="19"/>
      <c r="K156" s="301"/>
      <c r="L156" s="19"/>
      <c r="M156" s="157"/>
    </row>
    <row r="157" spans="1:13" ht="15" customHeight="1" x14ac:dyDescent="0.35">
      <c r="A157" s="156">
        <v>153</v>
      </c>
      <c r="B157" s="67">
        <f t="shared" si="4"/>
      </c>
      <c r="C157" s="301"/>
      <c r="D157" s="68">
        <f>IF($C157="","",IFERROR(IF(INDEX('07. BIA'!$E$6:$E$285,MATCH($C157,'07. BIA'!$B$6:$B$285,0))="","",INDEX('07. BIA'!$E$6:$E$285,MATCH($C157,'07. BIA'!$B$6:$B$285,0))),""))</f>
      </c>
      <c r="E157" s="68">
        <f>IF($C157="","",IFERROR(IF(INDEX('07. BIA'!$F$6:$F$285,MATCH($C157,'07. BIA'!$B$6:$B$285,0))="","",INDEX('07. BIA'!$F$6:$F$285,MATCH($C157,'07. BIA'!$B$6:$B$285,0))),""))</f>
      </c>
      <c r="F157" s="304"/>
      <c r="G157" s="303"/>
      <c r="H157" s="306"/>
      <c r="I157" s="52"/>
      <c r="J157" s="19"/>
      <c r="K157" s="301"/>
      <c r="L157" s="19"/>
      <c r="M157" s="157"/>
    </row>
    <row r="158" spans="1:13" ht="15" customHeight="1" x14ac:dyDescent="0.35">
      <c r="A158" s="156">
        <v>154</v>
      </c>
      <c r="B158" s="67">
        <f t="shared" si="4"/>
      </c>
      <c r="C158" s="301"/>
      <c r="D158" s="68">
        <f>IF($C158="","",IFERROR(IF(INDEX('07. BIA'!$E$6:$E$285,MATCH($C158,'07. BIA'!$B$6:$B$285,0))="","",INDEX('07. BIA'!$E$6:$E$285,MATCH($C158,'07. BIA'!$B$6:$B$285,0))),""))</f>
      </c>
      <c r="E158" s="68">
        <f>IF($C158="","",IFERROR(IF(INDEX('07. BIA'!$F$6:$F$285,MATCH($C158,'07. BIA'!$B$6:$B$285,0))="","",INDEX('07. BIA'!$F$6:$F$285,MATCH($C158,'07. BIA'!$B$6:$B$285,0))),""))</f>
      </c>
      <c r="F158" s="304"/>
      <c r="G158" s="303"/>
      <c r="H158" s="306"/>
      <c r="I158" s="52"/>
      <c r="J158" s="19"/>
      <c r="K158" s="301"/>
      <c r="L158" s="19"/>
      <c r="M158" s="157"/>
    </row>
    <row r="159" spans="1:13" ht="15" customHeight="1" x14ac:dyDescent="0.35">
      <c r="A159" s="156">
        <v>155</v>
      </c>
      <c r="B159" s="67">
        <f t="shared" si="4"/>
      </c>
      <c r="C159" s="301"/>
      <c r="D159" s="68">
        <f>IF($C159="","",IFERROR(IF(INDEX('07. BIA'!$E$6:$E$285,MATCH($C159,'07. BIA'!$B$6:$B$285,0))="","",INDEX('07. BIA'!$E$6:$E$285,MATCH($C159,'07. BIA'!$B$6:$B$285,0))),""))</f>
      </c>
      <c r="E159" s="68">
        <f>IF($C159="","",IFERROR(IF(INDEX('07. BIA'!$F$6:$F$285,MATCH($C159,'07. BIA'!$B$6:$B$285,0))="","",INDEX('07. BIA'!$F$6:$F$285,MATCH($C159,'07. BIA'!$B$6:$B$285,0))),""))</f>
      </c>
      <c r="F159" s="304"/>
      <c r="G159" s="303"/>
      <c r="H159" s="306"/>
      <c r="I159" s="52"/>
      <c r="J159" s="19"/>
      <c r="K159" s="301"/>
      <c r="L159" s="19"/>
      <c r="M159" s="157"/>
    </row>
    <row r="160" spans="1:13" ht="15" customHeight="1" x14ac:dyDescent="0.35">
      <c r="A160" s="156">
        <v>156</v>
      </c>
      <c r="B160" s="67">
        <f t="shared" si="4"/>
      </c>
      <c r="C160" s="301"/>
      <c r="D160" s="68">
        <f>IF($C160="","",IFERROR(IF(INDEX('07. BIA'!$E$6:$E$285,MATCH($C160,'07. BIA'!$B$6:$B$285,0))="","",INDEX('07. BIA'!$E$6:$E$285,MATCH($C160,'07. BIA'!$B$6:$B$285,0))),""))</f>
      </c>
      <c r="E160" s="68">
        <f>IF($C160="","",IFERROR(IF(INDEX('07. BIA'!$F$6:$F$285,MATCH($C160,'07. BIA'!$B$6:$B$285,0))="","",INDEX('07. BIA'!$F$6:$F$285,MATCH($C160,'07. BIA'!$B$6:$B$285,0))),""))</f>
      </c>
      <c r="F160" s="304"/>
      <c r="G160" s="303"/>
      <c r="H160" s="306"/>
      <c r="I160" s="52"/>
      <c r="J160" s="19"/>
      <c r="K160" s="301"/>
      <c r="L160" s="19"/>
      <c r="M160" s="157"/>
    </row>
    <row r="161" spans="1:13" ht="15" customHeight="1" x14ac:dyDescent="0.35">
      <c r="A161" s="156">
        <v>157</v>
      </c>
      <c r="B161" s="67">
        <f t="shared" si="4"/>
      </c>
      <c r="C161" s="301"/>
      <c r="D161" s="68">
        <f>IF($C161="","",IFERROR(IF(INDEX('07. BIA'!$E$6:$E$285,MATCH($C161,'07. BIA'!$B$6:$B$285,0))="","",INDEX('07. BIA'!$E$6:$E$285,MATCH($C161,'07. BIA'!$B$6:$B$285,0))),""))</f>
      </c>
      <c r="E161" s="68">
        <f>IF($C161="","",IFERROR(IF(INDEX('07. BIA'!$F$6:$F$285,MATCH($C161,'07. BIA'!$B$6:$B$285,0))="","",INDEX('07. BIA'!$F$6:$F$285,MATCH($C161,'07. BIA'!$B$6:$B$285,0))),""))</f>
      </c>
      <c r="F161" s="304"/>
      <c r="G161" s="303"/>
      <c r="H161" s="306"/>
      <c r="I161" s="52"/>
      <c r="J161" s="19"/>
      <c r="K161" s="301"/>
      <c r="L161" s="19"/>
      <c r="M161" s="157"/>
    </row>
    <row r="162" spans="1:13" ht="15" customHeight="1" x14ac:dyDescent="0.35">
      <c r="A162" s="156">
        <v>158</v>
      </c>
      <c r="B162" s="67">
        <f t="shared" si="4"/>
      </c>
      <c r="C162" s="301"/>
      <c r="D162" s="68">
        <f>IF($C162="","",IFERROR(IF(INDEX('07. BIA'!$E$6:$E$285,MATCH($C162,'07. BIA'!$B$6:$B$285,0))="","",INDEX('07. BIA'!$E$6:$E$285,MATCH($C162,'07. BIA'!$B$6:$B$285,0))),""))</f>
      </c>
      <c r="E162" s="68">
        <f>IF($C162="","",IFERROR(IF(INDEX('07. BIA'!$F$6:$F$285,MATCH($C162,'07. BIA'!$B$6:$B$285,0))="","",INDEX('07. BIA'!$F$6:$F$285,MATCH($C162,'07. BIA'!$B$6:$B$285,0))),""))</f>
      </c>
      <c r="F162" s="304"/>
      <c r="G162" s="303"/>
      <c r="H162" s="306"/>
      <c r="I162" s="52"/>
      <c r="J162" s="19"/>
      <c r="K162" s="301"/>
      <c r="L162" s="19"/>
      <c r="M162" s="157"/>
    </row>
    <row r="163" spans="1:13" ht="15" customHeight="1" x14ac:dyDescent="0.35">
      <c r="A163" s="156">
        <v>159</v>
      </c>
      <c r="B163" s="67">
        <f t="shared" si="4"/>
      </c>
      <c r="C163" s="301"/>
      <c r="D163" s="68">
        <f>IF($C163="","",IFERROR(IF(INDEX('07. BIA'!$E$6:$E$285,MATCH($C163,'07. BIA'!$B$6:$B$285,0))="","",INDEX('07. BIA'!$E$6:$E$285,MATCH($C163,'07. BIA'!$B$6:$B$285,0))),""))</f>
      </c>
      <c r="E163" s="68">
        <f>IF($C163="","",IFERROR(IF(INDEX('07. BIA'!$F$6:$F$285,MATCH($C163,'07. BIA'!$B$6:$B$285,0))="","",INDEX('07. BIA'!$F$6:$F$285,MATCH($C163,'07. BIA'!$B$6:$B$285,0))),""))</f>
      </c>
      <c r="F163" s="304"/>
      <c r="G163" s="303"/>
      <c r="H163" s="306"/>
      <c r="I163" s="52"/>
      <c r="J163" s="19"/>
      <c r="K163" s="301"/>
      <c r="L163" s="19"/>
      <c r="M163" s="157"/>
    </row>
    <row r="164" spans="1:13" ht="15" customHeight="1" x14ac:dyDescent="0.35">
      <c r="A164" s="156">
        <v>160</v>
      </c>
      <c r="B164" s="67">
        <f t="shared" si="4"/>
      </c>
      <c r="C164" s="301"/>
      <c r="D164" s="68">
        <f>IF($C164="","",IFERROR(IF(INDEX('07. BIA'!$E$6:$E$285,MATCH($C164,'07. BIA'!$B$6:$B$285,0))="","",INDEX('07. BIA'!$E$6:$E$285,MATCH($C164,'07. BIA'!$B$6:$B$285,0))),""))</f>
      </c>
      <c r="E164" s="68">
        <f>IF($C164="","",IFERROR(IF(INDEX('07. BIA'!$F$6:$F$285,MATCH($C164,'07. BIA'!$B$6:$B$285,0))="","",INDEX('07. BIA'!$F$6:$F$285,MATCH($C164,'07. BIA'!$B$6:$B$285,0))),""))</f>
      </c>
      <c r="F164" s="304"/>
      <c r="G164" s="303"/>
      <c r="H164" s="306"/>
      <c r="I164" s="52"/>
      <c r="J164" s="19"/>
      <c r="K164" s="301"/>
      <c r="L164" s="19"/>
      <c r="M164" s="157"/>
    </row>
    <row r="165" spans="1:13" ht="15" customHeight="1" x14ac:dyDescent="0.35">
      <c r="A165" s="156">
        <v>161</v>
      </c>
      <c r="B165" s="67">
        <f t="shared" ref="B165:B196" si="5">IF($I165="","","DEP-"&amp;TEXT($A165,"000"))</f>
      </c>
      <c r="C165" s="301"/>
      <c r="D165" s="68">
        <f>IF($C165="","",IFERROR(IF(INDEX('07. BIA'!$E$6:$E$285,MATCH($C165,'07. BIA'!$B$6:$B$285,0))="","",INDEX('07. BIA'!$E$6:$E$285,MATCH($C165,'07. BIA'!$B$6:$B$285,0))),""))</f>
      </c>
      <c r="E165" s="68">
        <f>IF($C165="","",IFERROR(IF(INDEX('07. BIA'!$F$6:$F$285,MATCH($C165,'07. BIA'!$B$6:$B$285,0))="","",INDEX('07. BIA'!$F$6:$F$285,MATCH($C165,'07. BIA'!$B$6:$B$285,0))),""))</f>
      </c>
      <c r="F165" s="304"/>
      <c r="G165" s="303"/>
      <c r="H165" s="306"/>
      <c r="I165" s="52"/>
      <c r="J165" s="19"/>
      <c r="K165" s="301"/>
      <c r="L165" s="19"/>
      <c r="M165" s="157"/>
    </row>
    <row r="166" spans="1:13" ht="15" customHeight="1" x14ac:dyDescent="0.35">
      <c r="A166" s="156">
        <v>162</v>
      </c>
      <c r="B166" s="67">
        <f t="shared" si="5"/>
      </c>
      <c r="C166" s="301"/>
      <c r="D166" s="68">
        <f>IF($C166="","",IFERROR(IF(INDEX('07. BIA'!$E$6:$E$285,MATCH($C166,'07. BIA'!$B$6:$B$285,0))="","",INDEX('07. BIA'!$E$6:$E$285,MATCH($C166,'07. BIA'!$B$6:$B$285,0))),""))</f>
      </c>
      <c r="E166" s="68">
        <f>IF($C166="","",IFERROR(IF(INDEX('07. BIA'!$F$6:$F$285,MATCH($C166,'07. BIA'!$B$6:$B$285,0))="","",INDEX('07. BIA'!$F$6:$F$285,MATCH($C166,'07. BIA'!$B$6:$B$285,0))),""))</f>
      </c>
      <c r="F166" s="304"/>
      <c r="G166" s="303"/>
      <c r="H166" s="306"/>
      <c r="I166" s="52"/>
      <c r="J166" s="19"/>
      <c r="K166" s="301"/>
      <c r="L166" s="19"/>
      <c r="M166" s="157"/>
    </row>
    <row r="167" spans="1:13" ht="15" customHeight="1" x14ac:dyDescent="0.35">
      <c r="A167" s="156">
        <v>163</v>
      </c>
      <c r="B167" s="67">
        <f t="shared" si="5"/>
      </c>
      <c r="C167" s="301"/>
      <c r="D167" s="68">
        <f>IF($C167="","",IFERROR(IF(INDEX('07. BIA'!$E$6:$E$285,MATCH($C167,'07. BIA'!$B$6:$B$285,0))="","",INDEX('07. BIA'!$E$6:$E$285,MATCH($C167,'07. BIA'!$B$6:$B$285,0))),""))</f>
      </c>
      <c r="E167" s="68">
        <f>IF($C167="","",IFERROR(IF(INDEX('07. BIA'!$F$6:$F$285,MATCH($C167,'07. BIA'!$B$6:$B$285,0))="","",INDEX('07. BIA'!$F$6:$F$285,MATCH($C167,'07. BIA'!$B$6:$B$285,0))),""))</f>
      </c>
      <c r="F167" s="304"/>
      <c r="G167" s="303"/>
      <c r="H167" s="306"/>
      <c r="I167" s="52"/>
      <c r="J167" s="19"/>
      <c r="K167" s="301"/>
      <c r="L167" s="19"/>
      <c r="M167" s="157"/>
    </row>
    <row r="168" spans="1:13" ht="15" customHeight="1" x14ac:dyDescent="0.35">
      <c r="A168" s="156">
        <v>164</v>
      </c>
      <c r="B168" s="67">
        <f t="shared" si="5"/>
      </c>
      <c r="C168" s="301"/>
      <c r="D168" s="68">
        <f>IF($C168="","",IFERROR(IF(INDEX('07. BIA'!$E$6:$E$285,MATCH($C168,'07. BIA'!$B$6:$B$285,0))="","",INDEX('07. BIA'!$E$6:$E$285,MATCH($C168,'07. BIA'!$B$6:$B$285,0))),""))</f>
      </c>
      <c r="E168" s="68">
        <f>IF($C168="","",IFERROR(IF(INDEX('07. BIA'!$F$6:$F$285,MATCH($C168,'07. BIA'!$B$6:$B$285,0))="","",INDEX('07. BIA'!$F$6:$F$285,MATCH($C168,'07. BIA'!$B$6:$B$285,0))),""))</f>
      </c>
      <c r="F168" s="304"/>
      <c r="G168" s="303"/>
      <c r="H168" s="306"/>
      <c r="I168" s="52"/>
      <c r="J168" s="19"/>
      <c r="K168" s="301"/>
      <c r="L168" s="19"/>
      <c r="M168" s="157"/>
    </row>
    <row r="169" spans="1:13" ht="15" customHeight="1" x14ac:dyDescent="0.35">
      <c r="A169" s="156">
        <v>165</v>
      </c>
      <c r="B169" s="67">
        <f t="shared" si="5"/>
      </c>
      <c r="C169" s="301"/>
      <c r="D169" s="68">
        <f>IF($C169="","",IFERROR(IF(INDEX('07. BIA'!$E$6:$E$285,MATCH($C169,'07. BIA'!$B$6:$B$285,0))="","",INDEX('07. BIA'!$E$6:$E$285,MATCH($C169,'07. BIA'!$B$6:$B$285,0))),""))</f>
      </c>
      <c r="E169" s="68">
        <f>IF($C169="","",IFERROR(IF(INDEX('07. BIA'!$F$6:$F$285,MATCH($C169,'07. BIA'!$B$6:$B$285,0))="","",INDEX('07. BIA'!$F$6:$F$285,MATCH($C169,'07. BIA'!$B$6:$B$285,0))),""))</f>
      </c>
      <c r="F169" s="304"/>
      <c r="G169" s="303"/>
      <c r="H169" s="306"/>
      <c r="I169" s="52"/>
      <c r="J169" s="19"/>
      <c r="K169" s="301"/>
      <c r="L169" s="19"/>
      <c r="M169" s="157"/>
    </row>
    <row r="170" spans="1:13" ht="15" customHeight="1" x14ac:dyDescent="0.35">
      <c r="A170" s="156">
        <v>166</v>
      </c>
      <c r="B170" s="67">
        <f t="shared" si="5"/>
      </c>
      <c r="C170" s="301"/>
      <c r="D170" s="68">
        <f>IF($C170="","",IFERROR(IF(INDEX('07. BIA'!$E$6:$E$285,MATCH($C170,'07. BIA'!$B$6:$B$285,0))="","",INDEX('07. BIA'!$E$6:$E$285,MATCH($C170,'07. BIA'!$B$6:$B$285,0))),""))</f>
      </c>
      <c r="E170" s="68">
        <f>IF($C170="","",IFERROR(IF(INDEX('07. BIA'!$F$6:$F$285,MATCH($C170,'07. BIA'!$B$6:$B$285,0))="","",INDEX('07. BIA'!$F$6:$F$285,MATCH($C170,'07. BIA'!$B$6:$B$285,0))),""))</f>
      </c>
      <c r="F170" s="304"/>
      <c r="G170" s="303"/>
      <c r="H170" s="306"/>
      <c r="I170" s="52"/>
      <c r="J170" s="19"/>
      <c r="K170" s="301"/>
      <c r="L170" s="19"/>
      <c r="M170" s="157"/>
    </row>
    <row r="171" spans="1:13" ht="15" customHeight="1" x14ac:dyDescent="0.35">
      <c r="A171" s="156">
        <v>167</v>
      </c>
      <c r="B171" s="67">
        <f t="shared" si="5"/>
      </c>
      <c r="C171" s="301"/>
      <c r="D171" s="68">
        <f>IF($C171="","",IFERROR(IF(INDEX('07. BIA'!$E$6:$E$285,MATCH($C171,'07. BIA'!$B$6:$B$285,0))="","",INDEX('07. BIA'!$E$6:$E$285,MATCH($C171,'07. BIA'!$B$6:$B$285,0))),""))</f>
      </c>
      <c r="E171" s="68">
        <f>IF($C171="","",IFERROR(IF(INDEX('07. BIA'!$F$6:$F$285,MATCH($C171,'07. BIA'!$B$6:$B$285,0))="","",INDEX('07. BIA'!$F$6:$F$285,MATCH($C171,'07. BIA'!$B$6:$B$285,0))),""))</f>
      </c>
      <c r="F171" s="304"/>
      <c r="G171" s="303"/>
      <c r="H171" s="306"/>
      <c r="I171" s="52"/>
      <c r="J171" s="19"/>
      <c r="K171" s="301"/>
      <c r="L171" s="19"/>
      <c r="M171" s="157"/>
    </row>
    <row r="172" spans="1:13" ht="15" customHeight="1" x14ac:dyDescent="0.35">
      <c r="A172" s="156">
        <v>168</v>
      </c>
      <c r="B172" s="67">
        <f t="shared" si="5"/>
      </c>
      <c r="C172" s="301"/>
      <c r="D172" s="68">
        <f>IF($C172="","",IFERROR(IF(INDEX('07. BIA'!$E$6:$E$285,MATCH($C172,'07. BIA'!$B$6:$B$285,0))="","",INDEX('07. BIA'!$E$6:$E$285,MATCH($C172,'07. BIA'!$B$6:$B$285,0))),""))</f>
      </c>
      <c r="E172" s="68">
        <f>IF($C172="","",IFERROR(IF(INDEX('07. BIA'!$F$6:$F$285,MATCH($C172,'07. BIA'!$B$6:$B$285,0))="","",INDEX('07. BIA'!$F$6:$F$285,MATCH($C172,'07. BIA'!$B$6:$B$285,0))),""))</f>
      </c>
      <c r="F172" s="304"/>
      <c r="G172" s="303"/>
      <c r="H172" s="306"/>
      <c r="I172" s="52"/>
      <c r="J172" s="19"/>
      <c r="K172" s="301"/>
      <c r="L172" s="19"/>
      <c r="M172" s="157"/>
    </row>
    <row r="173" spans="1:13" ht="15" customHeight="1" x14ac:dyDescent="0.35">
      <c r="A173" s="156">
        <v>169</v>
      </c>
      <c r="B173" s="67">
        <f t="shared" si="5"/>
      </c>
      <c r="C173" s="301"/>
      <c r="D173" s="68">
        <f>IF($C173="","",IFERROR(IF(INDEX('07. BIA'!$E$6:$E$285,MATCH($C173,'07. BIA'!$B$6:$B$285,0))="","",INDEX('07. BIA'!$E$6:$E$285,MATCH($C173,'07. BIA'!$B$6:$B$285,0))),""))</f>
      </c>
      <c r="E173" s="68">
        <f>IF($C173="","",IFERROR(IF(INDEX('07. BIA'!$F$6:$F$285,MATCH($C173,'07. BIA'!$B$6:$B$285,0))="","",INDEX('07. BIA'!$F$6:$F$285,MATCH($C173,'07. BIA'!$B$6:$B$285,0))),""))</f>
      </c>
      <c r="F173" s="304"/>
      <c r="G173" s="303"/>
      <c r="H173" s="306"/>
      <c r="I173" s="52"/>
      <c r="J173" s="19"/>
      <c r="K173" s="301"/>
      <c r="L173" s="19"/>
      <c r="M173" s="157"/>
    </row>
    <row r="174" spans="1:13" ht="15" customHeight="1" x14ac:dyDescent="0.35">
      <c r="A174" s="156">
        <v>170</v>
      </c>
      <c r="B174" s="67">
        <f t="shared" si="5"/>
      </c>
      <c r="C174" s="301"/>
      <c r="D174" s="68">
        <f>IF($C174="","",IFERROR(IF(INDEX('07. BIA'!$E$6:$E$285,MATCH($C174,'07. BIA'!$B$6:$B$285,0))="","",INDEX('07. BIA'!$E$6:$E$285,MATCH($C174,'07. BIA'!$B$6:$B$285,0))),""))</f>
      </c>
      <c r="E174" s="68">
        <f>IF($C174="","",IFERROR(IF(INDEX('07. BIA'!$F$6:$F$285,MATCH($C174,'07. BIA'!$B$6:$B$285,0))="","",INDEX('07. BIA'!$F$6:$F$285,MATCH($C174,'07. BIA'!$B$6:$B$285,0))),""))</f>
      </c>
      <c r="F174" s="304"/>
      <c r="G174" s="303"/>
      <c r="H174" s="306"/>
      <c r="I174" s="52"/>
      <c r="J174" s="19"/>
      <c r="K174" s="301"/>
      <c r="L174" s="19"/>
      <c r="M174" s="157"/>
    </row>
    <row r="175" spans="1:13" ht="15" customHeight="1" x14ac:dyDescent="0.35">
      <c r="A175" s="156">
        <v>171</v>
      </c>
      <c r="B175" s="67">
        <f t="shared" si="5"/>
      </c>
      <c r="C175" s="301"/>
      <c r="D175" s="68">
        <f>IF($C175="","",IFERROR(IF(INDEX('07. BIA'!$E$6:$E$285,MATCH($C175,'07. BIA'!$B$6:$B$285,0))="","",INDEX('07. BIA'!$E$6:$E$285,MATCH($C175,'07. BIA'!$B$6:$B$285,0))),""))</f>
      </c>
      <c r="E175" s="68">
        <f>IF($C175="","",IFERROR(IF(INDEX('07. BIA'!$F$6:$F$285,MATCH($C175,'07. BIA'!$B$6:$B$285,0))="","",INDEX('07. BIA'!$F$6:$F$285,MATCH($C175,'07. BIA'!$B$6:$B$285,0))),""))</f>
      </c>
      <c r="F175" s="304"/>
      <c r="G175" s="303"/>
      <c r="H175" s="306"/>
      <c r="I175" s="52"/>
      <c r="J175" s="19"/>
      <c r="K175" s="301"/>
      <c r="L175" s="19"/>
      <c r="M175" s="157"/>
    </row>
    <row r="176" spans="1:13" ht="15" customHeight="1" x14ac:dyDescent="0.35">
      <c r="A176" s="156">
        <v>172</v>
      </c>
      <c r="B176" s="67">
        <f t="shared" si="5"/>
      </c>
      <c r="C176" s="301"/>
      <c r="D176" s="68">
        <f>IF($C176="","",IFERROR(IF(INDEX('07. BIA'!$E$6:$E$285,MATCH($C176,'07. BIA'!$B$6:$B$285,0))="","",INDEX('07. BIA'!$E$6:$E$285,MATCH($C176,'07. BIA'!$B$6:$B$285,0))),""))</f>
      </c>
      <c r="E176" s="68">
        <f>IF($C176="","",IFERROR(IF(INDEX('07. BIA'!$F$6:$F$285,MATCH($C176,'07. BIA'!$B$6:$B$285,0))="","",INDEX('07. BIA'!$F$6:$F$285,MATCH($C176,'07. BIA'!$B$6:$B$285,0))),""))</f>
      </c>
      <c r="F176" s="304"/>
      <c r="G176" s="303"/>
      <c r="H176" s="306"/>
      <c r="I176" s="52"/>
      <c r="J176" s="19"/>
      <c r="K176" s="301"/>
      <c r="L176" s="19"/>
      <c r="M176" s="157"/>
    </row>
    <row r="177" spans="1:13" ht="15" customHeight="1" x14ac:dyDescent="0.35">
      <c r="A177" s="156">
        <v>173</v>
      </c>
      <c r="B177" s="67">
        <f t="shared" si="5"/>
      </c>
      <c r="C177" s="301"/>
      <c r="D177" s="68">
        <f>IF($C177="","",IFERROR(IF(INDEX('07. BIA'!$E$6:$E$285,MATCH($C177,'07. BIA'!$B$6:$B$285,0))="","",INDEX('07. BIA'!$E$6:$E$285,MATCH($C177,'07. BIA'!$B$6:$B$285,0))),""))</f>
      </c>
      <c r="E177" s="68">
        <f>IF($C177="","",IFERROR(IF(INDEX('07. BIA'!$F$6:$F$285,MATCH($C177,'07. BIA'!$B$6:$B$285,0))="","",INDEX('07. BIA'!$F$6:$F$285,MATCH($C177,'07. BIA'!$B$6:$B$285,0))),""))</f>
      </c>
      <c r="F177" s="304"/>
      <c r="G177" s="303"/>
      <c r="H177" s="306"/>
      <c r="I177" s="52"/>
      <c r="J177" s="19"/>
      <c r="K177" s="301"/>
      <c r="L177" s="19"/>
      <c r="M177" s="157"/>
    </row>
    <row r="178" spans="1:13" ht="15" customHeight="1" x14ac:dyDescent="0.35">
      <c r="A178" s="156">
        <v>174</v>
      </c>
      <c r="B178" s="67">
        <f t="shared" si="5"/>
      </c>
      <c r="C178" s="301"/>
      <c r="D178" s="68">
        <f>IF($C178="","",IFERROR(IF(INDEX('07. BIA'!$E$6:$E$285,MATCH($C178,'07. BIA'!$B$6:$B$285,0))="","",INDEX('07. BIA'!$E$6:$E$285,MATCH($C178,'07. BIA'!$B$6:$B$285,0))),""))</f>
      </c>
      <c r="E178" s="68">
        <f>IF($C178="","",IFERROR(IF(INDEX('07. BIA'!$F$6:$F$285,MATCH($C178,'07. BIA'!$B$6:$B$285,0))="","",INDEX('07. BIA'!$F$6:$F$285,MATCH($C178,'07. BIA'!$B$6:$B$285,0))),""))</f>
      </c>
      <c r="F178" s="304"/>
      <c r="G178" s="303"/>
      <c r="H178" s="306"/>
      <c r="I178" s="52"/>
      <c r="J178" s="19"/>
      <c r="K178" s="301"/>
      <c r="L178" s="19"/>
      <c r="M178" s="157"/>
    </row>
    <row r="179" spans="1:13" ht="15" customHeight="1" x14ac:dyDescent="0.35">
      <c r="A179" s="156">
        <v>175</v>
      </c>
      <c r="B179" s="67">
        <f t="shared" si="5"/>
      </c>
      <c r="C179" s="301"/>
      <c r="D179" s="68">
        <f>IF($C179="","",IFERROR(IF(INDEX('07. BIA'!$E$6:$E$285,MATCH($C179,'07. BIA'!$B$6:$B$285,0))="","",INDEX('07. BIA'!$E$6:$E$285,MATCH($C179,'07. BIA'!$B$6:$B$285,0))),""))</f>
      </c>
      <c r="E179" s="68">
        <f>IF($C179="","",IFERROR(IF(INDEX('07. BIA'!$F$6:$F$285,MATCH($C179,'07. BIA'!$B$6:$B$285,0))="","",INDEX('07. BIA'!$F$6:$F$285,MATCH($C179,'07. BIA'!$B$6:$B$285,0))),""))</f>
      </c>
      <c r="F179" s="304"/>
      <c r="G179" s="303"/>
      <c r="H179" s="306"/>
      <c r="I179" s="52"/>
      <c r="J179" s="19"/>
      <c r="K179" s="301"/>
      <c r="L179" s="19"/>
      <c r="M179" s="157"/>
    </row>
    <row r="180" spans="1:13" ht="15" customHeight="1" x14ac:dyDescent="0.35">
      <c r="A180" s="156">
        <v>176</v>
      </c>
      <c r="B180" s="67">
        <f t="shared" si="5"/>
      </c>
      <c r="C180" s="301"/>
      <c r="D180" s="68">
        <f>IF($C180="","",IFERROR(IF(INDEX('07. BIA'!$E$6:$E$285,MATCH($C180,'07. BIA'!$B$6:$B$285,0))="","",INDEX('07. BIA'!$E$6:$E$285,MATCH($C180,'07. BIA'!$B$6:$B$285,0))),""))</f>
      </c>
      <c r="E180" s="68">
        <f>IF($C180="","",IFERROR(IF(INDEX('07. BIA'!$F$6:$F$285,MATCH($C180,'07. BIA'!$B$6:$B$285,0))="","",INDEX('07. BIA'!$F$6:$F$285,MATCH($C180,'07. BIA'!$B$6:$B$285,0))),""))</f>
      </c>
      <c r="F180" s="304"/>
      <c r="G180" s="303"/>
      <c r="H180" s="306"/>
      <c r="I180" s="52"/>
      <c r="J180" s="19"/>
      <c r="K180" s="301"/>
      <c r="L180" s="19"/>
      <c r="M180" s="157"/>
    </row>
    <row r="181" spans="1:13" ht="15" customHeight="1" x14ac:dyDescent="0.35">
      <c r="A181" s="156">
        <v>177</v>
      </c>
      <c r="B181" s="67">
        <f t="shared" si="5"/>
      </c>
      <c r="C181" s="301"/>
      <c r="D181" s="68">
        <f>IF($C181="","",IFERROR(IF(INDEX('07. BIA'!$E$6:$E$285,MATCH($C181,'07. BIA'!$B$6:$B$285,0))="","",INDEX('07. BIA'!$E$6:$E$285,MATCH($C181,'07. BIA'!$B$6:$B$285,0))),""))</f>
      </c>
      <c r="E181" s="68">
        <f>IF($C181="","",IFERROR(IF(INDEX('07. BIA'!$F$6:$F$285,MATCH($C181,'07. BIA'!$B$6:$B$285,0))="","",INDEX('07. BIA'!$F$6:$F$285,MATCH($C181,'07. BIA'!$B$6:$B$285,0))),""))</f>
      </c>
      <c r="F181" s="304"/>
      <c r="G181" s="303"/>
      <c r="H181" s="306"/>
      <c r="I181" s="52"/>
      <c r="J181" s="19"/>
      <c r="K181" s="301"/>
      <c r="L181" s="19"/>
      <c r="M181" s="157"/>
    </row>
    <row r="182" spans="1:13" ht="15" customHeight="1" x14ac:dyDescent="0.35">
      <c r="A182" s="156">
        <v>178</v>
      </c>
      <c r="B182" s="67">
        <f t="shared" si="5"/>
      </c>
      <c r="C182" s="301"/>
      <c r="D182" s="68">
        <f>IF($C182="","",IFERROR(IF(INDEX('07. BIA'!$E$6:$E$285,MATCH($C182,'07. BIA'!$B$6:$B$285,0))="","",INDEX('07. BIA'!$E$6:$E$285,MATCH($C182,'07. BIA'!$B$6:$B$285,0))),""))</f>
      </c>
      <c r="E182" s="68">
        <f>IF($C182="","",IFERROR(IF(INDEX('07. BIA'!$F$6:$F$285,MATCH($C182,'07. BIA'!$B$6:$B$285,0))="","",INDEX('07. BIA'!$F$6:$F$285,MATCH($C182,'07. BIA'!$B$6:$B$285,0))),""))</f>
      </c>
      <c r="F182" s="304"/>
      <c r="G182" s="303"/>
      <c r="H182" s="306"/>
      <c r="I182" s="52"/>
      <c r="J182" s="19"/>
      <c r="K182" s="301"/>
      <c r="L182" s="19"/>
      <c r="M182" s="157"/>
    </row>
    <row r="183" spans="1:13" ht="15" customHeight="1" x14ac:dyDescent="0.35">
      <c r="A183" s="156">
        <v>179</v>
      </c>
      <c r="B183" s="67">
        <f t="shared" si="5"/>
      </c>
      <c r="C183" s="301"/>
      <c r="D183" s="68">
        <f>IF($C183="","",IFERROR(IF(INDEX('07. BIA'!$E$6:$E$285,MATCH($C183,'07. BIA'!$B$6:$B$285,0))="","",INDEX('07. BIA'!$E$6:$E$285,MATCH($C183,'07. BIA'!$B$6:$B$285,0))),""))</f>
      </c>
      <c r="E183" s="68">
        <f>IF($C183="","",IFERROR(IF(INDEX('07. BIA'!$F$6:$F$285,MATCH($C183,'07. BIA'!$B$6:$B$285,0))="","",INDEX('07. BIA'!$F$6:$F$285,MATCH($C183,'07. BIA'!$B$6:$B$285,0))),""))</f>
      </c>
      <c r="F183" s="304"/>
      <c r="G183" s="303"/>
      <c r="H183" s="306"/>
      <c r="I183" s="52"/>
      <c r="J183" s="19"/>
      <c r="K183" s="301"/>
      <c r="L183" s="19"/>
      <c r="M183" s="157"/>
    </row>
    <row r="184" spans="1:13" ht="15" customHeight="1" x14ac:dyDescent="0.35">
      <c r="A184" s="156">
        <v>180</v>
      </c>
      <c r="B184" s="67">
        <f t="shared" si="5"/>
      </c>
      <c r="C184" s="301"/>
      <c r="D184" s="68">
        <f>IF($C184="","",IFERROR(IF(INDEX('07. BIA'!$E$6:$E$285,MATCH($C184,'07. BIA'!$B$6:$B$285,0))="","",INDEX('07. BIA'!$E$6:$E$285,MATCH($C184,'07. BIA'!$B$6:$B$285,0))),""))</f>
      </c>
      <c r="E184" s="68">
        <f>IF($C184="","",IFERROR(IF(INDEX('07. BIA'!$F$6:$F$285,MATCH($C184,'07. BIA'!$B$6:$B$285,0))="","",INDEX('07. BIA'!$F$6:$F$285,MATCH($C184,'07. BIA'!$B$6:$B$285,0))),""))</f>
      </c>
      <c r="F184" s="304"/>
      <c r="G184" s="303"/>
      <c r="H184" s="306"/>
      <c r="I184" s="52"/>
      <c r="J184" s="19"/>
      <c r="K184" s="301"/>
      <c r="L184" s="19"/>
      <c r="M184" s="157"/>
    </row>
    <row r="185" spans="1:13" ht="15" customHeight="1" x14ac:dyDescent="0.35">
      <c r="A185" s="156">
        <v>181</v>
      </c>
      <c r="B185" s="67">
        <f t="shared" si="5"/>
      </c>
      <c r="C185" s="301"/>
      <c r="D185" s="68">
        <f>IF($C185="","",IFERROR(IF(INDEX('07. BIA'!$E$6:$E$285,MATCH($C185,'07. BIA'!$B$6:$B$285,0))="","",INDEX('07. BIA'!$E$6:$E$285,MATCH($C185,'07. BIA'!$B$6:$B$285,0))),""))</f>
      </c>
      <c r="E185" s="68">
        <f>IF($C185="","",IFERROR(IF(INDEX('07. BIA'!$F$6:$F$285,MATCH($C185,'07. BIA'!$B$6:$B$285,0))="","",INDEX('07. BIA'!$F$6:$F$285,MATCH($C185,'07. BIA'!$B$6:$B$285,0))),""))</f>
      </c>
      <c r="F185" s="304"/>
      <c r="G185" s="303"/>
      <c r="H185" s="306"/>
      <c r="I185" s="52"/>
      <c r="J185" s="19"/>
      <c r="K185" s="301"/>
      <c r="L185" s="19"/>
      <c r="M185" s="157"/>
    </row>
    <row r="186" spans="1:13" ht="15" customHeight="1" x14ac:dyDescent="0.35">
      <c r="A186" s="156">
        <v>182</v>
      </c>
      <c r="B186" s="67">
        <f t="shared" si="5"/>
      </c>
      <c r="C186" s="301"/>
      <c r="D186" s="68">
        <f>IF($C186="","",IFERROR(IF(INDEX('07. BIA'!$E$6:$E$285,MATCH($C186,'07. BIA'!$B$6:$B$285,0))="","",INDEX('07. BIA'!$E$6:$E$285,MATCH($C186,'07. BIA'!$B$6:$B$285,0))),""))</f>
      </c>
      <c r="E186" s="68">
        <f>IF($C186="","",IFERROR(IF(INDEX('07. BIA'!$F$6:$F$285,MATCH($C186,'07. BIA'!$B$6:$B$285,0))="","",INDEX('07. BIA'!$F$6:$F$285,MATCH($C186,'07. BIA'!$B$6:$B$285,0))),""))</f>
      </c>
      <c r="F186" s="304"/>
      <c r="G186" s="303"/>
      <c r="H186" s="306"/>
      <c r="I186" s="52"/>
      <c r="J186" s="19"/>
      <c r="K186" s="301"/>
      <c r="L186" s="19"/>
      <c r="M186" s="157"/>
    </row>
    <row r="187" spans="1:13" ht="15" customHeight="1" x14ac:dyDescent="0.35">
      <c r="A187" s="156">
        <v>183</v>
      </c>
      <c r="B187" s="67">
        <f t="shared" si="5"/>
      </c>
      <c r="C187" s="301"/>
      <c r="D187" s="68">
        <f>IF($C187="","",IFERROR(IF(INDEX('07. BIA'!$E$6:$E$285,MATCH($C187,'07. BIA'!$B$6:$B$285,0))="","",INDEX('07. BIA'!$E$6:$E$285,MATCH($C187,'07. BIA'!$B$6:$B$285,0))),""))</f>
      </c>
      <c r="E187" s="68">
        <f>IF($C187="","",IFERROR(IF(INDEX('07. BIA'!$F$6:$F$285,MATCH($C187,'07. BIA'!$B$6:$B$285,0))="","",INDEX('07. BIA'!$F$6:$F$285,MATCH($C187,'07. BIA'!$B$6:$B$285,0))),""))</f>
      </c>
      <c r="F187" s="304"/>
      <c r="G187" s="303"/>
      <c r="H187" s="306"/>
      <c r="I187" s="52"/>
      <c r="J187" s="19"/>
      <c r="K187" s="301"/>
      <c r="L187" s="19"/>
      <c r="M187" s="157"/>
    </row>
    <row r="188" spans="1:13" ht="15" customHeight="1" x14ac:dyDescent="0.35">
      <c r="A188" s="156">
        <v>184</v>
      </c>
      <c r="B188" s="67">
        <f t="shared" si="5"/>
      </c>
      <c r="C188" s="301"/>
      <c r="D188" s="68">
        <f>IF($C188="","",IFERROR(IF(INDEX('07. BIA'!$E$6:$E$285,MATCH($C188,'07. BIA'!$B$6:$B$285,0))="","",INDEX('07. BIA'!$E$6:$E$285,MATCH($C188,'07. BIA'!$B$6:$B$285,0))),""))</f>
      </c>
      <c r="E188" s="68">
        <f>IF($C188="","",IFERROR(IF(INDEX('07. BIA'!$F$6:$F$285,MATCH($C188,'07. BIA'!$B$6:$B$285,0))="","",INDEX('07. BIA'!$F$6:$F$285,MATCH($C188,'07. BIA'!$B$6:$B$285,0))),""))</f>
      </c>
      <c r="F188" s="304"/>
      <c r="G188" s="303"/>
      <c r="H188" s="306"/>
      <c r="I188" s="52"/>
      <c r="J188" s="19"/>
      <c r="K188" s="301"/>
      <c r="L188" s="19"/>
      <c r="M188" s="157"/>
    </row>
    <row r="189" spans="1:13" ht="15" customHeight="1" x14ac:dyDescent="0.35">
      <c r="A189" s="156">
        <v>185</v>
      </c>
      <c r="B189" s="67">
        <f t="shared" si="5"/>
      </c>
      <c r="C189" s="301"/>
      <c r="D189" s="68">
        <f>IF($C189="","",IFERROR(IF(INDEX('07. BIA'!$E$6:$E$285,MATCH($C189,'07. BIA'!$B$6:$B$285,0))="","",INDEX('07. BIA'!$E$6:$E$285,MATCH($C189,'07. BIA'!$B$6:$B$285,0))),""))</f>
      </c>
      <c r="E189" s="68">
        <f>IF($C189="","",IFERROR(IF(INDEX('07. BIA'!$F$6:$F$285,MATCH($C189,'07. BIA'!$B$6:$B$285,0))="","",INDEX('07. BIA'!$F$6:$F$285,MATCH($C189,'07. BIA'!$B$6:$B$285,0))),""))</f>
      </c>
      <c r="F189" s="304"/>
      <c r="G189" s="303"/>
      <c r="H189" s="306"/>
      <c r="I189" s="52"/>
      <c r="J189" s="19"/>
      <c r="K189" s="301"/>
      <c r="L189" s="19"/>
      <c r="M189" s="157"/>
    </row>
    <row r="190" spans="1:13" ht="15" customHeight="1" x14ac:dyDescent="0.35">
      <c r="A190" s="156">
        <v>186</v>
      </c>
      <c r="B190" s="67">
        <f t="shared" si="5"/>
      </c>
      <c r="C190" s="301"/>
      <c r="D190" s="68">
        <f>IF($C190="","",IFERROR(IF(INDEX('07. BIA'!$E$6:$E$285,MATCH($C190,'07. BIA'!$B$6:$B$285,0))="","",INDEX('07. BIA'!$E$6:$E$285,MATCH($C190,'07. BIA'!$B$6:$B$285,0))),""))</f>
      </c>
      <c r="E190" s="68">
        <f>IF($C190="","",IFERROR(IF(INDEX('07. BIA'!$F$6:$F$285,MATCH($C190,'07. BIA'!$B$6:$B$285,0))="","",INDEX('07. BIA'!$F$6:$F$285,MATCH($C190,'07. BIA'!$B$6:$B$285,0))),""))</f>
      </c>
      <c r="F190" s="304"/>
      <c r="G190" s="303"/>
      <c r="H190" s="306"/>
      <c r="I190" s="52"/>
      <c r="J190" s="19"/>
      <c r="K190" s="301"/>
      <c r="L190" s="19"/>
      <c r="M190" s="157"/>
    </row>
    <row r="191" spans="1:13" ht="15" customHeight="1" x14ac:dyDescent="0.35">
      <c r="A191" s="156">
        <v>187</v>
      </c>
      <c r="B191" s="67">
        <f t="shared" si="5"/>
      </c>
      <c r="C191" s="301"/>
      <c r="D191" s="68">
        <f>IF($C191="","",IFERROR(IF(INDEX('07. BIA'!$E$6:$E$285,MATCH($C191,'07. BIA'!$B$6:$B$285,0))="","",INDEX('07. BIA'!$E$6:$E$285,MATCH($C191,'07. BIA'!$B$6:$B$285,0))),""))</f>
      </c>
      <c r="E191" s="68">
        <f>IF($C191="","",IFERROR(IF(INDEX('07. BIA'!$F$6:$F$285,MATCH($C191,'07. BIA'!$B$6:$B$285,0))="","",INDEX('07. BIA'!$F$6:$F$285,MATCH($C191,'07. BIA'!$B$6:$B$285,0))),""))</f>
      </c>
      <c r="F191" s="304"/>
      <c r="G191" s="303"/>
      <c r="H191" s="306"/>
      <c r="I191" s="52"/>
      <c r="J191" s="19"/>
      <c r="K191" s="301"/>
      <c r="L191" s="19"/>
      <c r="M191" s="157"/>
    </row>
    <row r="192" spans="1:13" ht="15" customHeight="1" x14ac:dyDescent="0.35">
      <c r="A192" s="156">
        <v>188</v>
      </c>
      <c r="B192" s="67">
        <f t="shared" si="5"/>
      </c>
      <c r="C192" s="301"/>
      <c r="D192" s="68">
        <f>IF($C192="","",IFERROR(IF(INDEX('07. BIA'!$E$6:$E$285,MATCH($C192,'07. BIA'!$B$6:$B$285,0))="","",INDEX('07. BIA'!$E$6:$E$285,MATCH($C192,'07. BIA'!$B$6:$B$285,0))),""))</f>
      </c>
      <c r="E192" s="68">
        <f>IF($C192="","",IFERROR(IF(INDEX('07. BIA'!$F$6:$F$285,MATCH($C192,'07. BIA'!$B$6:$B$285,0))="","",INDEX('07. BIA'!$F$6:$F$285,MATCH($C192,'07. BIA'!$B$6:$B$285,0))),""))</f>
      </c>
      <c r="F192" s="304"/>
      <c r="G192" s="303"/>
      <c r="H192" s="306"/>
      <c r="I192" s="52"/>
      <c r="J192" s="19"/>
      <c r="K192" s="301"/>
      <c r="L192" s="19"/>
      <c r="M192" s="157"/>
    </row>
    <row r="193" spans="1:13" ht="15" customHeight="1" x14ac:dyDescent="0.35">
      <c r="A193" s="156">
        <v>189</v>
      </c>
      <c r="B193" s="67">
        <f t="shared" si="5"/>
      </c>
      <c r="C193" s="301"/>
      <c r="D193" s="68">
        <f>IF($C193="","",IFERROR(IF(INDEX('07. BIA'!$E$6:$E$285,MATCH($C193,'07. BIA'!$B$6:$B$285,0))="","",INDEX('07. BIA'!$E$6:$E$285,MATCH($C193,'07. BIA'!$B$6:$B$285,0))),""))</f>
      </c>
      <c r="E193" s="68">
        <f>IF($C193="","",IFERROR(IF(INDEX('07. BIA'!$F$6:$F$285,MATCH($C193,'07. BIA'!$B$6:$B$285,0))="","",INDEX('07. BIA'!$F$6:$F$285,MATCH($C193,'07. BIA'!$B$6:$B$285,0))),""))</f>
      </c>
      <c r="F193" s="304"/>
      <c r="G193" s="303"/>
      <c r="H193" s="306"/>
      <c r="I193" s="52"/>
      <c r="J193" s="19"/>
      <c r="K193" s="301"/>
      <c r="L193" s="19"/>
      <c r="M193" s="157"/>
    </row>
    <row r="194" spans="1:13" ht="15" customHeight="1" x14ac:dyDescent="0.35">
      <c r="A194" s="156">
        <v>190</v>
      </c>
      <c r="B194" s="67">
        <f t="shared" si="5"/>
      </c>
      <c r="C194" s="301"/>
      <c r="D194" s="68">
        <f>IF($C194="","",IFERROR(IF(INDEX('07. BIA'!$E$6:$E$285,MATCH($C194,'07. BIA'!$B$6:$B$285,0))="","",INDEX('07. BIA'!$E$6:$E$285,MATCH($C194,'07. BIA'!$B$6:$B$285,0))),""))</f>
      </c>
      <c r="E194" s="68">
        <f>IF($C194="","",IFERROR(IF(INDEX('07. BIA'!$F$6:$F$285,MATCH($C194,'07. BIA'!$B$6:$B$285,0))="","",INDEX('07. BIA'!$F$6:$F$285,MATCH($C194,'07. BIA'!$B$6:$B$285,0))),""))</f>
      </c>
      <c r="F194" s="304"/>
      <c r="G194" s="303"/>
      <c r="H194" s="306"/>
      <c r="I194" s="52"/>
      <c r="J194" s="19"/>
      <c r="K194" s="301"/>
      <c r="L194" s="19"/>
      <c r="M194" s="157"/>
    </row>
    <row r="195" spans="1:13" ht="15" customHeight="1" x14ac:dyDescent="0.35">
      <c r="A195" s="156">
        <v>191</v>
      </c>
      <c r="B195" s="67">
        <f t="shared" si="5"/>
      </c>
      <c r="C195" s="301"/>
      <c r="D195" s="68">
        <f>IF($C195="","",IFERROR(IF(INDEX('07. BIA'!$E$6:$E$285,MATCH($C195,'07. BIA'!$B$6:$B$285,0))="","",INDEX('07. BIA'!$E$6:$E$285,MATCH($C195,'07. BIA'!$B$6:$B$285,0))),""))</f>
      </c>
      <c r="E195" s="68">
        <f>IF($C195="","",IFERROR(IF(INDEX('07. BIA'!$F$6:$F$285,MATCH($C195,'07. BIA'!$B$6:$B$285,0))="","",INDEX('07. BIA'!$F$6:$F$285,MATCH($C195,'07. BIA'!$B$6:$B$285,0))),""))</f>
      </c>
      <c r="F195" s="304"/>
      <c r="G195" s="303"/>
      <c r="H195" s="306"/>
      <c r="I195" s="52"/>
      <c r="J195" s="19"/>
      <c r="K195" s="301"/>
      <c r="L195" s="19"/>
      <c r="M195" s="157"/>
    </row>
    <row r="196" spans="1:13" ht="15" customHeight="1" x14ac:dyDescent="0.35">
      <c r="A196" s="156">
        <v>192</v>
      </c>
      <c r="B196" s="67">
        <f t="shared" si="5"/>
      </c>
      <c r="C196" s="301"/>
      <c r="D196" s="68">
        <f>IF($C196="","",IFERROR(IF(INDEX('07. BIA'!$E$6:$E$285,MATCH($C196,'07. BIA'!$B$6:$B$285,0))="","",INDEX('07. BIA'!$E$6:$E$285,MATCH($C196,'07. BIA'!$B$6:$B$285,0))),""))</f>
      </c>
      <c r="E196" s="68">
        <f>IF($C196="","",IFERROR(IF(INDEX('07. BIA'!$F$6:$F$285,MATCH($C196,'07. BIA'!$B$6:$B$285,0))="","",INDEX('07. BIA'!$F$6:$F$285,MATCH($C196,'07. BIA'!$B$6:$B$285,0))),""))</f>
      </c>
      <c r="F196" s="304"/>
      <c r="G196" s="303"/>
      <c r="H196" s="306"/>
      <c r="I196" s="52"/>
      <c r="J196" s="19"/>
      <c r="K196" s="301"/>
      <c r="L196" s="19"/>
      <c r="M196" s="157"/>
    </row>
    <row r="197" spans="1:13" ht="15" customHeight="1" x14ac:dyDescent="0.35">
      <c r="A197" s="156">
        <v>193</v>
      </c>
      <c r="B197" s="67">
        <f t="shared" ref="B197:B204" si="6">IF($I197="","","DEP-"&amp;TEXT($A197,"000"))</f>
      </c>
      <c r="C197" s="301"/>
      <c r="D197" s="68">
        <f>IF($C197="","",IFERROR(IF(INDEX('07. BIA'!$E$6:$E$285,MATCH($C197,'07. BIA'!$B$6:$B$285,0))="","",INDEX('07. BIA'!$E$6:$E$285,MATCH($C197,'07. BIA'!$B$6:$B$285,0))),""))</f>
      </c>
      <c r="E197" s="68">
        <f>IF($C197="","",IFERROR(IF(INDEX('07. BIA'!$F$6:$F$285,MATCH($C197,'07. BIA'!$B$6:$B$285,0))="","",INDEX('07. BIA'!$F$6:$F$285,MATCH($C197,'07. BIA'!$B$6:$B$285,0))),""))</f>
      </c>
      <c r="F197" s="304"/>
      <c r="G197" s="303"/>
      <c r="H197" s="306"/>
      <c r="I197" s="52"/>
      <c r="J197" s="19"/>
      <c r="K197" s="301"/>
      <c r="L197" s="19"/>
      <c r="M197" s="157"/>
    </row>
    <row r="198" spans="1:13" ht="15" customHeight="1" x14ac:dyDescent="0.35">
      <c r="A198" s="156">
        <v>194</v>
      </c>
      <c r="B198" s="67">
        <f t="shared" si="6"/>
      </c>
      <c r="C198" s="301"/>
      <c r="D198" s="68">
        <f>IF($C198="","",IFERROR(IF(INDEX('07. BIA'!$E$6:$E$285,MATCH($C198,'07. BIA'!$B$6:$B$285,0))="","",INDEX('07. BIA'!$E$6:$E$285,MATCH($C198,'07. BIA'!$B$6:$B$285,0))),""))</f>
      </c>
      <c r="E198" s="68">
        <f>IF($C198="","",IFERROR(IF(INDEX('07. BIA'!$F$6:$F$285,MATCH($C198,'07. BIA'!$B$6:$B$285,0))="","",INDEX('07. BIA'!$F$6:$F$285,MATCH($C198,'07. BIA'!$B$6:$B$285,0))),""))</f>
      </c>
      <c r="F198" s="304"/>
      <c r="G198" s="303"/>
      <c r="H198" s="306"/>
      <c r="I198" s="52"/>
      <c r="J198" s="19"/>
      <c r="K198" s="301"/>
      <c r="L198" s="19"/>
      <c r="M198" s="157"/>
    </row>
    <row r="199" spans="1:13" ht="15" customHeight="1" x14ac:dyDescent="0.35">
      <c r="A199" s="156">
        <v>195</v>
      </c>
      <c r="B199" s="67">
        <f t="shared" si="6"/>
      </c>
      <c r="C199" s="301"/>
      <c r="D199" s="68">
        <f>IF($C199="","",IFERROR(IF(INDEX('07. BIA'!$E$6:$E$285,MATCH($C199,'07. BIA'!$B$6:$B$285,0))="","",INDEX('07. BIA'!$E$6:$E$285,MATCH($C199,'07. BIA'!$B$6:$B$285,0))),""))</f>
      </c>
      <c r="E199" s="68">
        <f>IF($C199="","",IFERROR(IF(INDEX('07. BIA'!$F$6:$F$285,MATCH($C199,'07. BIA'!$B$6:$B$285,0))="","",INDEX('07. BIA'!$F$6:$F$285,MATCH($C199,'07. BIA'!$B$6:$B$285,0))),""))</f>
      </c>
      <c r="F199" s="304"/>
      <c r="G199" s="303"/>
      <c r="H199" s="306"/>
      <c r="I199" s="52"/>
      <c r="J199" s="19"/>
      <c r="K199" s="301"/>
      <c r="L199" s="19"/>
      <c r="M199" s="157"/>
    </row>
    <row r="200" spans="1:13" ht="15" customHeight="1" x14ac:dyDescent="0.35">
      <c r="A200" s="156">
        <v>196</v>
      </c>
      <c r="B200" s="67">
        <f t="shared" si="6"/>
      </c>
      <c r="C200" s="301"/>
      <c r="D200" s="68">
        <f>IF($C200="","",IFERROR(IF(INDEX('07. BIA'!$E$6:$E$285,MATCH($C200,'07. BIA'!$B$6:$B$285,0))="","",INDEX('07. BIA'!$E$6:$E$285,MATCH($C200,'07. BIA'!$B$6:$B$285,0))),""))</f>
      </c>
      <c r="E200" s="68">
        <f>IF($C200="","",IFERROR(IF(INDEX('07. BIA'!$F$6:$F$285,MATCH($C200,'07. BIA'!$B$6:$B$285,0))="","",INDEX('07. BIA'!$F$6:$F$285,MATCH($C200,'07. BIA'!$B$6:$B$285,0))),""))</f>
      </c>
      <c r="F200" s="304"/>
      <c r="G200" s="303"/>
      <c r="H200" s="306"/>
      <c r="I200" s="52"/>
      <c r="J200" s="19"/>
      <c r="K200" s="301"/>
      <c r="L200" s="19"/>
      <c r="M200" s="157"/>
    </row>
    <row r="201" spans="1:13" ht="15" customHeight="1" x14ac:dyDescent="0.35">
      <c r="A201" s="156">
        <v>197</v>
      </c>
      <c r="B201" s="67">
        <f t="shared" si="6"/>
      </c>
      <c r="C201" s="301"/>
      <c r="D201" s="68">
        <f>IF($C201="","",IFERROR(IF(INDEX('07. BIA'!$E$6:$E$285,MATCH($C201,'07. BIA'!$B$6:$B$285,0))="","",INDEX('07. BIA'!$E$6:$E$285,MATCH($C201,'07. BIA'!$B$6:$B$285,0))),""))</f>
      </c>
      <c r="E201" s="68">
        <f>IF($C201="","",IFERROR(IF(INDEX('07. BIA'!$F$6:$F$285,MATCH($C201,'07. BIA'!$B$6:$B$285,0))="","",INDEX('07. BIA'!$F$6:$F$285,MATCH($C201,'07. BIA'!$B$6:$B$285,0))),""))</f>
      </c>
      <c r="F201" s="304"/>
      <c r="G201" s="303"/>
      <c r="H201" s="306"/>
      <c r="I201" s="52"/>
      <c r="J201" s="19"/>
      <c r="K201" s="301"/>
      <c r="L201" s="19"/>
      <c r="M201" s="157"/>
    </row>
    <row r="202" spans="1:13" ht="15" customHeight="1" x14ac:dyDescent="0.35">
      <c r="A202" s="156">
        <v>198</v>
      </c>
      <c r="B202" s="67">
        <f t="shared" si="6"/>
      </c>
      <c r="C202" s="301"/>
      <c r="D202" s="68">
        <f>IF($C202="","",IFERROR(IF(INDEX('07. BIA'!$E$6:$E$285,MATCH($C202,'07. BIA'!$B$6:$B$285,0))="","",INDEX('07. BIA'!$E$6:$E$285,MATCH($C202,'07. BIA'!$B$6:$B$285,0))),""))</f>
      </c>
      <c r="E202" s="68">
        <f>IF($C202="","",IFERROR(IF(INDEX('07. BIA'!$F$6:$F$285,MATCH($C202,'07. BIA'!$B$6:$B$285,0))="","",INDEX('07. BIA'!$F$6:$F$285,MATCH($C202,'07. BIA'!$B$6:$B$285,0))),""))</f>
      </c>
      <c r="F202" s="304"/>
      <c r="G202" s="303"/>
      <c r="H202" s="306"/>
      <c r="I202" s="52"/>
      <c r="J202" s="19"/>
      <c r="K202" s="301"/>
      <c r="L202" s="19"/>
      <c r="M202" s="157"/>
    </row>
    <row r="203" spans="1:13" ht="15" customHeight="1" x14ac:dyDescent="0.35">
      <c r="A203" s="156">
        <v>199</v>
      </c>
      <c r="B203" s="67">
        <f t="shared" si="6"/>
      </c>
      <c r="C203" s="301"/>
      <c r="D203" s="68">
        <f>IF($C203="","",IFERROR(IF(INDEX('07. BIA'!$E$6:$E$285,MATCH($C203,'07. BIA'!$B$6:$B$285,0))="","",INDEX('07. BIA'!$E$6:$E$285,MATCH($C203,'07. BIA'!$B$6:$B$285,0))),""))</f>
      </c>
      <c r="E203" s="68">
        <f>IF($C203="","",IFERROR(IF(INDEX('07. BIA'!$F$6:$F$285,MATCH($C203,'07. BIA'!$B$6:$B$285,0))="","",INDEX('07. BIA'!$F$6:$F$285,MATCH($C203,'07. BIA'!$B$6:$B$285,0))),""))</f>
      </c>
      <c r="F203" s="304"/>
      <c r="G203" s="303"/>
      <c r="H203" s="306"/>
      <c r="I203" s="52"/>
      <c r="J203" s="19"/>
      <c r="K203" s="301"/>
      <c r="L203" s="19"/>
      <c r="M203" s="157"/>
    </row>
    <row r="204" spans="1:13" ht="15" customHeight="1" x14ac:dyDescent="0.35">
      <c r="A204" s="162">
        <v>200</v>
      </c>
      <c r="B204" s="163">
        <f t="shared" si="6"/>
      </c>
      <c r="C204" s="302"/>
      <c r="D204" s="165">
        <f>IF($C204="","",IFERROR(IF(INDEX('07. BIA'!$E$6:$E$285,MATCH($C204,'07. BIA'!$B$6:$B$285,0))="","",INDEX('07. BIA'!$E$6:$E$285,MATCH($C204,'07. BIA'!$B$6:$B$285,0))),""))</f>
      </c>
      <c r="E204" s="165">
        <f>IF($C204="","",IFERROR(IF(INDEX('07. BIA'!$F$6:$F$285,MATCH($C204,'07. BIA'!$B$6:$B$285,0))="","",INDEX('07. BIA'!$F$6:$F$285,MATCH($C204,'07. BIA'!$B$6:$B$285,0))),""))</f>
      </c>
      <c r="F204" s="305"/>
      <c r="G204" s="303"/>
      <c r="H204" s="306"/>
      <c r="I204" s="167"/>
      <c r="J204" s="141"/>
      <c r="K204" s="302"/>
      <c r="L204" s="141"/>
      <c r="M204" s="168"/>
    </row>
  </sheetData>
  <mergeCells count="2">
    <mergeCell ref="A1:M1"/>
    <mergeCell ref="A2:M2"/>
  </mergeCells>
  <conditionalFormatting sqref="C5:C204 F5:F204 K5:L204">
    <cfRule type="expression" dxfId="250" priority="1">
      <formula>AND($I5&lt;&gt;"",C5="")</formula>
    </cfRule>
  </conditionalFormatting>
  <dataValidations count="6">
    <dataValidation type="list" allowBlank="1" sqref="C5:C204" xr:uid="{00000000-0002-0000-0800-000000000000}">
      <formula1>BIAIDs</formula1>
    </dataValidation>
    <dataValidation type="list" allowBlank="1" sqref="F5:F126 F128:F204" xr:uid="{00000000-0002-0000-0800-000001000000}">
      <formula1>lstDepCat</formula1>
      <formula2>0</formula2>
    </dataValidation>
    <dataValidation type="list" allowBlank="1" sqref="K5:K204" xr:uid="{00000000-0002-0000-0800-000002000000}">
      <formula1>lstSPOF</formula1>
      <formula2>0</formula2>
    </dataValidation>
    <dataValidation type="list" allowBlank="1" sqref="G5:G204" xr:uid="{5217F368-A3AB-4984-B15D-B53DFC8FB270}">
      <formula1>IF(F5="ICT",ICT_List,IF(F5="Equipment / Building / Utilities",E_1,""))</formula1>
    </dataValidation>
    <dataValidation type="list" allowBlank="1" showInputMessage="1" showErrorMessage="1" sqref="H5:H204" xr:uid="{ABC230D7-9BCA-4D82-BEDE-AD44DECA43D0}">
      <formula1>IF(AND(F5="ICT",G5="Application"),I_A,IF(AND(F5="ICT",G5="Service"),I_S,IF(AND(F5="Equipment / Building / Utilities",G5="Equipment / Building / Utilities"),E_E,"No")))</formula1>
    </dataValidation>
    <dataValidation type="list" allowBlank="1" sqref="F127" xr:uid="{9EB1B221-55B1-4F93-94D6-2E196F2F6D80}">
      <formula1>lstDepCat</formula1>
    </dataValidation>
  </dataValidations>
  <pageMargins left="0.75" right="0.75" top="1" bottom="1" header="0.511811023622047" footer="0.51180555555555596"/>
  <pageSetup paperSize="9" orientation="portrait" horizontalDpi="300" verticalDpi="300"/>
  <headerFooter>
    <oddFooter>&amp;L&amp;A&amp;RPage &amp;P of &amp;N</oddFooter>
  </headerFooter>
  <legacy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92882"/>
  </sheetPr>
  <dimension ref="A1:R24"/>
  <sheetViews>
    <sheetView zoomScale="70" zoomScaleNormal="70" workbookViewId="0">
      <selection activeCell="A2" sqref="A2:R2"/>
    </sheetView>
  </sheetViews>
  <sheetFormatPr defaultColWidth="9.1796875" defaultRowHeight="14.5" x14ac:dyDescent="0.35"/>
  <cols>
    <col min="1" max="1" width="27.54296875" style="18" bestFit="1" customWidth="1"/>
    <col min="2" max="2" width="18.453125" style="18" customWidth="1"/>
    <col min="3" max="3" width="23" style="18" bestFit="1" customWidth="1"/>
    <col min="4" max="4" width="31.7265625" style="18" bestFit="1" customWidth="1"/>
    <col min="5" max="5" width="28.54296875" style="18" bestFit="1" customWidth="1"/>
    <col min="6" max="6" width="23.54296875" style="18" bestFit="1" customWidth="1"/>
    <col min="7" max="7" width="32.7265625" style="18" bestFit="1" customWidth="1"/>
    <col min="8" max="8" width="24.81640625" style="18" bestFit="1" customWidth="1"/>
    <col min="9" max="9" width="35.7265625" style="18" bestFit="1" customWidth="1"/>
    <col min="10" max="13" width="9.1796875" style="18"/>
    <col min="14" max="14" width="44.26953125" style="18" bestFit="1" customWidth="1"/>
    <col min="15" max="15" width="44.1796875" style="18" bestFit="1" customWidth="1"/>
    <col min="16" max="16" width="44.453125" style="18" bestFit="1" customWidth="1"/>
    <col min="17" max="17" width="48.7265625" style="18" customWidth="1"/>
    <col min="18" max="18" width="9.1796875" style="18"/>
    <col min="19" max="22" width="44.54296875" style="18" customWidth="1"/>
    <col min="23" max="23" width="9.1796875" style="18"/>
    <col min="24" max="27" width="44.26953125" style="18" customWidth="1"/>
    <col min="28" max="28" width="9.1796875" style="18"/>
    <col min="29" max="32" width="44.54296875" style="18" customWidth="1"/>
    <col min="33" max="33" width="9.1796875" style="18"/>
    <col min="34" max="34" width="43.26953125" style="18" bestFit="1" customWidth="1"/>
    <col min="35" max="35" width="43.54296875" style="18" bestFit="1" customWidth="1"/>
    <col min="36" max="36" width="44.26953125" style="18" bestFit="1" customWidth="1"/>
    <col min="37" max="37" width="43.7265625" style="18" bestFit="1" customWidth="1"/>
    <col min="38" max="38" width="9.1796875" style="18"/>
    <col min="39" max="39" width="43.26953125" style="18" bestFit="1" customWidth="1"/>
    <col min="40" max="40" width="43.54296875" style="18" bestFit="1" customWidth="1"/>
    <col min="41" max="41" width="44.26953125" style="18" bestFit="1" customWidth="1"/>
    <col min="42" max="42" width="43.453125" style="18" bestFit="1" customWidth="1"/>
    <col min="43" max="43" width="9.1796875" style="18"/>
    <col min="44" max="44" width="43" style="18" bestFit="1" customWidth="1"/>
    <col min="45" max="45" width="43.1796875" style="18" bestFit="1" customWidth="1"/>
    <col min="46" max="46" width="44.26953125" style="18" bestFit="1" customWidth="1"/>
    <col min="47" max="47" width="43.1796875" style="18" bestFit="1" customWidth="1"/>
    <col min="48" max="16384" width="9.1796875" style="18"/>
  </cols>
  <sheetData>
    <row r="1" spans="1:18" x14ac:dyDescent="0.35">
      <c r="A1" s="275" t="s">
        <v>221</v>
      </c>
      <c r="B1" s="214"/>
      <c r="C1" s="214"/>
      <c r="D1" s="214"/>
      <c r="E1" s="214"/>
      <c r="F1" s="214"/>
      <c r="G1" s="214"/>
      <c r="H1" s="214"/>
      <c r="I1" s="214"/>
      <c r="J1" s="214"/>
      <c r="K1" s="214"/>
      <c r="L1" s="214"/>
      <c r="M1" s="214"/>
      <c r="N1" s="214"/>
      <c r="O1" s="214"/>
      <c r="P1" s="214"/>
      <c r="Q1" s="214"/>
      <c r="R1" s="214"/>
    </row>
    <row r="2" spans="1:18" ht="16.5" x14ac:dyDescent="0.35">
      <c r="A2" s="274"/>
      <c r="B2" s="214"/>
      <c r="C2" s="214"/>
      <c r="D2" s="214"/>
      <c r="E2" s="214"/>
      <c r="F2" s="214"/>
      <c r="G2" s="214"/>
      <c r="H2" s="214"/>
      <c r="I2" s="214"/>
      <c r="J2" s="214"/>
      <c r="K2" s="214"/>
      <c r="L2" s="214"/>
      <c r="M2" s="214"/>
      <c r="N2" s="214"/>
      <c r="O2" s="214"/>
      <c r="P2" s="214"/>
      <c r="Q2" s="214"/>
      <c r="R2" s="214"/>
    </row>
    <row r="3" spans="1:18" x14ac:dyDescent="0.35">
      <c r="C3"/>
      <c r="D3"/>
      <c r="E3"/>
      <c r="F3"/>
      <c r="G3"/>
      <c r="H3"/>
      <c r="I3"/>
    </row>
    <row r="4" spans="1:18" ht="15" x14ac:dyDescent="0.35">
      <c r="A4" s="57" t="s">
        <v>222</v>
      </c>
      <c r="C4" s="57" t="s">
        <v>205</v>
      </c>
      <c r="D4" s="57" t="s">
        <v>160</v>
      </c>
      <c r="E4" s="57" t="s">
        <v>206</v>
      </c>
      <c r="F4" s="57" t="s">
        <v>207</v>
      </c>
      <c r="G4" s="57" t="s">
        <v>161</v>
      </c>
      <c r="H4" s="57" t="s">
        <v>208</v>
      </c>
      <c r="I4" s="57" t="s">
        <v>209</v>
      </c>
    </row>
    <row r="5" spans="1:18" x14ac:dyDescent="0.35">
      <c r="A5" s="58" cm="1">
        <f t="array" ref="A5:A11">lstDepCat</f>
      </c>
      <c r="C5" s="211" t="s">
        <v>223</v>
      </c>
      <c r="D5" s="211" t="s">
        <v>224</v>
      </c>
      <c r="E5" s="211" t="s">
        <v>225</v>
      </c>
      <c r="F5" s="211" t="s">
        <v>226</v>
      </c>
      <c r="G5" s="211" t="s">
        <v>227</v>
      </c>
      <c r="H5" s="211" t="s">
        <v>228</v>
      </c>
      <c r="I5" s="211" t="s">
        <v>229</v>
      </c>
    </row>
    <row r="6" spans="1:18" x14ac:dyDescent="0.35">
      <c r="A6" s="58"/>
      <c r="C6" s="211" t="s">
        <v>230</v>
      </c>
      <c r="D6" s="211" t="s">
        <v>231</v>
      </c>
      <c r="E6" s="211" t="s">
        <v>232</v>
      </c>
      <c r="F6" s="211" t="s">
        <v>233</v>
      </c>
      <c r="G6" s="211" t="s">
        <v>234</v>
      </c>
      <c r="H6" s="211" t="s">
        <v>235</v>
      </c>
      <c r="I6" s="211" t="s">
        <v>236</v>
      </c>
    </row>
    <row r="7" spans="1:18" x14ac:dyDescent="0.35">
      <c r="A7" s="58"/>
      <c r="C7" s="211" t="s">
        <v>237</v>
      </c>
      <c r="D7" s="211" t="s">
        <v>238</v>
      </c>
      <c r="E7" s="211" t="s">
        <v>239</v>
      </c>
      <c r="F7" s="211" t="s">
        <v>240</v>
      </c>
      <c r="G7" s="211" t="s">
        <v>241</v>
      </c>
      <c r="H7" s="211" t="s">
        <v>242</v>
      </c>
      <c r="I7" s="211" t="s">
        <v>243</v>
      </c>
    </row>
    <row r="8" spans="1:18" x14ac:dyDescent="0.35">
      <c r="A8" s="58"/>
      <c r="C8" s="211" t="s">
        <v>244</v>
      </c>
      <c r="D8" s="211" t="s">
        <v>245</v>
      </c>
      <c r="E8" s="211" t="s">
        <v>246</v>
      </c>
      <c r="F8" s="211" t="s">
        <v>247</v>
      </c>
      <c r="G8" s="211" t="s">
        <v>248</v>
      </c>
      <c r="H8" s="211" t="s">
        <v>249</v>
      </c>
      <c r="I8" s="211" t="s">
        <v>250</v>
      </c>
    </row>
    <row r="9" spans="1:18" x14ac:dyDescent="0.35">
      <c r="A9" s="58"/>
      <c r="C9" s="211" t="s">
        <v>251</v>
      </c>
      <c r="D9" s="211" t="s">
        <v>252</v>
      </c>
      <c r="E9" s="211" t="s">
        <v>253</v>
      </c>
      <c r="F9" s="211" t="s">
        <v>254</v>
      </c>
      <c r="G9" s="211" t="s">
        <v>255</v>
      </c>
      <c r="H9" s="211" t="s">
        <v>256</v>
      </c>
      <c r="I9" s="211" t="s">
        <v>257</v>
      </c>
    </row>
    <row r="10" spans="1:18" x14ac:dyDescent="0.35">
      <c r="A10" s="58"/>
      <c r="C10" s="211"/>
      <c r="D10" s="211"/>
      <c r="E10" s="211"/>
      <c r="F10" s="211"/>
      <c r="G10" s="211"/>
      <c r="H10" s="211"/>
      <c r="I10" s="211"/>
    </row>
    <row r="11" spans="1:18" x14ac:dyDescent="0.35">
      <c r="A11" s="58"/>
      <c r="C11" s="211"/>
      <c r="D11" s="211"/>
      <c r="E11" s="211"/>
      <c r="F11" s="211"/>
      <c r="G11" s="211"/>
      <c r="H11" s="211"/>
      <c r="I11" s="211"/>
    </row>
    <row r="12" spans="1:18" x14ac:dyDescent="0.35">
      <c r="C12" s="211"/>
      <c r="D12" s="211"/>
      <c r="E12" s="211"/>
      <c r="F12" s="211"/>
      <c r="G12" s="211"/>
      <c r="H12" s="211"/>
      <c r="I12" s="211"/>
    </row>
    <row r="13" spans="1:18" x14ac:dyDescent="0.35">
      <c r="C13" s="211"/>
      <c r="D13" s="211"/>
      <c r="E13" s="211"/>
      <c r="F13" s="211"/>
      <c r="G13" s="211"/>
      <c r="H13" s="211"/>
      <c r="I13" s="211"/>
    </row>
    <row r="14" spans="1:18" x14ac:dyDescent="0.35">
      <c r="C14" s="211"/>
      <c r="D14" s="211"/>
      <c r="E14" s="211"/>
      <c r="F14" s="211"/>
      <c r="G14" s="211"/>
      <c r="H14" s="211"/>
      <c r="I14" s="211"/>
    </row>
    <row r="15" spans="1:18" x14ac:dyDescent="0.35">
      <c r="C15" s="211"/>
      <c r="D15" s="211"/>
      <c r="E15" s="211"/>
      <c r="F15" s="211"/>
      <c r="G15" s="211"/>
      <c r="H15" s="211"/>
      <c r="I15" s="211"/>
    </row>
    <row r="16" spans="1:18" x14ac:dyDescent="0.35">
      <c r="C16" s="211"/>
      <c r="D16" s="211"/>
      <c r="E16" s="211"/>
      <c r="F16" s="211"/>
      <c r="G16" s="211"/>
      <c r="H16" s="211"/>
      <c r="I16" s="211"/>
    </row>
    <row r="17" spans="3:9" x14ac:dyDescent="0.35">
      <c r="C17" s="211"/>
      <c r="D17" s="211"/>
      <c r="E17" s="211"/>
      <c r="F17" s="211"/>
      <c r="G17" s="211"/>
      <c r="H17" s="211"/>
      <c r="I17" s="211"/>
    </row>
    <row r="18" spans="3:9" x14ac:dyDescent="0.35">
      <c r="C18" s="211"/>
      <c r="D18" s="211"/>
      <c r="E18" s="211"/>
      <c r="F18" s="211"/>
      <c r="G18" s="211"/>
      <c r="H18" s="211"/>
      <c r="I18" s="211"/>
    </row>
    <row r="19" spans="3:9" x14ac:dyDescent="0.35">
      <c r="C19" s="211"/>
      <c r="D19" s="211"/>
      <c r="E19" s="211"/>
      <c r="F19" s="211"/>
      <c r="G19" s="211"/>
      <c r="H19" s="211"/>
      <c r="I19" s="211"/>
    </row>
    <row r="20" spans="3:9" x14ac:dyDescent="0.35">
      <c r="C20" s="211"/>
      <c r="D20" s="211"/>
      <c r="E20" s="211"/>
      <c r="F20" s="211"/>
      <c r="G20" s="211"/>
      <c r="H20" s="211"/>
      <c r="I20" s="211"/>
    </row>
    <row r="21" spans="3:9" x14ac:dyDescent="0.35">
      <c r="C21" s="211"/>
      <c r="D21" s="211"/>
      <c r="E21" s="211"/>
      <c r="F21" s="211"/>
      <c r="G21" s="211"/>
      <c r="H21" s="211"/>
      <c r="I21" s="211"/>
    </row>
    <row r="22" spans="3:9" x14ac:dyDescent="0.35">
      <c r="C22" s="211"/>
      <c r="D22" s="211"/>
      <c r="E22" s="211"/>
      <c r="F22" s="211"/>
      <c r="G22" s="211"/>
      <c r="H22" s="211"/>
      <c r="I22" s="211"/>
    </row>
    <row r="23" spans="3:9" x14ac:dyDescent="0.35">
      <c r="C23" s="211"/>
      <c r="D23" s="211"/>
      <c r="E23" s="211"/>
      <c r="F23" s="211"/>
      <c r="G23" s="211"/>
      <c r="H23" s="211"/>
      <c r="I23" s="211"/>
    </row>
    <row r="24" spans="3:9" x14ac:dyDescent="0.35">
      <c r="C24" s="211"/>
      <c r="D24" s="211"/>
      <c r="E24" s="211"/>
      <c r="F24" s="211"/>
      <c r="G24" s="211"/>
      <c r="H24" s="211"/>
      <c r="I24" s="211"/>
    </row>
  </sheetData>
  <mergeCells count="2">
    <mergeCell ref="A2:R2"/>
    <mergeCell ref="A1:R1"/>
  </mergeCells>
  <pageMargins left="0.7" right="0.7" top="0.75" bottom="0.75" header="0.3" footer="0.3"/>
  <headerFooter>
    <oddFooter>&amp;L&amp;A&amp;RPage &amp;P of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92882"/>
  </sheetPr>
  <dimension ref="A1:Z34"/>
  <sheetViews>
    <sheetView showGridLines="0" zoomScaleNormal="100" workbookViewId="0">
      <pane ySplit="4" topLeftCell="A5" activePane="bottomLeft" state="frozen"/>
      <selection pane="bottomLeft" activeCell="A2" sqref="A2:T2"/>
    </sheetView>
  </sheetViews>
  <sheetFormatPr defaultColWidth="8.54296875" defaultRowHeight="14.5" x14ac:dyDescent="0.35"/>
  <cols>
    <col min="1" max="1" width="9.81640625" bestFit="1" customWidth="1"/>
    <col min="2" max="2" width="18.453125" bestFit="1" customWidth="1"/>
    <col min="3" max="3" width="9" bestFit="1" customWidth="1"/>
    <col min="4" max="4" width="12.81640625" bestFit="1" customWidth="1"/>
    <col min="5" max="5" width="25.54296875" bestFit="1" customWidth="1"/>
    <col min="6" max="6" width="21.26953125" bestFit="1" customWidth="1"/>
    <col min="7" max="7" width="36.453125" bestFit="1" customWidth="1"/>
    <col min="8" max="8" width="36.54296875" bestFit="1" customWidth="1"/>
    <col min="9" max="9" width="32" bestFit="1" customWidth="1"/>
    <col min="10" max="10" width="24.54296875" bestFit="1" customWidth="1"/>
    <col min="11" max="11" width="26.7265625" bestFit="1" customWidth="1"/>
    <col min="12" max="12" width="26.1796875" bestFit="1" customWidth="1"/>
    <col min="13" max="13" width="24" bestFit="1" customWidth="1"/>
    <col min="14" max="14" width="23.453125" bestFit="1" customWidth="1"/>
    <col min="15" max="15" width="30.453125" bestFit="1" customWidth="1"/>
    <col min="16" max="16" width="21.26953125" bestFit="1" customWidth="1"/>
    <col min="17" max="17" width="22.453125" bestFit="1" customWidth="1"/>
    <col min="18" max="18" width="13.54296875" bestFit="1" customWidth="1"/>
    <col min="19" max="19" width="17.1796875" hidden="1" customWidth="1"/>
    <col min="20" max="20" width="19.1796875" hidden="1" customWidth="1"/>
  </cols>
  <sheetData>
    <row r="1" spans="1:26" ht="23" x14ac:dyDescent="0.35">
      <c r="A1" s="236" t="s">
        <v>221</v>
      </c>
      <c r="B1" s="236"/>
      <c r="C1" s="236"/>
      <c r="D1" s="236"/>
      <c r="E1" s="213"/>
      <c r="F1" s="213"/>
      <c r="G1" s="213"/>
      <c r="H1" s="213"/>
      <c r="I1" s="213"/>
      <c r="J1" s="213"/>
      <c r="K1" s="213"/>
      <c r="L1" s="213"/>
      <c r="M1" s="213"/>
      <c r="N1" s="213"/>
      <c r="O1" s="213"/>
      <c r="P1" s="213"/>
      <c r="Q1" s="213"/>
      <c r="R1" s="213"/>
      <c r="S1" s="213"/>
      <c r="T1" s="213"/>
    </row>
    <row r="2" spans="1:26" ht="16.5" x14ac:dyDescent="0.35">
      <c r="A2" s="237"/>
      <c r="B2" s="237"/>
      <c r="C2" s="237"/>
      <c r="D2" s="237"/>
      <c r="E2" s="213"/>
      <c r="F2" s="213"/>
      <c r="G2" s="213"/>
      <c r="H2" s="213"/>
      <c r="I2" s="213"/>
      <c r="J2" s="213"/>
      <c r="K2" s="213"/>
      <c r="L2" s="213"/>
      <c r="M2" s="213"/>
      <c r="N2" s="213"/>
      <c r="O2" s="213"/>
      <c r="P2" s="213"/>
      <c r="Q2" s="213"/>
      <c r="R2" s="213"/>
      <c r="S2" s="213"/>
      <c r="T2" s="213"/>
    </row>
    <row r="3" spans="1:26" x14ac:dyDescent="0.35">
      <c r="E3" s="47"/>
    </row>
    <row r="4" spans="1:26" ht="43.5" x14ac:dyDescent="0.35">
      <c r="A4" s="124" t="s">
        <v>258</v>
      </c>
      <c r="B4" s="125" t="s">
        <v>259</v>
      </c>
      <c r="C4" s="125" t="s">
        <v>260</v>
      </c>
      <c r="D4" s="125" t="s">
        <v>261</v>
      </c>
      <c r="E4" s="125" t="s">
        <v>222</v>
      </c>
      <c r="F4" s="125" t="s">
        <v>262</v>
      </c>
      <c r="G4" s="125" t="s">
        <v>263</v>
      </c>
      <c r="H4" s="125" t="s">
        <v>264</v>
      </c>
      <c r="I4" s="125" t="s">
        <v>265</v>
      </c>
      <c r="J4" s="125" t="s">
        <v>266</v>
      </c>
      <c r="K4" s="125" t="s">
        <v>267</v>
      </c>
      <c r="L4" s="126" t="s">
        <v>268</v>
      </c>
      <c r="M4" s="125" t="s">
        <v>269</v>
      </c>
      <c r="N4" s="126" t="s">
        <v>270</v>
      </c>
      <c r="O4" s="126" t="s">
        <v>444</v>
      </c>
      <c r="P4" s="126" t="s">
        <v>271</v>
      </c>
      <c r="Q4" s="126" t="s">
        <v>272</v>
      </c>
      <c r="R4" s="125" t="s">
        <v>220</v>
      </c>
      <c r="S4" s="127" t="s">
        <v>273</v>
      </c>
      <c r="T4" s="128" t="s">
        <v>274</v>
      </c>
      <c r="U4" s="281" t="s">
        <v>441</v>
      </c>
      <c r="V4" s="281" t="s">
        <v>200</v>
      </c>
      <c r="W4" s="281" t="s">
        <v>0</v>
      </c>
      <c r="X4" s="281" t="s">
        <v>371</v>
      </c>
      <c r="Y4" s="281" t="s">
        <v>442</v>
      </c>
      <c r="Z4" s="281" t="s">
        <v>443</v>
      </c>
    </row>
    <row r="5" ht="18" x14ac:dyDescent="0.35">
      <c r="A5" s="122">
        <v>1</v>
      </c>
      <c r="B5" s="76">
        <f t="shared" ref="B5:B30" si="0">IF($G5="","","RA-"&amp;TEXT($A5,"000"))</f>
      </c>
      <c r="C5" s="309"/>
      <c r="D5" s="310"/>
      <c r="E5" s="308"/>
      <c r="F5" s="77" cm="1">
        <f t="array" ref="F5">IF(C5="","",_xlfn.LET(_xlpm.bu,_xlfn.SCAN("",'07.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",""),"-",""),"/","")),_xlpm.rawKey,LOWER(SUBSTITUTE(SUBSTITUTE(SUBSTITUTE(E5," ",""),"-",""),"/","")),_xlpm.key,IF(_xlpm.rawKey="data","datainfo",_xlpm.rawKey),IF(D5="",IFERROR(_xlfn.TEXTJOIN(",",TRUE,_xlfn.UNIQUE(_xlfn._xlws.FILTER(_xlpm.item,(_xlpm.bu=C5)*(_xlpm.item&lt;&gt;"")))),""),IF(E5="","",IFERROR(_xlfn.TEXTJOIN(",",TRUE,_xlfn.UNIQUE(_xlfn._xlws.FILTER(_xlpm.item,(_xlpm.bu=C5)*(_xlpm.div=D5)*(_xlpm.srcDep=_xlpm.key)*('07. BIA'!$H$6:$H$285="Yes")))),"")))))</f>
      </c>
      <c r="G5" s="311"/>
      <c r="H5" s="78">
        <f t="shared" ref="H5:H30" si="1">IF($G5="","","Inability to deliver the associated products/services due to ["&amp;$G5&amp;"]")</f>
      </c>
      <c r="I5" s="79"/>
      <c r="J5" s="80"/>
      <c r="K5" s="307"/>
      <c r="L5" s="81">
        <f t="shared" ref="L5:L30" si="2">IF($K5="","",CHOOSE($K5,"Rare","Infrequent","Occasional","Frequent","Almost Certain"))</f>
      </c>
      <c r="M5" s="307"/>
      <c r="N5" s="81">
        <f t="shared" ref="N5:N30" si="3">IF($M5="","",CHOOSE($M5,"Negligible","Minor","Medium","Critical","Catastrophic"))</f>
      </c>
      <c r="O5" s="81">
        <f>IF(OR($K5="",$M5=""),"",$K5*$M5)</f>
      </c>
      <c r="P5" s="81">
        <f t="shared" ref="P5:P30" si="4">IF($O5="","",IF($O5&gt;=20,"Critical",IF($O5&gt;=12,"Significant",IF($O5&gt;=7,"Moderate","Low"))))</f>
      </c>
      <c r="Q5" s="81">
        <f t="shared" ref="Q5:Q30" si="5">IF($P5="","",IF($P5="Critical",1,IF($P5="Significant",2,IF($P5="Moderate",3,4))))</f>
      </c>
      <c r="R5" s="80"/>
      <c r="S5" s="82" cm="1">
        <f t="array" ref="S5">IF($B5="","",IFERROR(_xlfn.TEXTJOIN(",",TRUE,_xlfn.UNIQUE(_xlfn._xlws.FILTER('11. Strategies &amp; Solutions'!$C$5:$C$64,('11. Strategies &amp; Solutions'!$B$5:$B$64=$B5)*('11. Strategies &amp; Solutions'!$C$5:$C$64&lt;&gt;"")))),"Not Created"))</f>
      </c>
      <c r="T5" s="123" cm="1">
        <f t="array" ref="T5">IF($B5="","",_xlfn.LET(_xlpm.ss,_xlfn._xlws.FILTER('11. Strategies &amp; Solutions'!$C$5:$C$64,('11. Strategies &amp; Solutions'!$B$5:$B$64=$B5)*('11. Strategies &amp; Solutions'!$C$5:$C$64&lt;&gt;""),""),IFERROR(_xlfn.TEXTJOIN(",",TRUE,_xlfn.UNIQUE(_xlfn._xlws.FILTER('14. Recovery &amp; Response'!$B$5:$B$104,ISNUMBER(_xlfn.XMATCH('14. Recovery &amp; Response'!$C$5:$C$104,_xlpm.ss))*('14. Recovery &amp; Response'!$B$5:$B$104&lt;&gt;"")))),"Not Created")))</f>
      </c>
      <c r="U5" s="282"/>
      <c r="V5" s="283"/>
      <c r="W5" s="283"/>
      <c r="X5" s="282"/>
      <c r="Y5" s="282"/>
      <c r="Z5" s="282">
        <f>IF($B5="","",IF(AND($C5&lt;&gt;"",$D5&lt;&gt;"",$E5&lt;&gt;"",$F5&lt;&gt;"",$G5&lt;&gt;"",$H5&lt;&gt;"",$J5&lt;&gt;"",$K5&lt;&gt;"",$M5&lt;&gt;"",$U5&lt;&gt;"",ISNUMBER($V5),ISNUMBER($W5),$X5&lt;&gt;"",$Y5&lt;&gt;""),"Complete","Incomplete"))</f>
      </c>
    </row>
    <row r="6" ht="18" x14ac:dyDescent="0.35">
      <c r="A6" s="122">
        <v>2</v>
      </c>
      <c r="B6" s="76">
        <f t="shared" si="0"/>
      </c>
      <c r="C6" s="309"/>
      <c r="D6" s="310"/>
      <c r="E6" s="308"/>
      <c r="F6" s="77" cm="1">
        <f t="array" ref="F6">IF(C6="","",_xlfn.LET(_xlpm.bu,_xlfn.SCAN("",'07.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",""),"-",""),"/","")),_xlpm.rawKey,LOWER(SUBSTITUTE(SUBSTITUTE(SUBSTITUTE(E6," ",""),"-",""),"/","")),_xlpm.key,IF(_xlpm.rawKey="data","datainfo",_xlpm.rawKey),IF(D6="",IFERROR(_xlfn.TEXTJOIN(",",TRUE,_xlfn.UNIQUE(_xlfn._xlws.FILTER(_xlpm.item,(_xlpm.bu=C6)*(_xlpm.item&lt;&gt;"")))),""),IF(E6="","",IFERROR(_xlfn.TEXTJOIN(",",TRUE,_xlfn.UNIQUE(_xlfn._xlws.FILTER(_xlpm.item,(_xlpm.bu=C6)*(_xlpm.div=D6)*(_xlpm.srcDep=_xlpm.key)*('07. BIA'!$H$6:$H$285="Yes")))),"")))))</f>
      </c>
      <c r="G6" s="311"/>
      <c r="H6" s="78">
        <f t="shared" si="1"/>
      </c>
      <c r="I6" s="79"/>
      <c r="J6" s="80"/>
      <c r="K6" s="307"/>
      <c r="L6" s="81">
        <f t="shared" si="2"/>
      </c>
      <c r="M6" s="307"/>
      <c r="N6" s="81">
        <f t="shared" si="3"/>
      </c>
      <c r="O6" s="81">
        <f>IF(OR($K6="",$M6=""),"",$K6*$M6)</f>
      </c>
      <c r="P6" s="81">
        <f t="shared" si="4"/>
      </c>
      <c r="Q6" s="81">
        <f t="shared" si="5"/>
      </c>
      <c r="R6" s="80"/>
      <c r="S6" s="82" cm="1">
        <f t="array" ref="S6">IF($B6="","",IFERROR(_xlfn.TEXTJOIN(",",TRUE,_xlfn.UNIQUE(_xlfn._xlws.FILTER('11. Strategies &amp; Solutions'!$C$5:$C$64,('11. Strategies &amp; Solutions'!$B$5:$B$64=$B6)*('11. Strategies &amp; Solutions'!$C$5:$C$64&lt;&gt;"")))),"Not Created"))</f>
      </c>
      <c r="T6" s="123" cm="1">
        <f t="array" ref="T6">IF($B6="","",_xlfn.LET(_xlpm.ss,_xlfn._xlws.FILTER('11. Strategies &amp; Solutions'!$C$5:$C$64,('11. Strategies &amp; Solutions'!$B$5:$B$64=$B6)*('11. Strategies &amp; Solutions'!$C$5:$C$64&lt;&gt;""),""),IFERROR(_xlfn.TEXTJOIN(",",TRUE,_xlfn.UNIQUE(_xlfn._xlws.FILTER('14. Recovery &amp; Response'!$B$5:$B$104,ISNUMBER(_xlfn.XMATCH('14. Recovery &amp; Response'!$C$5:$C$104,_xlpm.ss))*('14. Recovery &amp; Response'!$B$5:$B$104&lt;&gt;"")))),"Not Created")))</f>
      </c>
      <c r="U6" s="282"/>
      <c r="V6" s="283"/>
      <c r="W6" s="283"/>
      <c r="X6" s="282"/>
      <c r="Y6" s="282"/>
      <c r="Z6" s="282">
        <f>IF($B6="","",IF(AND($C6&lt;&gt;"",$D6&lt;&gt;"",$E6&lt;&gt;"",$F6&lt;&gt;"",$G6&lt;&gt;"",$H6&lt;&gt;"",$J6&lt;&gt;"",$K6&lt;&gt;"",$M6&lt;&gt;"",$U6&lt;&gt;"",ISNUMBER($V6),ISNUMBER($W6),$X6&lt;&gt;"",$Y6&lt;&gt;""),"Complete","Incomplete"))</f>
      </c>
    </row>
    <row r="7" ht="18" x14ac:dyDescent="0.35">
      <c r="A7" s="122">
        <v>3</v>
      </c>
      <c r="B7" s="76">
        <f t="shared" si="0"/>
      </c>
      <c r="C7" s="309"/>
      <c r="D7" s="310"/>
      <c r="E7" s="308"/>
      <c r="F7" s="77" cm="1">
        <f t="array" ref="F7">IF(C7="","",_xlfn.LET(_xlpm.bu,_xlfn.SCAN("",'07.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",""),"-",""),"/","")),_xlpm.rawKey,LOWER(SUBSTITUTE(SUBSTITUTE(SUBSTITUTE(E7," ",""),"-",""),"/","")),_xlpm.key,IF(_xlpm.rawKey="data","datainfo",_xlpm.rawKey),IF(D7="",IFERROR(_xlfn.TEXTJOIN(",",TRUE,_xlfn.UNIQUE(_xlfn._xlws.FILTER(_xlpm.item,(_xlpm.bu=C7)*(_xlpm.item&lt;&gt;"")))),""),IF(E7="","",IFERROR(_xlfn.TEXTJOIN(",",TRUE,_xlfn.UNIQUE(_xlfn._xlws.FILTER(_xlpm.item,(_xlpm.bu=C7)*(_xlpm.div=D7)*(_xlpm.srcDep=_xlpm.key)*('07. BIA'!$H$6:$H$285="Yes")))),"")))))</f>
      </c>
      <c r="G7" s="311"/>
      <c r="H7" s="78">
        <f t="shared" si="1"/>
      </c>
      <c r="I7" s="79"/>
      <c r="J7" s="80"/>
      <c r="K7" s="307"/>
      <c r="L7" s="81">
        <f t="shared" si="2"/>
      </c>
      <c r="M7" s="307"/>
      <c r="N7" s="81">
        <f t="shared" si="3"/>
      </c>
      <c r="O7" s="81">
        <f>IF(OR($K7="",$M7=""),"",$K7*$M7)</f>
      </c>
      <c r="P7" s="81">
        <f t="shared" si="4"/>
      </c>
      <c r="Q7" s="81">
        <f t="shared" si="5"/>
      </c>
      <c r="R7" s="80"/>
      <c r="S7" s="82" cm="1">
        <f t="array" ref="S7">IF($B7="","",IFERROR(_xlfn.TEXTJOIN(",",TRUE,_xlfn.UNIQUE(_xlfn._xlws.FILTER('11. Strategies &amp; Solutions'!$C$5:$C$64,('11. Strategies &amp; Solutions'!$B$5:$B$64=$B7)*('11. Strategies &amp; Solutions'!$C$5:$C$64&lt;&gt;"")))),"Not Created"))</f>
      </c>
      <c r="T7" s="123" cm="1">
        <f t="array" ref="T7">IF($B7="","",_xlfn.LET(_xlpm.ss,_xlfn._xlws.FILTER('11. Strategies &amp; Solutions'!$C$5:$C$64,('11. Strategies &amp; Solutions'!$B$5:$B$64=$B7)*('11. Strategies &amp; Solutions'!$C$5:$C$64&lt;&gt;""),""),IFERROR(_xlfn.TEXTJOIN(",",TRUE,_xlfn.UNIQUE(_xlfn._xlws.FILTER('14. Recovery &amp; Response'!$B$5:$B$104,ISNUMBER(_xlfn.XMATCH('14. Recovery &amp; Response'!$C$5:$C$104,_xlpm.ss))*('14. Recovery &amp; Response'!$B$5:$B$104&lt;&gt;"")))),"Not Created")))</f>
      </c>
      <c r="U7" s="282"/>
      <c r="V7" s="283"/>
      <c r="W7" s="283"/>
      <c r="X7" s="282"/>
      <c r="Y7" s="282"/>
      <c r="Z7" s="282">
        <f>IF($B7="","",IF(AND($C7&lt;&gt;"",$D7&lt;&gt;"",$E7&lt;&gt;"",$F7&lt;&gt;"",$G7&lt;&gt;"",$H7&lt;&gt;"",$J7&lt;&gt;"",$K7&lt;&gt;"",$M7&lt;&gt;"",$U7&lt;&gt;"",ISNUMBER($V7),ISNUMBER($W7),$X7&lt;&gt;"",$Y7&lt;&gt;""),"Complete","Incomplete"))</f>
      </c>
    </row>
    <row r="8" ht="18" x14ac:dyDescent="0.35">
      <c r="A8" s="122">
        <v>4</v>
      </c>
      <c r="B8" s="76">
        <f t="shared" si="0"/>
      </c>
      <c r="C8" s="309"/>
      <c r="D8" s="310"/>
      <c r="E8" s="308"/>
      <c r="F8" s="77" cm="1">
        <f t="array" ref="F8">IF(C8="","",_xlfn.LET(_xlpm.bu,_xlfn.SCAN("",'07.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",""),"-",""),"/","")),_xlpm.rawKey,LOWER(SUBSTITUTE(SUBSTITUTE(SUBSTITUTE(E8," ",""),"-",""),"/","")),_xlpm.key,IF(_xlpm.rawKey="data","datainfo",_xlpm.rawKey),IF(D8="",IFERROR(_xlfn.TEXTJOIN(",",TRUE,_xlfn.UNIQUE(_xlfn._xlws.FILTER(_xlpm.item,(_xlpm.bu=C8)*(_xlpm.item&lt;&gt;"")))),""),IF(E8="","",IFERROR(_xlfn.TEXTJOIN(",",TRUE,_xlfn.UNIQUE(_xlfn._xlws.FILTER(_xlpm.item,(_xlpm.bu=C8)*(_xlpm.div=D8)*(_xlpm.srcDep=_xlpm.key)*('07. BIA'!$H$6:$H$285="Yes")))),"")))))</f>
      </c>
      <c r="G8" s="311"/>
      <c r="H8" s="78">
        <f t="shared" si="1"/>
      </c>
      <c r="I8" s="79"/>
      <c r="J8" s="80"/>
      <c r="K8" s="307"/>
      <c r="L8" s="81">
        <f t="shared" si="2"/>
      </c>
      <c r="M8" s="307"/>
      <c r="N8" s="81">
        <f t="shared" si="3"/>
      </c>
      <c r="O8" s="81">
        <f>IF(OR($K8="",$M8=""),"",$K8*$M8)</f>
      </c>
      <c r="P8" s="81">
        <f t="shared" si="4"/>
      </c>
      <c r="Q8" s="81">
        <f t="shared" si="5"/>
      </c>
      <c r="R8" s="80"/>
      <c r="S8" s="82" cm="1">
        <f t="array" ref="S8">IF($B8="","",IFERROR(_xlfn.TEXTJOIN(",",TRUE,_xlfn.UNIQUE(_xlfn._xlws.FILTER('11. Strategies &amp; Solutions'!$C$5:$C$64,('11. Strategies &amp; Solutions'!$B$5:$B$64=$B8)*('11. Strategies &amp; Solutions'!$C$5:$C$64&lt;&gt;"")))),"Not Created"))</f>
      </c>
      <c r="T8" s="123" cm="1">
        <f t="array" ref="T8">IF($B8="","",_xlfn.LET(_xlpm.ss,_xlfn._xlws.FILTER('11. Strategies &amp; Solutions'!$C$5:$C$64,('11. Strategies &amp; Solutions'!$B$5:$B$64=$B8)*('11. Strategies &amp; Solutions'!$C$5:$C$64&lt;&gt;""),""),IFERROR(_xlfn.TEXTJOIN(",",TRUE,_xlfn.UNIQUE(_xlfn._xlws.FILTER('14. Recovery &amp; Response'!$B$5:$B$104,ISNUMBER(_xlfn.XMATCH('14. Recovery &amp; Response'!$C$5:$C$104,_xlpm.ss))*('14. Recovery &amp; Response'!$B$5:$B$104&lt;&gt;"")))),"Not Created")))</f>
      </c>
      <c r="U8" s="282"/>
      <c r="V8" s="283"/>
      <c r="W8" s="283"/>
      <c r="X8" s="282"/>
      <c r="Y8" s="282"/>
      <c r="Z8" s="282">
        <f>IF($B8="","",IF(AND($C8&lt;&gt;"",$D8&lt;&gt;"",$E8&lt;&gt;"",$F8&lt;&gt;"",$G8&lt;&gt;"",$H8&lt;&gt;"",$J8&lt;&gt;"",$K8&lt;&gt;"",$M8&lt;&gt;"",$U8&lt;&gt;"",ISNUMBER($V8),ISNUMBER($W8),$X8&lt;&gt;"",$Y8&lt;&gt;""),"Complete","Incomplete"))</f>
      </c>
    </row>
    <row r="9" ht="18" x14ac:dyDescent="0.35">
      <c r="A9" s="122">
        <v>5</v>
      </c>
      <c r="B9" s="76">
        <f t="shared" si="0"/>
      </c>
      <c r="C9" s="309"/>
      <c r="D9" s="310"/>
      <c r="E9" s="308"/>
      <c r="F9" s="77" cm="1">
        <f t="array" ref="F9">IF(C9="","",_xlfn.LET(_xlpm.bu,_xlfn.SCAN("",'07.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",""),"-",""),"/","")),_xlpm.rawKey,LOWER(SUBSTITUTE(SUBSTITUTE(SUBSTITUTE(E9," ",""),"-",""),"/","")),_xlpm.key,IF(_xlpm.rawKey="data","datainfo",_xlpm.rawKey),IF(D9="",IFERROR(_xlfn.TEXTJOIN(",",TRUE,_xlfn.UNIQUE(_xlfn._xlws.FILTER(_xlpm.item,(_xlpm.bu=C9)*(_xlpm.item&lt;&gt;"")))),""),IF(E9="","",IFERROR(_xlfn.TEXTJOIN(",",TRUE,_xlfn.UNIQUE(_xlfn._xlws.FILTER(_xlpm.item,(_xlpm.bu=C9)*(_xlpm.div=D9)*(_xlpm.srcDep=_xlpm.key)*('07. BIA'!$H$6:$H$285="Yes")))),"")))))</f>
      </c>
      <c r="G9" s="311"/>
      <c r="H9" s="78">
        <f t="shared" si="1"/>
      </c>
      <c r="I9" s="79"/>
      <c r="J9" s="80"/>
      <c r="K9" s="307"/>
      <c r="L9" s="81">
        <f t="shared" si="2"/>
      </c>
      <c r="M9" s="307"/>
      <c r="N9" s="81">
        <f t="shared" si="3"/>
      </c>
      <c r="O9" s="81">
        <f>IF(OR($K9="",$M9=""),"",$K9*$M9)</f>
      </c>
      <c r="P9" s="81">
        <f t="shared" si="4"/>
      </c>
      <c r="Q9" s="81">
        <f t="shared" si="5"/>
      </c>
      <c r="R9" s="80"/>
      <c r="S9" s="82" cm="1">
        <f t="array" ref="S9">IF($B9="","",IFERROR(_xlfn.TEXTJOIN(",",TRUE,_xlfn.UNIQUE(_xlfn._xlws.FILTER('11. Strategies &amp; Solutions'!$C$5:$C$64,('11. Strategies &amp; Solutions'!$B$5:$B$64=$B9)*('11. Strategies &amp; Solutions'!$C$5:$C$64&lt;&gt;"")))),"Not Created"))</f>
      </c>
      <c r="T9" s="123" cm="1">
        <f t="array" ref="T9">IF($B9="","",_xlfn.LET(_xlpm.ss,_xlfn._xlws.FILTER('11. Strategies &amp; Solutions'!$C$5:$C$64,('11. Strategies &amp; Solutions'!$B$5:$B$64=$B9)*('11. Strategies &amp; Solutions'!$C$5:$C$64&lt;&gt;""),""),IFERROR(_xlfn.TEXTJOIN(",",TRUE,_xlfn.UNIQUE(_xlfn._xlws.FILTER('14. Recovery &amp; Response'!$B$5:$B$104,ISNUMBER(_xlfn.XMATCH('14. Recovery &amp; Response'!$C$5:$C$104,_xlpm.ss))*('14. Recovery &amp; Response'!$B$5:$B$104&lt;&gt;"")))),"Not Created")))</f>
      </c>
      <c r="U9" s="282"/>
      <c r="V9" s="283"/>
      <c r="W9" s="283"/>
      <c r="X9" s="282"/>
      <c r="Y9" s="282"/>
      <c r="Z9" s="282">
        <f>IF($B9="","",IF(AND($C9&lt;&gt;"",$D9&lt;&gt;"",$E9&lt;&gt;"",$F9&lt;&gt;"",$G9&lt;&gt;"",$H9&lt;&gt;"",$J9&lt;&gt;"",$K9&lt;&gt;"",$M9&lt;&gt;"",$U9&lt;&gt;"",ISNUMBER($V9),ISNUMBER($W9),$X9&lt;&gt;"",$Y9&lt;&gt;""),"Complete","Incomplete"))</f>
      </c>
    </row>
    <row r="10" ht="18" x14ac:dyDescent="0.35">
      <c r="A10" s="122">
        <v>6</v>
      </c>
      <c r="B10" s="76">
        <f t="shared" si="0"/>
      </c>
      <c r="C10" s="309"/>
      <c r="D10" s="310"/>
      <c r="E10" s="308"/>
      <c r="F10" s="77" cm="1">
        <f t="array" ref="F10">IF(C10="","",_xlfn.LET(_xlpm.bu,_xlfn.SCAN("",'07.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",""),"-",""),"/","")),_xlpm.rawKey,LOWER(SUBSTITUTE(SUBSTITUTE(SUBSTITUTE(E10," ",""),"-",""),"/","")),_xlpm.key,IF(_xlpm.rawKey="data","datainfo",_xlpm.rawKey),IF(D10="",IFERROR(_xlfn.TEXTJOIN(",",TRUE,_xlfn.UNIQUE(_xlfn._xlws.FILTER(_xlpm.item,(_xlpm.bu=C10)*(_xlpm.item&lt;&gt;"")))),""),IF(E10="","",IFERROR(_xlfn.TEXTJOIN(",",TRUE,_xlfn.UNIQUE(_xlfn._xlws.FILTER(_xlpm.item,(_xlpm.bu=C10)*(_xlpm.div=D10)*(_xlpm.srcDep=_xlpm.key)*('07. BIA'!$H$6:$H$285="Yes")))),"")))))</f>
      </c>
      <c r="G10" s="311"/>
      <c r="H10" s="78">
        <f t="shared" si="1"/>
      </c>
      <c r="I10" s="79"/>
      <c r="J10" s="80"/>
      <c r="K10" s="307"/>
      <c r="L10" s="81">
        <f t="shared" si="2"/>
      </c>
      <c r="M10" s="307"/>
      <c r="N10" s="81">
        <f t="shared" si="3"/>
      </c>
      <c r="O10" s="81">
        <f>IF(OR($K10="",$M10=""),"",$K10*$M10)</f>
      </c>
      <c r="P10" s="81">
        <f t="shared" si="4"/>
      </c>
      <c r="Q10" s="81">
        <f t="shared" si="5"/>
      </c>
      <c r="R10" s="80"/>
      <c r="S10" s="82" cm="1">
        <f t="array" ref="S10">IF($B10="","",IFERROR(_xlfn.TEXTJOIN(",",TRUE,_xlfn.UNIQUE(_xlfn._xlws.FILTER('11. Strategies &amp; Solutions'!$C$5:$C$64,('11. Strategies &amp; Solutions'!$B$5:$B$64=$B10)*('11. Strategies &amp; Solutions'!$C$5:$C$64&lt;&gt;"")))),"Not Created"))</f>
      </c>
      <c r="T10" s="123" cm="1">
        <f t="array" ref="T10">IF($B10="","",_xlfn.LET(_xlpm.ss,_xlfn._xlws.FILTER('11. Strategies &amp; Solutions'!$C$5:$C$64,('11. Strategies &amp; Solutions'!$B$5:$B$64=$B10)*('11. Strategies &amp; Solutions'!$C$5:$C$64&lt;&gt;""),""),IFERROR(_xlfn.TEXTJOIN(",",TRUE,_xlfn.UNIQUE(_xlfn._xlws.FILTER('14. Recovery &amp; Response'!$B$5:$B$104,ISNUMBER(_xlfn.XMATCH('14. Recovery &amp; Response'!$C$5:$C$104,_xlpm.ss))*('14. Recovery &amp; Response'!$B$5:$B$104&lt;&gt;"")))),"Not Created")))</f>
      </c>
      <c r="U10" s="282"/>
      <c r="V10" s="283"/>
      <c r="W10" s="283"/>
      <c r="X10" s="282"/>
      <c r="Y10" s="282"/>
      <c r="Z10" s="282">
        <f>IF($B10="","",IF(AND($C10&lt;&gt;"",$D10&lt;&gt;"",$E10&lt;&gt;"",$F10&lt;&gt;"",$G10&lt;&gt;"",$H10&lt;&gt;"",$J10&lt;&gt;"",$K10&lt;&gt;"",$M10&lt;&gt;"",$U10&lt;&gt;"",ISNUMBER($V10),ISNUMBER($W10),$X10&lt;&gt;"",$Y10&lt;&gt;""),"Complete","Incomplete"))</f>
      </c>
    </row>
    <row r="11" ht="18" x14ac:dyDescent="0.35">
      <c r="A11" s="122">
        <v>7</v>
      </c>
      <c r="B11" s="76">
        <f t="shared" si="0"/>
      </c>
      <c r="C11" s="309"/>
      <c r="D11" s="310"/>
      <c r="E11" s="308"/>
      <c r="F11" s="77" cm="1">
        <f t="array" ref="F11">IF(C11="","",_xlfn.LET(_xlpm.bu,_xlfn.SCAN("",'07.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",""),"-",""),"/","")),_xlpm.rawKey,LOWER(SUBSTITUTE(SUBSTITUTE(SUBSTITUTE(E11," ",""),"-",""),"/","")),_xlpm.key,IF(_xlpm.rawKey="data","datainfo",_xlpm.rawKey),IF(D11="",IFERROR(_xlfn.TEXTJOIN(",",TRUE,_xlfn.UNIQUE(_xlfn._xlws.FILTER(_xlpm.item,(_xlpm.bu=C11)*(_xlpm.item&lt;&gt;"")))),""),IF(E11="","",IFERROR(_xlfn.TEXTJOIN(",",TRUE,_xlfn.UNIQUE(_xlfn._xlws.FILTER(_xlpm.item,(_xlpm.bu=C11)*(_xlpm.div=D11)*(_xlpm.srcDep=_xlpm.key)*('07. BIA'!$H$6:$H$285="Yes")))),"")))))</f>
      </c>
      <c r="G11" s="311"/>
      <c r="H11" s="78">
        <f t="shared" si="1"/>
      </c>
      <c r="I11" s="79"/>
      <c r="J11" s="80"/>
      <c r="K11" s="307"/>
      <c r="L11" s="81">
        <f t="shared" si="2"/>
      </c>
      <c r="M11" s="307"/>
      <c r="N11" s="81">
        <f t="shared" si="3"/>
      </c>
      <c r="O11" s="81">
        <f>IF(OR($K11="",$M11=""),"",$K11*$M11)</f>
      </c>
      <c r="P11" s="81">
        <f t="shared" si="4"/>
      </c>
      <c r="Q11" s="81">
        <f t="shared" si="5"/>
      </c>
      <c r="R11" s="80"/>
      <c r="S11" s="82" cm="1">
        <f t="array" ref="S11">IF($B11="","",IFERROR(_xlfn.TEXTJOIN(",",TRUE,_xlfn.UNIQUE(_xlfn._xlws.FILTER('11. Strategies &amp; Solutions'!$C$5:$C$64,('11. Strategies &amp; Solutions'!$B$5:$B$64=$B11)*('11. Strategies &amp; Solutions'!$C$5:$C$64&lt;&gt;"")))),"Not Created"))</f>
      </c>
      <c r="T11" s="123" cm="1">
        <f t="array" ref="T11">IF($B11="","",_xlfn.LET(_xlpm.ss,_xlfn._xlws.FILTER('11. Strategies &amp; Solutions'!$C$5:$C$64,('11. Strategies &amp; Solutions'!$B$5:$B$64=$B11)*('11. Strategies &amp; Solutions'!$C$5:$C$64&lt;&gt;""),""),IFERROR(_xlfn.TEXTJOIN(",",TRUE,_xlfn.UNIQUE(_xlfn._xlws.FILTER('14. Recovery &amp; Response'!$B$5:$B$104,ISNUMBER(_xlfn.XMATCH('14. Recovery &amp; Response'!$C$5:$C$104,_xlpm.ss))*('14. Recovery &amp; Response'!$B$5:$B$104&lt;&gt;"")))),"Not Created")))</f>
      </c>
      <c r="U11" s="282"/>
      <c r="V11" s="283"/>
      <c r="W11" s="283"/>
      <c r="X11" s="282"/>
      <c r="Y11" s="282"/>
      <c r="Z11" s="282">
        <f>IF($B11="","",IF(AND($C11&lt;&gt;"",$D11&lt;&gt;"",$E11&lt;&gt;"",$F11&lt;&gt;"",$G11&lt;&gt;"",$H11&lt;&gt;"",$J11&lt;&gt;"",$K11&lt;&gt;"",$M11&lt;&gt;"",$U11&lt;&gt;"",ISNUMBER($V11),ISNUMBER($W11),$X11&lt;&gt;"",$Y11&lt;&gt;""),"Complete","Incomplete"))</f>
      </c>
    </row>
    <row r="12" ht="18" x14ac:dyDescent="0.35">
      <c r="A12" s="122">
        <v>8</v>
      </c>
      <c r="B12" s="76">
        <f t="shared" si="0"/>
      </c>
      <c r="C12" s="309"/>
      <c r="D12" s="310"/>
      <c r="E12" s="308"/>
      <c r="F12" s="77" cm="1">
        <f t="array" ref="F12">IF(C12="","",_xlfn.LET(_xlpm.bu,_xlfn.SCAN("",'07.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",""),"-",""),"/","")),_xlpm.rawKey,LOWER(SUBSTITUTE(SUBSTITUTE(SUBSTITUTE(E12," ",""),"-",""),"/","")),_xlpm.key,IF(_xlpm.rawKey="data","datainfo",_xlpm.rawKey),IF(D12="",IFERROR(_xlfn.TEXTJOIN(",",TRUE,_xlfn.UNIQUE(_xlfn._xlws.FILTER(_xlpm.item,(_xlpm.bu=C12)*(_xlpm.item&lt;&gt;"")))),""),IF(E12="","",IFERROR(_xlfn.TEXTJOIN(",",TRUE,_xlfn.UNIQUE(_xlfn._xlws.FILTER(_xlpm.item,(_xlpm.bu=C12)*(_xlpm.div=D12)*(_xlpm.srcDep=_xlpm.key)*('07. BIA'!$H$6:$H$285="Yes")))),"")))))</f>
      </c>
      <c r="G12" s="311"/>
      <c r="H12" s="78">
        <f t="shared" si="1"/>
      </c>
      <c r="I12" s="79"/>
      <c r="J12" s="80"/>
      <c r="K12" s="307"/>
      <c r="L12" s="81">
        <f t="shared" si="2"/>
      </c>
      <c r="M12" s="307"/>
      <c r="N12" s="81">
        <f t="shared" si="3"/>
      </c>
      <c r="O12" s="81">
        <f>IF(OR($K12="",$M12=""),"",$K12*$M12)</f>
      </c>
      <c r="P12" s="81">
        <f t="shared" si="4"/>
      </c>
      <c r="Q12" s="81">
        <f t="shared" si="5"/>
      </c>
      <c r="R12" s="80"/>
      <c r="S12" s="82" cm="1">
        <f t="array" ref="S12">IF($B12="","",IFERROR(_xlfn.TEXTJOIN(",",TRUE,_xlfn.UNIQUE(_xlfn._xlws.FILTER('11. Strategies &amp; Solutions'!$C$5:$C$64,('11. Strategies &amp; Solutions'!$B$5:$B$64=$B12)*('11. Strategies &amp; Solutions'!$C$5:$C$64&lt;&gt;"")))),"Not Created"))</f>
      </c>
      <c r="T12" s="123" cm="1">
        <f t="array" ref="T12">IF($B12="","",_xlfn.LET(_xlpm.ss,_xlfn._xlws.FILTER('11. Strategies &amp; Solutions'!$C$5:$C$64,('11. Strategies &amp; Solutions'!$B$5:$B$64=$B12)*('11. Strategies &amp; Solutions'!$C$5:$C$64&lt;&gt;""),""),IFERROR(_xlfn.TEXTJOIN(",",TRUE,_xlfn.UNIQUE(_xlfn._xlws.FILTER('14. Recovery &amp; Response'!$B$5:$B$104,ISNUMBER(_xlfn.XMATCH('14. Recovery &amp; Response'!$C$5:$C$104,_xlpm.ss))*('14. Recovery &amp; Response'!$B$5:$B$104&lt;&gt;"")))),"Not Created")))</f>
      </c>
      <c r="U12" s="282"/>
      <c r="V12" s="283"/>
      <c r="W12" s="283"/>
      <c r="X12" s="282"/>
      <c r="Y12" s="282"/>
      <c r="Z12" s="282">
        <f>IF($B12="","",IF(AND($C12&lt;&gt;"",$D12&lt;&gt;"",$E12&lt;&gt;"",$F12&lt;&gt;"",$G12&lt;&gt;"",$H12&lt;&gt;"",$J12&lt;&gt;"",$K12&lt;&gt;"",$M12&lt;&gt;"",$U12&lt;&gt;"",ISNUMBER($V12),ISNUMBER($W12),$X12&lt;&gt;"",$Y12&lt;&gt;""),"Complete","Incomplete"))</f>
      </c>
    </row>
    <row r="13" ht="18" x14ac:dyDescent="0.35">
      <c r="A13" s="122">
        <v>9</v>
      </c>
      <c r="B13" s="76">
        <f t="shared" si="0"/>
      </c>
      <c r="C13" s="309"/>
      <c r="D13" s="310"/>
      <c r="E13" s="308"/>
      <c r="F13" s="77" cm="1">
        <f t="array" ref="F13">IF(C13="","",_xlfn.LET(_xlpm.bu,_xlfn.SCAN("",'07.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",""),"-",""),"/","")),_xlpm.rawKey,LOWER(SUBSTITUTE(SUBSTITUTE(SUBSTITUTE(E13," ",""),"-",""),"/","")),_xlpm.key,IF(_xlpm.rawKey="data","datainfo",_xlpm.rawKey),IF(D13="",IFERROR(_xlfn.TEXTJOIN(",",TRUE,_xlfn.UNIQUE(_xlfn._xlws.FILTER(_xlpm.item,(_xlpm.bu=C13)*(_xlpm.item&lt;&gt;"")))),""),IF(E13="","",IFERROR(_xlfn.TEXTJOIN(",",TRUE,_xlfn.UNIQUE(_xlfn._xlws.FILTER(_xlpm.item,(_xlpm.bu=C13)*(_xlpm.div=D13)*(_xlpm.srcDep=_xlpm.key)*('07. BIA'!$H$6:$H$285="Yes")))),"")))))</f>
      </c>
      <c r="G13" s="311"/>
      <c r="H13" s="78">
        <f t="shared" si="1"/>
      </c>
      <c r="I13" s="79"/>
      <c r="J13" s="80"/>
      <c r="K13" s="307"/>
      <c r="L13" s="81">
        <f t="shared" si="2"/>
      </c>
      <c r="M13" s="307"/>
      <c r="N13" s="81">
        <f t="shared" si="3"/>
      </c>
      <c r="O13" s="81">
        <f>IF(OR($K13="",$M13=""),"",$K13*$M13)</f>
      </c>
      <c r="P13" s="81">
        <f t="shared" si="4"/>
      </c>
      <c r="Q13" s="81">
        <f t="shared" si="5"/>
      </c>
      <c r="R13" s="80"/>
      <c r="S13" s="82" cm="1">
        <f t="array" ref="S13">IF($B13="","",IFERROR(_xlfn.TEXTJOIN(",",TRUE,_xlfn.UNIQUE(_xlfn._xlws.FILTER('11. Strategies &amp; Solutions'!$C$5:$C$64,('11. Strategies &amp; Solutions'!$B$5:$B$64=$B13)*('11. Strategies &amp; Solutions'!$C$5:$C$64&lt;&gt;"")))),"Not Created"))</f>
      </c>
      <c r="T13" s="123" cm="1">
        <f t="array" ref="T13">IF($B13="","",_xlfn.LET(_xlpm.ss,_xlfn._xlws.FILTER('11. Strategies &amp; Solutions'!$C$5:$C$64,('11. Strategies &amp; Solutions'!$B$5:$B$64=$B13)*('11. Strategies &amp; Solutions'!$C$5:$C$64&lt;&gt;""),""),IFERROR(_xlfn.TEXTJOIN(",",TRUE,_xlfn.UNIQUE(_xlfn._xlws.FILTER('14. Recovery &amp; Response'!$B$5:$B$104,ISNUMBER(_xlfn.XMATCH('14. Recovery &amp; Response'!$C$5:$C$104,_xlpm.ss))*('14. Recovery &amp; Response'!$B$5:$B$104&lt;&gt;"")))),"Not Created")))</f>
      </c>
      <c r="U13" s="282"/>
      <c r="V13" s="283"/>
      <c r="W13" s="283"/>
      <c r="X13" s="282"/>
      <c r="Y13" s="282"/>
      <c r="Z13" s="282">
        <f>IF($B13="","",IF(AND($C13&lt;&gt;"",$D13&lt;&gt;"",$E13&lt;&gt;"",$F13&lt;&gt;"",$G13&lt;&gt;"",$H13&lt;&gt;"",$J13&lt;&gt;"",$K13&lt;&gt;"",$M13&lt;&gt;"",$U13&lt;&gt;"",ISNUMBER($V13),ISNUMBER($W13),$X13&lt;&gt;"",$Y13&lt;&gt;""),"Complete","Incomplete"))</f>
      </c>
    </row>
    <row r="14" ht="18" x14ac:dyDescent="0.35">
      <c r="A14" s="122">
        <v>10</v>
      </c>
      <c r="B14" s="76">
        <f t="shared" si="0"/>
      </c>
      <c r="C14" s="309"/>
      <c r="D14" s="310"/>
      <c r="E14" s="308"/>
      <c r="F14" s="77" cm="1">
        <f t="array" ref="F14">IF(C14="","",_xlfn.LET(_xlpm.bu,_xlfn.SCAN("",'07.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",""),"-",""),"/","")),_xlpm.rawKey,LOWER(SUBSTITUTE(SUBSTITUTE(SUBSTITUTE(E14," ",""),"-",""),"/","")),_xlpm.key,IF(_xlpm.rawKey="data","datainfo",_xlpm.rawKey),IF(D14="",IFERROR(_xlfn.TEXTJOIN(",",TRUE,_xlfn.UNIQUE(_xlfn._xlws.FILTER(_xlpm.item,(_xlpm.bu=C14)*(_xlpm.item&lt;&gt;"")))),""),IF(E14="","",IFERROR(_xlfn.TEXTJOIN(",",TRUE,_xlfn.UNIQUE(_xlfn._xlws.FILTER(_xlpm.item,(_xlpm.bu=C14)*(_xlpm.div=D14)*(_xlpm.srcDep=_xlpm.key)*('07. BIA'!$H$6:$H$285="Yes")))),"")))))</f>
      </c>
      <c r="G14" s="311"/>
      <c r="H14" s="78">
        <f t="shared" si="1"/>
      </c>
      <c r="I14" s="79"/>
      <c r="J14" s="80"/>
      <c r="K14" s="307"/>
      <c r="L14" s="81">
        <f t="shared" si="2"/>
      </c>
      <c r="M14" s="307"/>
      <c r="N14" s="81">
        <f t="shared" si="3"/>
      </c>
      <c r="O14" s="81">
        <f>IF(OR($K14="",$M14=""),"",$K14*$M14)</f>
      </c>
      <c r="P14" s="81">
        <f t="shared" si="4"/>
      </c>
      <c r="Q14" s="81">
        <f t="shared" si="5"/>
      </c>
      <c r="R14" s="80"/>
      <c r="S14" s="82" cm="1">
        <f t="array" ref="S14">IF($B14="","",IFERROR(_xlfn.TEXTJOIN(",",TRUE,_xlfn.UNIQUE(_xlfn._xlws.FILTER('11. Strategies &amp; Solutions'!$C$5:$C$64,('11. Strategies &amp; Solutions'!$B$5:$B$64=$B14)*('11. Strategies &amp; Solutions'!$C$5:$C$64&lt;&gt;"")))),"Not Created"))</f>
      </c>
      <c r="T14" s="123" cm="1">
        <f t="array" ref="T14">IF($B14="","",_xlfn.LET(_xlpm.ss,_xlfn._xlws.FILTER('11. Strategies &amp; Solutions'!$C$5:$C$64,('11. Strategies &amp; Solutions'!$B$5:$B$64=$B14)*('11. Strategies &amp; Solutions'!$C$5:$C$64&lt;&gt;""),""),IFERROR(_xlfn.TEXTJOIN(",",TRUE,_xlfn.UNIQUE(_xlfn._xlws.FILTER('14. Recovery &amp; Response'!$B$5:$B$104,ISNUMBER(_xlfn.XMATCH('14. Recovery &amp; Response'!$C$5:$C$104,_xlpm.ss))*('14. Recovery &amp; Response'!$B$5:$B$104&lt;&gt;"")))),"Not Created")))</f>
      </c>
      <c r="U14" s="282"/>
      <c r="V14" s="283"/>
      <c r="W14" s="283"/>
      <c r="X14" s="282"/>
      <c r="Y14" s="282"/>
      <c r="Z14" s="282">
        <f>IF($B14="","",IF(AND($C14&lt;&gt;"",$D14&lt;&gt;"",$E14&lt;&gt;"",$F14&lt;&gt;"",$G14&lt;&gt;"",$H14&lt;&gt;"",$J14&lt;&gt;"",$K14&lt;&gt;"",$M14&lt;&gt;"",$U14&lt;&gt;"",ISNUMBER($V14),ISNUMBER($W14),$X14&lt;&gt;"",$Y14&lt;&gt;""),"Complete","Incomplete"))</f>
      </c>
    </row>
    <row r="15" ht="18" x14ac:dyDescent="0.35">
      <c r="A15" s="122">
        <v>11</v>
      </c>
      <c r="B15" s="76">
        <f t="shared" si="0"/>
      </c>
      <c r="C15" s="309"/>
      <c r="D15" s="310"/>
      <c r="E15" s="308"/>
      <c r="F15" s="77" cm="1">
        <f t="array" ref="F15">IF(C15="","",_xlfn.LET(_xlpm.bu,_xlfn.SCAN("",'07.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",""),"-",""),"/","")),_xlpm.rawKey,LOWER(SUBSTITUTE(SUBSTITUTE(SUBSTITUTE(E15," ",""),"-",""),"/","")),_xlpm.key,IF(_xlpm.rawKey="data","datainfo",_xlpm.rawKey),IF(D15="",IFERROR(_xlfn.TEXTJOIN(",",TRUE,_xlfn.UNIQUE(_xlfn._xlws.FILTER(_xlpm.item,(_xlpm.bu=C15)*(_xlpm.item&lt;&gt;"")))),""),IF(E15="","",IFERROR(_xlfn.TEXTJOIN(",",TRUE,_xlfn.UNIQUE(_xlfn._xlws.FILTER(_xlpm.item,(_xlpm.bu=C15)*(_xlpm.div=D15)*(_xlpm.srcDep=_xlpm.key)*('07. BIA'!$H$6:$H$285="Yes")))),"")))))</f>
      </c>
      <c r="G15" s="311"/>
      <c r="H15" s="78">
        <f t="shared" si="1"/>
      </c>
      <c r="I15" s="79"/>
      <c r="J15" s="80"/>
      <c r="K15" s="307"/>
      <c r="L15" s="81">
        <f t="shared" si="2"/>
      </c>
      <c r="M15" s="307"/>
      <c r="N15" s="81">
        <f t="shared" si="3"/>
      </c>
      <c r="O15" s="81">
        <f>IF(OR($K15="",$M15=""),"",$K15*$M15)</f>
      </c>
      <c r="P15" s="81">
        <f t="shared" si="4"/>
      </c>
      <c r="Q15" s="81">
        <f t="shared" si="5"/>
      </c>
      <c r="R15" s="80"/>
      <c r="S15" s="82" cm="1">
        <f t="array" ref="S15">IF($B15="","",IFERROR(_xlfn.TEXTJOIN(",",TRUE,_xlfn.UNIQUE(_xlfn._xlws.FILTER('11. Strategies &amp; Solutions'!$C$5:$C$64,('11. Strategies &amp; Solutions'!$B$5:$B$64=$B15)*('11. Strategies &amp; Solutions'!$C$5:$C$64&lt;&gt;"")))),"Not Created"))</f>
      </c>
      <c r="T15" s="123" cm="1">
        <f t="array" ref="T15">IF($B15="","",_xlfn.LET(_xlpm.ss,_xlfn._xlws.FILTER('11. Strategies &amp; Solutions'!$C$5:$C$64,('11. Strategies &amp; Solutions'!$B$5:$B$64=$B15)*('11. Strategies &amp; Solutions'!$C$5:$C$64&lt;&gt;""),""),IFERROR(_xlfn.TEXTJOIN(",",TRUE,_xlfn.UNIQUE(_xlfn._xlws.FILTER('14. Recovery &amp; Response'!$B$5:$B$104,ISNUMBER(_xlfn.XMATCH('14. Recovery &amp; Response'!$C$5:$C$104,_xlpm.ss))*('14. Recovery &amp; Response'!$B$5:$B$104&lt;&gt;"")))),"Not Created")))</f>
      </c>
      <c r="U15" s="282"/>
      <c r="V15" s="283"/>
      <c r="W15" s="283"/>
      <c r="X15" s="282"/>
      <c r="Y15" s="282"/>
      <c r="Z15" s="282">
        <f>IF($B15="","",IF(AND($C15&lt;&gt;"",$D15&lt;&gt;"",$E15&lt;&gt;"",$F15&lt;&gt;"",$G15&lt;&gt;"",$H15&lt;&gt;"",$J15&lt;&gt;"",$K15&lt;&gt;"",$M15&lt;&gt;"",$U15&lt;&gt;"",ISNUMBER($V15),ISNUMBER($W15),$X15&lt;&gt;"",$Y15&lt;&gt;""),"Complete","Incomplete"))</f>
      </c>
    </row>
    <row r="16" ht="18" x14ac:dyDescent="0.35">
      <c r="A16" s="122">
        <v>12</v>
      </c>
      <c r="B16" s="76">
        <f t="shared" si="0"/>
      </c>
      <c r="C16" s="309"/>
      <c r="D16" s="310"/>
      <c r="E16" s="308"/>
      <c r="F16" s="77" cm="1">
        <f t="array" ref="F16">IF(C16="","",_xlfn.LET(_xlpm.bu,_xlfn.SCAN("",'07.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",""),"-",""),"/","")),_xlpm.rawKey,LOWER(SUBSTITUTE(SUBSTITUTE(SUBSTITUTE(E16," ",""),"-",""),"/","")),_xlpm.key,IF(_xlpm.rawKey="data","datainfo",_xlpm.rawKey),IF(D16="",IFERROR(_xlfn.TEXTJOIN(",",TRUE,_xlfn.UNIQUE(_xlfn._xlws.FILTER(_xlpm.item,(_xlpm.bu=C16)*(_xlpm.item&lt;&gt;"")))),""),IF(E16="","",IFERROR(_xlfn.TEXTJOIN(",",TRUE,_xlfn.UNIQUE(_xlfn._xlws.FILTER(_xlpm.item,(_xlpm.bu=C16)*(_xlpm.div=D16)*(_xlpm.srcDep=_xlpm.key)*('07. BIA'!$H$6:$H$285="Yes")))),"")))))</f>
      </c>
      <c r="G16" s="311"/>
      <c r="H16" s="78">
        <f t="shared" si="1"/>
      </c>
      <c r="I16" s="79"/>
      <c r="J16" s="80"/>
      <c r="K16" s="307"/>
      <c r="L16" s="81">
        <f t="shared" si="2"/>
      </c>
      <c r="M16" s="307"/>
      <c r="N16" s="81">
        <f t="shared" si="3"/>
      </c>
      <c r="O16" s="81">
        <f>IF(OR($K16="",$M16=""),"",$K16*$M16)</f>
      </c>
      <c r="P16" s="81">
        <f t="shared" si="4"/>
      </c>
      <c r="Q16" s="81">
        <f t="shared" si="5"/>
      </c>
      <c r="R16" s="80"/>
      <c r="S16" s="82" cm="1">
        <f t="array" ref="S16">IF($B16="","",IFERROR(_xlfn.TEXTJOIN(",",TRUE,_xlfn.UNIQUE(_xlfn._xlws.FILTER('11. Strategies &amp; Solutions'!$C$5:$C$64,('11. Strategies &amp; Solutions'!$B$5:$B$64=$B16)*('11. Strategies &amp; Solutions'!$C$5:$C$64&lt;&gt;"")))),"Not Created"))</f>
      </c>
      <c r="T16" s="123" cm="1">
        <f t="array" ref="T16">IF($B16="","",_xlfn.LET(_xlpm.ss,_xlfn._xlws.FILTER('11. Strategies &amp; Solutions'!$C$5:$C$64,('11. Strategies &amp; Solutions'!$B$5:$B$64=$B16)*('11. Strategies &amp; Solutions'!$C$5:$C$64&lt;&gt;""),""),IFERROR(_xlfn.TEXTJOIN(",",TRUE,_xlfn.UNIQUE(_xlfn._xlws.FILTER('14. Recovery &amp; Response'!$B$5:$B$104,ISNUMBER(_xlfn.XMATCH('14. Recovery &amp; Response'!$C$5:$C$104,_xlpm.ss))*('14. Recovery &amp; Response'!$B$5:$B$104&lt;&gt;"")))),"Not Created")))</f>
      </c>
      <c r="U16" s="282"/>
      <c r="V16" s="283"/>
      <c r="W16" s="283"/>
      <c r="X16" s="282"/>
      <c r="Y16" s="282"/>
      <c r="Z16" s="282">
        <f>IF($B16="","",IF(AND($C16&lt;&gt;"",$D16&lt;&gt;"",$E16&lt;&gt;"",$F16&lt;&gt;"",$G16&lt;&gt;"",$H16&lt;&gt;"",$J16&lt;&gt;"",$K16&lt;&gt;"",$M16&lt;&gt;"",$U16&lt;&gt;"",ISNUMBER($V16),ISNUMBER($W16),$X16&lt;&gt;"",$Y16&lt;&gt;""),"Complete","Incomplete"))</f>
      </c>
    </row>
    <row r="17" ht="18" x14ac:dyDescent="0.35">
      <c r="A17" s="122">
        <v>13</v>
      </c>
      <c r="B17" s="76">
        <f t="shared" si="0"/>
      </c>
      <c r="C17" s="309"/>
      <c r="D17" s="310"/>
      <c r="E17" s="308"/>
      <c r="F17" s="77" cm="1">
        <f t="array" ref="F17">IF(C17="","",_xlfn.LET(_xlpm.bu,_xlfn.SCAN("",'07.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",""),"-",""),"/","")),_xlpm.rawKey,LOWER(SUBSTITUTE(SUBSTITUTE(SUBSTITUTE(E17," ",""),"-",""),"/","")),_xlpm.key,IF(_xlpm.rawKey="data","datainfo",_xlpm.rawKey),IF(D17="",IFERROR(_xlfn.TEXTJOIN(",",TRUE,_xlfn.UNIQUE(_xlfn._xlws.FILTER(_xlpm.item,(_xlpm.bu=C17)*(_xlpm.item&lt;&gt;"")))),""),IF(E17="","",IFERROR(_xlfn.TEXTJOIN(",",TRUE,_xlfn.UNIQUE(_xlfn._xlws.FILTER(_xlpm.item,(_xlpm.bu=C17)*(_xlpm.div=D17)*(_xlpm.srcDep=_xlpm.key)*('07. BIA'!$H$6:$H$285="Yes")))),"")))))</f>
      </c>
      <c r="G17" s="311"/>
      <c r="H17" s="78">
        <f t="shared" si="1"/>
      </c>
      <c r="I17" s="79"/>
      <c r="J17" s="80"/>
      <c r="K17" s="307"/>
      <c r="L17" s="81">
        <f t="shared" si="2"/>
      </c>
      <c r="M17" s="307"/>
      <c r="N17" s="81">
        <f t="shared" si="3"/>
      </c>
      <c r="O17" s="81">
        <f>IF(OR($K17="",$M17=""),"",$K17*$M17)</f>
      </c>
      <c r="P17" s="81">
        <f t="shared" si="4"/>
      </c>
      <c r="Q17" s="81">
        <f t="shared" si="5"/>
      </c>
      <c r="R17" s="80"/>
      <c r="S17" s="82" cm="1">
        <f t="array" ref="S17">IF($B17="","",IFERROR(_xlfn.TEXTJOIN(",",TRUE,_xlfn.UNIQUE(_xlfn._xlws.FILTER('11. Strategies &amp; Solutions'!$C$5:$C$64,('11. Strategies &amp; Solutions'!$B$5:$B$64=$B17)*('11. Strategies &amp; Solutions'!$C$5:$C$64&lt;&gt;"")))),"Not Created"))</f>
      </c>
      <c r="T17" s="123" cm="1">
        <f t="array" ref="T17">IF($B17="","",_xlfn.LET(_xlpm.ss,_xlfn._xlws.FILTER('11. Strategies &amp; Solutions'!$C$5:$C$64,('11. Strategies &amp; Solutions'!$B$5:$B$64=$B17)*('11. Strategies &amp; Solutions'!$C$5:$C$64&lt;&gt;""),""),IFERROR(_xlfn.TEXTJOIN(",",TRUE,_xlfn.UNIQUE(_xlfn._xlws.FILTER('14. Recovery &amp; Response'!$B$5:$B$104,ISNUMBER(_xlfn.XMATCH('14. Recovery &amp; Response'!$C$5:$C$104,_xlpm.ss))*('14. Recovery &amp; Response'!$B$5:$B$104&lt;&gt;"")))),"Not Created")))</f>
      </c>
      <c r="U17" s="282"/>
      <c r="V17" s="283"/>
      <c r="W17" s="283"/>
      <c r="X17" s="282"/>
      <c r="Y17" s="282"/>
      <c r="Z17" s="282">
        <f>IF($B17="","",IF(AND($C17&lt;&gt;"",$D17&lt;&gt;"",$E17&lt;&gt;"",$F17&lt;&gt;"",$G17&lt;&gt;"",$H17&lt;&gt;"",$J17&lt;&gt;"",$K17&lt;&gt;"",$M17&lt;&gt;"",$U17&lt;&gt;"",ISNUMBER($V17),ISNUMBER($W17),$X17&lt;&gt;"",$Y17&lt;&gt;""),"Complete","Incomplete"))</f>
      </c>
    </row>
    <row r="18" ht="18" x14ac:dyDescent="0.35">
      <c r="A18" s="122">
        <v>14</v>
      </c>
      <c r="B18" s="76">
        <f t="shared" si="0"/>
      </c>
      <c r="C18" s="309"/>
      <c r="D18" s="310"/>
      <c r="E18" s="308"/>
      <c r="F18" s="77" cm="1">
        <f t="array" ref="F18">IF(C18="","",_xlfn.LET(_xlpm.bu,_xlfn.SCAN("",'07.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",""),"-",""),"/","")),_xlpm.rawKey,LOWER(SUBSTITUTE(SUBSTITUTE(SUBSTITUTE(E18," ",""),"-",""),"/","")),_xlpm.key,IF(_xlpm.rawKey="data","datainfo",_xlpm.rawKey),IF(D18="",IFERROR(_xlfn.TEXTJOIN(",",TRUE,_xlfn.UNIQUE(_xlfn._xlws.FILTER(_xlpm.item,(_xlpm.bu=C18)*(_xlpm.item&lt;&gt;"")))),""),IF(E18="","",IFERROR(_xlfn.TEXTJOIN(",",TRUE,_xlfn.UNIQUE(_xlfn._xlws.FILTER(_xlpm.item,(_xlpm.bu=C18)*(_xlpm.div=D18)*(_xlpm.srcDep=_xlpm.key)*('07. BIA'!$H$6:$H$285="Yes")))),"")))))</f>
      </c>
      <c r="G18" s="311"/>
      <c r="H18" s="78">
        <f t="shared" si="1"/>
      </c>
      <c r="I18" s="79"/>
      <c r="J18" s="80"/>
      <c r="K18" s="307"/>
      <c r="L18" s="81">
        <f t="shared" si="2"/>
      </c>
      <c r="M18" s="307"/>
      <c r="N18" s="81">
        <f t="shared" si="3"/>
      </c>
      <c r="O18" s="81">
        <f>IF(OR($K18="",$M18=""),"",$K18*$M18)</f>
      </c>
      <c r="P18" s="81">
        <f t="shared" si="4"/>
      </c>
      <c r="Q18" s="81">
        <f t="shared" si="5"/>
      </c>
      <c r="R18" s="80"/>
      <c r="S18" s="82" cm="1">
        <f t="array" ref="S18">IF($B18="","",IFERROR(_xlfn.TEXTJOIN(",",TRUE,_xlfn.UNIQUE(_xlfn._xlws.FILTER('11. Strategies &amp; Solutions'!$C$5:$C$64,('11. Strategies &amp; Solutions'!$B$5:$B$64=$B18)*('11. Strategies &amp; Solutions'!$C$5:$C$64&lt;&gt;"")))),"Not Created"))</f>
      </c>
      <c r="T18" s="123" cm="1">
        <f t="array" ref="T18">IF($B18="","",_xlfn.LET(_xlpm.ss,_xlfn._xlws.FILTER('11. Strategies &amp; Solutions'!$C$5:$C$64,('11. Strategies &amp; Solutions'!$B$5:$B$64=$B18)*('11. Strategies &amp; Solutions'!$C$5:$C$64&lt;&gt;""),""),IFERROR(_xlfn.TEXTJOIN(",",TRUE,_xlfn.UNIQUE(_xlfn._xlws.FILTER('14. Recovery &amp; Response'!$B$5:$B$104,ISNUMBER(_xlfn.XMATCH('14. Recovery &amp; Response'!$C$5:$C$104,_xlpm.ss))*('14. Recovery &amp; Response'!$B$5:$B$104&lt;&gt;"")))),"Not Created")))</f>
      </c>
      <c r="U18" s="282"/>
      <c r="V18" s="283"/>
      <c r="W18" s="283"/>
      <c r="X18" s="282"/>
      <c r="Y18" s="282"/>
      <c r="Z18" s="282">
        <f>IF($B18="","",IF(AND($C18&lt;&gt;"",$D18&lt;&gt;"",$E18&lt;&gt;"",$F18&lt;&gt;"",$G18&lt;&gt;"",$H18&lt;&gt;"",$J18&lt;&gt;"",$K18&lt;&gt;"",$M18&lt;&gt;"",$U18&lt;&gt;"",ISNUMBER($V18),ISNUMBER($W18),$X18&lt;&gt;"",$Y18&lt;&gt;""),"Complete","Incomplete"))</f>
      </c>
    </row>
    <row r="19" ht="18" x14ac:dyDescent="0.35">
      <c r="A19" s="122">
        <v>15</v>
      </c>
      <c r="B19" s="76">
        <f t="shared" si="0"/>
      </c>
      <c r="C19" s="309"/>
      <c r="D19" s="310"/>
      <c r="E19" s="308"/>
      <c r="F19" s="77" cm="1">
        <f t="array" ref="F19">IF(C19="","",_xlfn.LET(_xlpm.bu,_xlfn.SCAN("",'07.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",""),"-",""),"/","")),_xlpm.rawKey,LOWER(SUBSTITUTE(SUBSTITUTE(SUBSTITUTE(E19," ",""),"-",""),"/","")),_xlpm.key,IF(_xlpm.rawKey="data","datainfo",_xlpm.rawKey),IF(D19="",IFERROR(_xlfn.TEXTJOIN(",",TRUE,_xlfn.UNIQUE(_xlfn._xlws.FILTER(_xlpm.item,(_xlpm.bu=C19)*(_xlpm.item&lt;&gt;"")))),""),IF(E19="","",IFERROR(_xlfn.TEXTJOIN(",",TRUE,_xlfn.UNIQUE(_xlfn._xlws.FILTER(_xlpm.item,(_xlpm.bu=C19)*(_xlpm.div=D19)*(_xlpm.srcDep=_xlpm.key)*('07. BIA'!$H$6:$H$285="Yes")))),"")))))</f>
      </c>
      <c r="G19" s="311"/>
      <c r="H19" s="78">
        <f t="shared" si="1"/>
      </c>
      <c r="I19" s="79"/>
      <c r="J19" s="80"/>
      <c r="K19" s="307"/>
      <c r="L19" s="81">
        <f t="shared" si="2"/>
      </c>
      <c r="M19" s="307"/>
      <c r="N19" s="81">
        <f t="shared" si="3"/>
      </c>
      <c r="O19" s="81">
        <f>IF(OR($K19="",$M19=""),"",$K19*$M19)</f>
      </c>
      <c r="P19" s="81">
        <f t="shared" si="4"/>
      </c>
      <c r="Q19" s="81">
        <f t="shared" si="5"/>
      </c>
      <c r="R19" s="80"/>
      <c r="S19" s="82" cm="1">
        <f t="array" ref="S19">IF($B19="","",IFERROR(_xlfn.TEXTJOIN(",",TRUE,_xlfn.UNIQUE(_xlfn._xlws.FILTER('11. Strategies &amp; Solutions'!$C$5:$C$64,('11. Strategies &amp; Solutions'!$B$5:$B$64=$B19)*('11. Strategies &amp; Solutions'!$C$5:$C$64&lt;&gt;"")))),"Not Created"))</f>
      </c>
      <c r="T19" s="123" cm="1">
        <f t="array" ref="T19">IF($B19="","",_xlfn.LET(_xlpm.ss,_xlfn._xlws.FILTER('11. Strategies &amp; Solutions'!$C$5:$C$64,('11. Strategies &amp; Solutions'!$B$5:$B$64=$B19)*('11. Strategies &amp; Solutions'!$C$5:$C$64&lt;&gt;""),""),IFERROR(_xlfn.TEXTJOIN(",",TRUE,_xlfn.UNIQUE(_xlfn._xlws.FILTER('14. Recovery &amp; Response'!$B$5:$B$104,ISNUMBER(_xlfn.XMATCH('14. Recovery &amp; Response'!$C$5:$C$104,_xlpm.ss))*('14. Recovery &amp; Response'!$B$5:$B$104&lt;&gt;"")))),"Not Created")))</f>
      </c>
      <c r="U19" s="282"/>
      <c r="V19" s="283"/>
      <c r="W19" s="283"/>
      <c r="X19" s="282"/>
      <c r="Y19" s="282"/>
      <c r="Z19" s="282">
        <f>IF($B19="","",IF(AND($C19&lt;&gt;"",$D19&lt;&gt;"",$E19&lt;&gt;"",$F19&lt;&gt;"",$G19&lt;&gt;"",$H19&lt;&gt;"",$J19&lt;&gt;"",$K19&lt;&gt;"",$M19&lt;&gt;"",$U19&lt;&gt;"",ISNUMBER($V19),ISNUMBER($W19),$X19&lt;&gt;"",$Y19&lt;&gt;""),"Complete","Incomplete"))</f>
      </c>
    </row>
    <row r="20" ht="18" x14ac:dyDescent="0.35">
      <c r="A20" s="122">
        <v>16</v>
      </c>
      <c r="B20" s="76">
        <f t="shared" si="0"/>
      </c>
      <c r="C20" s="309"/>
      <c r="D20" s="310"/>
      <c r="E20" s="308"/>
      <c r="F20" s="77" cm="1">
        <f t="array" ref="F20">IF(C20="","",_xlfn.LET(_xlpm.bu,_xlfn.SCAN("",'07.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",""),"-",""),"/","")),_xlpm.rawKey,LOWER(SUBSTITUTE(SUBSTITUTE(SUBSTITUTE(E20," ",""),"-",""),"/","")),_xlpm.key,IF(_xlpm.rawKey="data","datainfo",_xlpm.rawKey),IF(D20="",IFERROR(_xlfn.TEXTJOIN(",",TRUE,_xlfn.UNIQUE(_xlfn._xlws.FILTER(_xlpm.item,(_xlpm.bu=C20)*(_xlpm.item&lt;&gt;"")))),""),IF(E20="","",IFERROR(_xlfn.TEXTJOIN(",",TRUE,_xlfn.UNIQUE(_xlfn._xlws.FILTER(_xlpm.item,(_xlpm.bu=C20)*(_xlpm.div=D20)*(_xlpm.srcDep=_xlpm.key)*('07. BIA'!$H$6:$H$285="Yes")))),"")))))</f>
      </c>
      <c r="G20" s="311"/>
      <c r="H20" s="78">
        <f t="shared" si="1"/>
      </c>
      <c r="I20" s="79"/>
      <c r="J20" s="80"/>
      <c r="K20" s="307"/>
      <c r="L20" s="81">
        <f t="shared" si="2"/>
      </c>
      <c r="M20" s="307"/>
      <c r="N20" s="81">
        <f t="shared" si="3"/>
      </c>
      <c r="O20" s="81">
        <f>IF(OR($K20="",$M20=""),"",$K20*$M20)</f>
      </c>
      <c r="P20" s="81">
        <f t="shared" si="4"/>
      </c>
      <c r="Q20" s="81">
        <f t="shared" si="5"/>
      </c>
      <c r="R20" s="80"/>
      <c r="S20" s="82" cm="1">
        <f t="array" ref="S20">IF($B20="","",IFERROR(_xlfn.TEXTJOIN(",",TRUE,_xlfn.UNIQUE(_xlfn._xlws.FILTER('11. Strategies &amp; Solutions'!$C$5:$C$64,('11. Strategies &amp; Solutions'!$B$5:$B$64=$B20)*('11. Strategies &amp; Solutions'!$C$5:$C$64&lt;&gt;"")))),"Not Created"))</f>
      </c>
      <c r="T20" s="123" cm="1">
        <f t="array" ref="T20">IF($B20="","",_xlfn.LET(_xlpm.ss,_xlfn._xlws.FILTER('11. Strategies &amp; Solutions'!$C$5:$C$64,('11. Strategies &amp; Solutions'!$B$5:$B$64=$B20)*('11. Strategies &amp; Solutions'!$C$5:$C$64&lt;&gt;""),""),IFERROR(_xlfn.TEXTJOIN(",",TRUE,_xlfn.UNIQUE(_xlfn._xlws.FILTER('14. Recovery &amp; Response'!$B$5:$B$104,ISNUMBER(_xlfn.XMATCH('14. Recovery &amp; Response'!$C$5:$C$104,_xlpm.ss))*('14. Recovery &amp; Response'!$B$5:$B$104&lt;&gt;"")))),"Not Created")))</f>
      </c>
      <c r="U20" s="282"/>
      <c r="V20" s="283"/>
      <c r="W20" s="283"/>
      <c r="X20" s="282"/>
      <c r="Y20" s="282"/>
      <c r="Z20" s="282">
        <f>IF($B20="","",IF(AND($C20&lt;&gt;"",$D20&lt;&gt;"",$E20&lt;&gt;"",$F20&lt;&gt;"",$G20&lt;&gt;"",$H20&lt;&gt;"",$J20&lt;&gt;"",$K20&lt;&gt;"",$M20&lt;&gt;"",$U20&lt;&gt;"",ISNUMBER($V20),ISNUMBER($W20),$X20&lt;&gt;"",$Y20&lt;&gt;""),"Complete","Incomplete"))</f>
      </c>
    </row>
    <row r="21" ht="18" x14ac:dyDescent="0.35">
      <c r="A21" s="122">
        <v>17</v>
      </c>
      <c r="B21" s="76">
        <f t="shared" si="0"/>
      </c>
      <c r="C21" s="309"/>
      <c r="D21" s="310"/>
      <c r="E21" s="308"/>
      <c r="F21" s="77" cm="1">
        <f t="array" ref="F21">IF(C21="","",_xlfn.LET(_xlpm.bu,_xlfn.SCAN("",'07.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",""),"-",""),"/","")),_xlpm.rawKey,LOWER(SUBSTITUTE(SUBSTITUTE(SUBSTITUTE(E21," ",""),"-",""),"/","")),_xlpm.key,IF(_xlpm.rawKey="data","datainfo",_xlpm.rawKey),IF(D21="",IFERROR(_xlfn.TEXTJOIN(",",TRUE,_xlfn.UNIQUE(_xlfn._xlws.FILTER(_xlpm.item,(_xlpm.bu=C21)*(_xlpm.item&lt;&gt;"")))),""),IF(E21="","",IFERROR(_xlfn.TEXTJOIN(",",TRUE,_xlfn.UNIQUE(_xlfn._xlws.FILTER(_xlpm.item,(_xlpm.bu=C21)*(_xlpm.div=D21)*(_xlpm.srcDep=_xlpm.key)*('07. BIA'!$H$6:$H$285="Yes")))),"")))))</f>
      </c>
      <c r="G21" s="311"/>
      <c r="H21" s="78">
        <f t="shared" si="1"/>
      </c>
      <c r="I21" s="79"/>
      <c r="J21" s="80"/>
      <c r="K21" s="307"/>
      <c r="L21" s="81">
        <f t="shared" si="2"/>
      </c>
      <c r="M21" s="307"/>
      <c r="N21" s="81">
        <f t="shared" si="3"/>
      </c>
      <c r="O21" s="81">
        <f>IF(OR($K21="",$M21=""),"",$K21*$M21)</f>
      </c>
      <c r="P21" s="81">
        <f t="shared" si="4"/>
      </c>
      <c r="Q21" s="81">
        <f t="shared" si="5"/>
      </c>
      <c r="R21" s="80"/>
      <c r="S21" s="82" cm="1">
        <f t="array" ref="S21">IF($B21="","",IFERROR(_xlfn.TEXTJOIN(",",TRUE,_xlfn.UNIQUE(_xlfn._xlws.FILTER('11. Strategies &amp; Solutions'!$C$5:$C$64,('11. Strategies &amp; Solutions'!$B$5:$B$64=$B21)*('11. Strategies &amp; Solutions'!$C$5:$C$64&lt;&gt;"")))),"Not Created"))</f>
      </c>
      <c r="T21" s="123" cm="1">
        <f t="array" ref="T21">IF($B21="","",_xlfn.LET(_xlpm.ss,_xlfn._xlws.FILTER('11. Strategies &amp; Solutions'!$C$5:$C$64,('11. Strategies &amp; Solutions'!$B$5:$B$64=$B21)*('11. Strategies &amp; Solutions'!$C$5:$C$64&lt;&gt;""),""),IFERROR(_xlfn.TEXTJOIN(",",TRUE,_xlfn.UNIQUE(_xlfn._xlws.FILTER('14. Recovery &amp; Response'!$B$5:$B$104,ISNUMBER(_xlfn.XMATCH('14. Recovery &amp; Response'!$C$5:$C$104,_xlpm.ss))*('14. Recovery &amp; Response'!$B$5:$B$104&lt;&gt;"")))),"Not Created")))</f>
      </c>
      <c r="U21" s="282"/>
      <c r="V21" s="283"/>
      <c r="W21" s="283"/>
      <c r="X21" s="282"/>
      <c r="Y21" s="282"/>
      <c r="Z21" s="282">
        <f>IF($B21="","",IF(AND($C21&lt;&gt;"",$D21&lt;&gt;"",$E21&lt;&gt;"",$F21&lt;&gt;"",$G21&lt;&gt;"",$H21&lt;&gt;"",$J21&lt;&gt;"",$K21&lt;&gt;"",$M21&lt;&gt;"",$U21&lt;&gt;"",ISNUMBER($V21),ISNUMBER($W21),$X21&lt;&gt;"",$Y21&lt;&gt;""),"Complete","Incomplete"))</f>
      </c>
    </row>
    <row r="22" ht="18" x14ac:dyDescent="0.35">
      <c r="A22" s="122">
        <v>18</v>
      </c>
      <c r="B22" s="76">
        <f t="shared" si="0"/>
      </c>
      <c r="C22" s="309"/>
      <c r="D22" s="310"/>
      <c r="E22" s="308"/>
      <c r="F22" s="77" cm="1">
        <f t="array" ref="F22">IF(C22="","",_xlfn.LET(_xlpm.bu,_xlfn.SCAN("",'07.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",""),"-",""),"/","")),_xlpm.rawKey,LOWER(SUBSTITUTE(SUBSTITUTE(SUBSTITUTE(E22," ",""),"-",""),"/","")),_xlpm.key,IF(_xlpm.rawKey="data","datainfo",_xlpm.rawKey),IF(D22="",IFERROR(_xlfn.TEXTJOIN(",",TRUE,_xlfn.UNIQUE(_xlfn._xlws.FILTER(_xlpm.item,(_xlpm.bu=C22)*(_xlpm.item&lt;&gt;"")))),""),IF(E22="","",IFERROR(_xlfn.TEXTJOIN(",",TRUE,_xlfn.UNIQUE(_xlfn._xlws.FILTER(_xlpm.item,(_xlpm.bu=C22)*(_xlpm.div=D22)*(_xlpm.srcDep=_xlpm.key)*('07. BIA'!$H$6:$H$285="Yes")))),"")))))</f>
      </c>
      <c r="G22" s="311"/>
      <c r="H22" s="78">
        <f t="shared" si="1"/>
      </c>
      <c r="I22" s="79"/>
      <c r="J22" s="80"/>
      <c r="K22" s="307"/>
      <c r="L22" s="81">
        <f t="shared" si="2"/>
      </c>
      <c r="M22" s="307"/>
      <c r="N22" s="81">
        <f t="shared" si="3"/>
      </c>
      <c r="O22" s="81">
        <f>IF(OR($K22="",$M22=""),"",$K22*$M22)</f>
      </c>
      <c r="P22" s="81">
        <f t="shared" si="4"/>
      </c>
      <c r="Q22" s="81">
        <f t="shared" si="5"/>
      </c>
      <c r="R22" s="80"/>
      <c r="S22" s="82" cm="1">
        <f t="array" ref="S22">IF($B22="","",IFERROR(_xlfn.TEXTJOIN(",",TRUE,_xlfn.UNIQUE(_xlfn._xlws.FILTER('11. Strategies &amp; Solutions'!$C$5:$C$64,('11. Strategies &amp; Solutions'!$B$5:$B$64=$B22)*('11. Strategies &amp; Solutions'!$C$5:$C$64&lt;&gt;"")))),"Not Created"))</f>
      </c>
      <c r="T22" s="123" cm="1">
        <f t="array" ref="T22">IF($B22="","",_xlfn.LET(_xlpm.ss,_xlfn._xlws.FILTER('11. Strategies &amp; Solutions'!$C$5:$C$64,('11. Strategies &amp; Solutions'!$B$5:$B$64=$B22)*('11. Strategies &amp; Solutions'!$C$5:$C$64&lt;&gt;""),""),IFERROR(_xlfn.TEXTJOIN(",",TRUE,_xlfn.UNIQUE(_xlfn._xlws.FILTER('14. Recovery &amp; Response'!$B$5:$B$104,ISNUMBER(_xlfn.XMATCH('14. Recovery &amp; Response'!$C$5:$C$104,_xlpm.ss))*('14. Recovery &amp; Response'!$B$5:$B$104&lt;&gt;"")))),"Not Created")))</f>
      </c>
      <c r="U22" s="282"/>
      <c r="V22" s="283"/>
      <c r="W22" s="283"/>
      <c r="X22" s="282"/>
      <c r="Y22" s="282"/>
      <c r="Z22" s="282">
        <f>IF($B22="","",IF(AND($C22&lt;&gt;"",$D22&lt;&gt;"",$E22&lt;&gt;"",$F22&lt;&gt;"",$G22&lt;&gt;"",$H22&lt;&gt;"",$J22&lt;&gt;"",$K22&lt;&gt;"",$M22&lt;&gt;"",$U22&lt;&gt;"",ISNUMBER($V22),ISNUMBER($W22),$X22&lt;&gt;"",$Y22&lt;&gt;""),"Complete","Incomplete"))</f>
      </c>
    </row>
    <row r="23" ht="18" x14ac:dyDescent="0.35">
      <c r="A23" s="122">
        <v>19</v>
      </c>
      <c r="B23" s="76">
        <f t="shared" si="0"/>
      </c>
      <c r="C23" s="309"/>
      <c r="D23" s="310"/>
      <c r="E23" s="308"/>
      <c r="F23" s="77" cm="1">
        <f t="array" ref="F23">IF(C23="","",_xlfn.LET(_xlpm.bu,_xlfn.SCAN("",'07.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",""),"-",""),"/","")),_xlpm.rawKey,LOWER(SUBSTITUTE(SUBSTITUTE(SUBSTITUTE(E23," ",""),"-",""),"/","")),_xlpm.key,IF(_xlpm.rawKey="data","datainfo",_xlpm.rawKey),IF(D23="",IFERROR(_xlfn.TEXTJOIN(",",TRUE,_xlfn.UNIQUE(_xlfn._xlws.FILTER(_xlpm.item,(_xlpm.bu=C23)*(_xlpm.item&lt;&gt;"")))),""),IF(E23="","",IFERROR(_xlfn.TEXTJOIN(",",TRUE,_xlfn.UNIQUE(_xlfn._xlws.FILTER(_xlpm.item,(_xlpm.bu=C23)*(_xlpm.div=D23)*(_xlpm.srcDep=_xlpm.key)*('07. BIA'!$H$6:$H$285="Yes")))),"")))))</f>
      </c>
      <c r="G23" s="311"/>
      <c r="H23" s="78">
        <f t="shared" si="1"/>
      </c>
      <c r="I23" s="79"/>
      <c r="J23" s="80"/>
      <c r="K23" s="307"/>
      <c r="L23" s="81">
        <f t="shared" si="2"/>
      </c>
      <c r="M23" s="307"/>
      <c r="N23" s="81">
        <f t="shared" si="3"/>
      </c>
      <c r="O23" s="81">
        <f>IF(OR($K23="",$M23=""),"",$K23*$M23)</f>
      </c>
      <c r="P23" s="81">
        <f t="shared" si="4"/>
      </c>
      <c r="Q23" s="81">
        <f t="shared" si="5"/>
      </c>
      <c r="R23" s="80"/>
      <c r="S23" s="82" cm="1">
        <f t="array" ref="S23">IF($B23="","",IFERROR(_xlfn.TEXTJOIN(",",TRUE,_xlfn.UNIQUE(_xlfn._xlws.FILTER('11. Strategies &amp; Solutions'!$C$5:$C$64,('11. Strategies &amp; Solutions'!$B$5:$B$64=$B23)*('11. Strategies &amp; Solutions'!$C$5:$C$64&lt;&gt;"")))),"Not Created"))</f>
      </c>
      <c r="T23" s="123" cm="1">
        <f t="array" ref="T23">IF($B23="","",_xlfn.LET(_xlpm.ss,_xlfn._xlws.FILTER('11. Strategies &amp; Solutions'!$C$5:$C$64,('11. Strategies &amp; Solutions'!$B$5:$B$64=$B23)*('11. Strategies &amp; Solutions'!$C$5:$C$64&lt;&gt;""),""),IFERROR(_xlfn.TEXTJOIN(",",TRUE,_xlfn.UNIQUE(_xlfn._xlws.FILTER('14. Recovery &amp; Response'!$B$5:$B$104,ISNUMBER(_xlfn.XMATCH('14. Recovery &amp; Response'!$C$5:$C$104,_xlpm.ss))*('14. Recovery &amp; Response'!$B$5:$B$104&lt;&gt;"")))),"Not Created")))</f>
      </c>
      <c r="U23" s="282"/>
      <c r="V23" s="283"/>
      <c r="W23" s="283"/>
      <c r="X23" s="282"/>
      <c r="Y23" s="282"/>
      <c r="Z23" s="282">
        <f>IF($B23="","",IF(AND($C23&lt;&gt;"",$D23&lt;&gt;"",$E23&lt;&gt;"",$F23&lt;&gt;"",$G23&lt;&gt;"",$H23&lt;&gt;"",$J23&lt;&gt;"",$K23&lt;&gt;"",$M23&lt;&gt;"",$U23&lt;&gt;"",ISNUMBER($V23),ISNUMBER($W23),$X23&lt;&gt;"",$Y23&lt;&gt;""),"Complete","Incomplete"))</f>
      </c>
    </row>
    <row r="24" ht="18" x14ac:dyDescent="0.35">
      <c r="A24" s="122">
        <v>20</v>
      </c>
      <c r="B24" s="76">
        <f t="shared" si="0"/>
      </c>
      <c r="C24" s="309"/>
      <c r="D24" s="310"/>
      <c r="E24" s="308"/>
      <c r="F24" s="77" cm="1">
        <f t="array" ref="F24">IF(C24="","",_xlfn.LET(_xlpm.bu,_xlfn.SCAN("",'07.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",""),"-",""),"/","")),_xlpm.rawKey,LOWER(SUBSTITUTE(SUBSTITUTE(SUBSTITUTE(E24," ",""),"-",""),"/","")),_xlpm.key,IF(_xlpm.rawKey="data","datainfo",_xlpm.rawKey),IF(D24="",IFERROR(_xlfn.TEXTJOIN(",",TRUE,_xlfn.UNIQUE(_xlfn._xlws.FILTER(_xlpm.item,(_xlpm.bu=C24)*(_xlpm.item&lt;&gt;"")))),""),IF(E24="","",IFERROR(_xlfn.TEXTJOIN(",",TRUE,_xlfn.UNIQUE(_xlfn._xlws.FILTER(_xlpm.item,(_xlpm.bu=C24)*(_xlpm.div=D24)*(_xlpm.srcDep=_xlpm.key)*('07. BIA'!$H$6:$H$285="Yes")))),"")))))</f>
      </c>
      <c r="G24" s="311"/>
      <c r="H24" s="78">
        <f t="shared" si="1"/>
      </c>
      <c r="I24" s="79"/>
      <c r="J24" s="80"/>
      <c r="K24" s="307"/>
      <c r="L24" s="81">
        <f t="shared" si="2"/>
      </c>
      <c r="M24" s="307"/>
      <c r="N24" s="81">
        <f t="shared" si="3"/>
      </c>
      <c r="O24" s="81">
        <f>IF(OR($K24="",$M24=""),"",$K24*$M24)</f>
      </c>
      <c r="P24" s="81">
        <f t="shared" si="4"/>
      </c>
      <c r="Q24" s="81">
        <f t="shared" si="5"/>
      </c>
      <c r="R24" s="80"/>
      <c r="S24" s="82" cm="1">
        <f t="array" ref="S24">IF($B24="","",IFERROR(_xlfn.TEXTJOIN(",",TRUE,_xlfn.UNIQUE(_xlfn._xlws.FILTER('11. Strategies &amp; Solutions'!$C$5:$C$64,('11. Strategies &amp; Solutions'!$B$5:$B$64=$B24)*('11. Strategies &amp; Solutions'!$C$5:$C$64&lt;&gt;"")))),"Not Created"))</f>
      </c>
      <c r="T24" s="123" cm="1">
        <f t="array" ref="T24">IF($B24="","",_xlfn.LET(_xlpm.ss,_xlfn._xlws.FILTER('11. Strategies &amp; Solutions'!$C$5:$C$64,('11. Strategies &amp; Solutions'!$B$5:$B$64=$B24)*('11. Strategies &amp; Solutions'!$C$5:$C$64&lt;&gt;""),""),IFERROR(_xlfn.TEXTJOIN(",",TRUE,_xlfn.UNIQUE(_xlfn._xlws.FILTER('14. Recovery &amp; Response'!$B$5:$B$104,ISNUMBER(_xlfn.XMATCH('14. Recovery &amp; Response'!$C$5:$C$104,_xlpm.ss))*('14. Recovery &amp; Response'!$B$5:$B$104&lt;&gt;"")))),"Not Created")))</f>
      </c>
      <c r="U24" s="282"/>
      <c r="V24" s="283"/>
      <c r="W24" s="283"/>
      <c r="X24" s="282"/>
      <c r="Y24" s="282"/>
      <c r="Z24" s="282">
        <f>IF($B24="","",IF(AND($C24&lt;&gt;"",$D24&lt;&gt;"",$E24&lt;&gt;"",$F24&lt;&gt;"",$G24&lt;&gt;"",$H24&lt;&gt;"",$J24&lt;&gt;"",$K24&lt;&gt;"",$M24&lt;&gt;"",$U24&lt;&gt;"",ISNUMBER($V24),ISNUMBER($W24),$X24&lt;&gt;"",$Y24&lt;&gt;""),"Complete","Incomplete"))</f>
      </c>
    </row>
    <row r="25" ht="18" x14ac:dyDescent="0.35">
      <c r="A25" s="122">
        <v>21</v>
      </c>
      <c r="B25" s="76">
        <f t="shared" si="0"/>
      </c>
      <c r="C25" s="309"/>
      <c r="D25" s="310"/>
      <c r="E25" s="308"/>
      <c r="F25" s="77" cm="1">
        <f t="array" ref="F25">IF(C25="","",_xlfn.LET(_xlpm.bu,_xlfn.SCAN("",'07.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",""),"-",""),"/","")),_xlpm.rawKey,LOWER(SUBSTITUTE(SUBSTITUTE(SUBSTITUTE(E25," ",""),"-",""),"/","")),_xlpm.key,IF(_xlpm.rawKey="data","datainfo",_xlpm.rawKey),IF(D25="",IFERROR(_xlfn.TEXTJOIN(",",TRUE,_xlfn.UNIQUE(_xlfn._xlws.FILTER(_xlpm.item,(_xlpm.bu=C25)*(_xlpm.item&lt;&gt;"")))),""),IF(E25="","",IFERROR(_xlfn.TEXTJOIN(",",TRUE,_xlfn.UNIQUE(_xlfn._xlws.FILTER(_xlpm.item,(_xlpm.bu=C25)*(_xlpm.div=D25)*(_xlpm.srcDep=_xlpm.key)*('07. BIA'!$H$6:$H$285="Yes")))),"")))))</f>
      </c>
      <c r="G25" s="311"/>
      <c r="H25" s="78">
        <f t="shared" si="1"/>
      </c>
      <c r="I25" s="79"/>
      <c r="J25" s="80"/>
      <c r="K25" s="307"/>
      <c r="L25" s="81">
        <f t="shared" si="2"/>
      </c>
      <c r="M25" s="307"/>
      <c r="N25" s="81">
        <f t="shared" si="3"/>
      </c>
      <c r="O25" s="81">
        <f>IF(OR($K25="",$M25=""),"",$K25*$M25)</f>
      </c>
      <c r="P25" s="81">
        <f t="shared" si="4"/>
      </c>
      <c r="Q25" s="81">
        <f t="shared" si="5"/>
      </c>
      <c r="R25" s="80"/>
      <c r="S25" s="82" cm="1">
        <f t="array" ref="S25">IF($B25="","",IFERROR(_xlfn.TEXTJOIN(",",TRUE,_xlfn.UNIQUE(_xlfn._xlws.FILTER('11. Strategies &amp; Solutions'!$C$5:$C$64,('11. Strategies &amp; Solutions'!$B$5:$B$64=$B25)*('11. Strategies &amp; Solutions'!$C$5:$C$64&lt;&gt;"")))),"Not Created"))</f>
      </c>
      <c r="T25" s="123" cm="1">
        <f t="array" ref="T25">IF($B25="","",_xlfn.LET(_xlpm.ss,_xlfn._xlws.FILTER('11. Strategies &amp; Solutions'!$C$5:$C$64,('11. Strategies &amp; Solutions'!$B$5:$B$64=$B25)*('11. Strategies &amp; Solutions'!$C$5:$C$64&lt;&gt;""),""),IFERROR(_xlfn.TEXTJOIN(",",TRUE,_xlfn.UNIQUE(_xlfn._xlws.FILTER('14. Recovery &amp; Response'!$B$5:$B$104,ISNUMBER(_xlfn.XMATCH('14. Recovery &amp; Response'!$C$5:$C$104,_xlpm.ss))*('14. Recovery &amp; Response'!$B$5:$B$104&lt;&gt;"")))),"Not Created")))</f>
      </c>
      <c r="U25" s="282"/>
      <c r="V25" s="283"/>
      <c r="W25" s="283"/>
      <c r="X25" s="282"/>
      <c r="Y25" s="282"/>
      <c r="Z25" s="282">
        <f>IF($B25="","",IF(AND($C25&lt;&gt;"",$D25&lt;&gt;"",$E25&lt;&gt;"",$F25&lt;&gt;"",$G25&lt;&gt;"",$H25&lt;&gt;"",$J25&lt;&gt;"",$K25&lt;&gt;"",$M25&lt;&gt;"",$U25&lt;&gt;"",ISNUMBER($V25),ISNUMBER($W25),$X25&lt;&gt;"",$Y25&lt;&gt;""),"Complete","Incomplete"))</f>
      </c>
    </row>
    <row r="26" ht="18" x14ac:dyDescent="0.35">
      <c r="A26" s="122">
        <v>22</v>
      </c>
      <c r="B26" s="76">
        <f t="shared" si="0"/>
      </c>
      <c r="C26" s="309"/>
      <c r="D26" s="310"/>
      <c r="E26" s="308"/>
      <c r="F26" s="77" cm="1">
        <f t="array" ref="F26">IF(C26="","",_xlfn.LET(_xlpm.bu,_xlfn.SCAN("",'07.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",""),"-",""),"/","")),_xlpm.rawKey,LOWER(SUBSTITUTE(SUBSTITUTE(SUBSTITUTE(E26," ",""),"-",""),"/","")),_xlpm.key,IF(_xlpm.rawKey="data","datainfo",_xlpm.rawKey),IF(D26="",IFERROR(_xlfn.TEXTJOIN(",",TRUE,_xlfn.UNIQUE(_xlfn._xlws.FILTER(_xlpm.item,(_xlpm.bu=C26)*(_xlpm.item&lt;&gt;"")))),""),IF(E26="","",IFERROR(_xlfn.TEXTJOIN(",",TRUE,_xlfn.UNIQUE(_xlfn._xlws.FILTER(_xlpm.item,(_xlpm.bu=C26)*(_xlpm.div=D26)*(_xlpm.srcDep=_xlpm.key)*('07. BIA'!$H$6:$H$285="Yes")))),"")))))</f>
      </c>
      <c r="G26" s="311"/>
      <c r="H26" s="78">
        <f t="shared" si="1"/>
      </c>
      <c r="I26" s="79"/>
      <c r="J26" s="80"/>
      <c r="K26" s="307"/>
      <c r="L26" s="81">
        <f t="shared" si="2"/>
      </c>
      <c r="M26" s="307"/>
      <c r="N26" s="81">
        <f t="shared" si="3"/>
      </c>
      <c r="O26" s="81">
        <f>IF(OR($K26="",$M26=""),"",$K26*$M26)</f>
      </c>
      <c r="P26" s="81">
        <f t="shared" si="4"/>
      </c>
      <c r="Q26" s="81">
        <f t="shared" si="5"/>
      </c>
      <c r="R26" s="80"/>
      <c r="S26" s="82" cm="1">
        <f t="array" ref="S26">IF($B26="","",IFERROR(_xlfn.TEXTJOIN(",",TRUE,_xlfn.UNIQUE(_xlfn._xlws.FILTER('11. Strategies &amp; Solutions'!$C$5:$C$64,('11. Strategies &amp; Solutions'!$B$5:$B$64=$B26)*('11. Strategies &amp; Solutions'!$C$5:$C$64&lt;&gt;"")))),"Not Created"))</f>
      </c>
      <c r="T26" s="123" cm="1">
        <f t="array" ref="T26">IF($B26="","",_xlfn.LET(_xlpm.ss,_xlfn._xlws.FILTER('11. Strategies &amp; Solutions'!$C$5:$C$64,('11. Strategies &amp; Solutions'!$B$5:$B$64=$B26)*('11. Strategies &amp; Solutions'!$C$5:$C$64&lt;&gt;""),""),IFERROR(_xlfn.TEXTJOIN(",",TRUE,_xlfn.UNIQUE(_xlfn._xlws.FILTER('14. Recovery &amp; Response'!$B$5:$B$104,ISNUMBER(_xlfn.XMATCH('14. Recovery &amp; Response'!$C$5:$C$104,_xlpm.ss))*('14. Recovery &amp; Response'!$B$5:$B$104&lt;&gt;"")))),"Not Created")))</f>
      </c>
      <c r="U26" s="282"/>
      <c r="V26" s="283"/>
      <c r="W26" s="283"/>
      <c r="X26" s="282"/>
      <c r="Y26" s="282"/>
      <c r="Z26" s="282">
        <f>IF($B26="","",IF(AND($C26&lt;&gt;"",$D26&lt;&gt;"",$E26&lt;&gt;"",$F26&lt;&gt;"",$G26&lt;&gt;"",$H26&lt;&gt;"",$J26&lt;&gt;"",$K26&lt;&gt;"",$M26&lt;&gt;"",$U26&lt;&gt;"",ISNUMBER($V26),ISNUMBER($W26),$X26&lt;&gt;"",$Y26&lt;&gt;""),"Complete","Incomplete"))</f>
      </c>
    </row>
    <row r="27" ht="18" x14ac:dyDescent="0.35">
      <c r="A27" s="122">
        <v>23</v>
      </c>
      <c r="B27" s="76">
        <f t="shared" si="0"/>
      </c>
      <c r="C27" s="309"/>
      <c r="D27" s="310"/>
      <c r="E27" s="308"/>
      <c r="F27" s="77" cm="1">
        <f t="array" ref="F27">IF(C27="","",_xlfn.LET(_xlpm.bu,_xlfn.SCAN("",'07.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",""),"-",""),"/","")),_xlpm.rawKey,LOWER(SUBSTITUTE(SUBSTITUTE(SUBSTITUTE(E27," ",""),"-",""),"/","")),_xlpm.key,IF(_xlpm.rawKey="data","datainfo",_xlpm.rawKey),IF(D27="",IFERROR(_xlfn.TEXTJOIN(",",TRUE,_xlfn.UNIQUE(_xlfn._xlws.FILTER(_xlpm.item,(_xlpm.bu=C27)*(_xlpm.item&lt;&gt;"")))),""),IF(E27="","",IFERROR(_xlfn.TEXTJOIN(",",TRUE,_xlfn.UNIQUE(_xlfn._xlws.FILTER(_xlpm.item,(_xlpm.bu=C27)*(_xlpm.div=D27)*(_xlpm.srcDep=_xlpm.key)*('07. BIA'!$H$6:$H$285="Yes")))),"")))))</f>
      </c>
      <c r="G27" s="311"/>
      <c r="H27" s="78">
        <f t="shared" si="1"/>
      </c>
      <c r="I27" s="79"/>
      <c r="J27" s="80"/>
      <c r="K27" s="307"/>
      <c r="L27" s="81">
        <f t="shared" si="2"/>
      </c>
      <c r="M27" s="307"/>
      <c r="N27" s="81">
        <f t="shared" si="3"/>
      </c>
      <c r="O27" s="81">
        <f>IF(OR($K27="",$M27=""),"",$K27*$M27)</f>
      </c>
      <c r="P27" s="81">
        <f t="shared" si="4"/>
      </c>
      <c r="Q27" s="81">
        <f t="shared" si="5"/>
      </c>
      <c r="R27" s="80"/>
      <c r="S27" s="82" cm="1">
        <f t="array" ref="S27">IF($B27="","",IFERROR(_xlfn.TEXTJOIN(",",TRUE,_xlfn.UNIQUE(_xlfn._xlws.FILTER('11. Strategies &amp; Solutions'!$C$5:$C$64,('11. Strategies &amp; Solutions'!$B$5:$B$64=$B27)*('11. Strategies &amp; Solutions'!$C$5:$C$64&lt;&gt;"")))),"Not Created"))</f>
      </c>
      <c r="T27" s="123" cm="1">
        <f t="array" ref="T27">IF($B27="","",_xlfn.LET(_xlpm.ss,_xlfn._xlws.FILTER('11. Strategies &amp; Solutions'!$C$5:$C$64,('11. Strategies &amp; Solutions'!$B$5:$B$64=$B27)*('11. Strategies &amp; Solutions'!$C$5:$C$64&lt;&gt;""),""),IFERROR(_xlfn.TEXTJOIN(",",TRUE,_xlfn.UNIQUE(_xlfn._xlws.FILTER('14. Recovery &amp; Response'!$B$5:$B$104,ISNUMBER(_xlfn.XMATCH('14. Recovery &amp; Response'!$C$5:$C$104,_xlpm.ss))*('14. Recovery &amp; Response'!$B$5:$B$104&lt;&gt;"")))),"Not Created")))</f>
      </c>
      <c r="U27" s="282"/>
      <c r="V27" s="283"/>
      <c r="W27" s="283"/>
      <c r="X27" s="282"/>
      <c r="Y27" s="282"/>
      <c r="Z27" s="282">
        <f>IF($B27="","",IF(AND($C27&lt;&gt;"",$D27&lt;&gt;"",$E27&lt;&gt;"",$F27&lt;&gt;"",$G27&lt;&gt;"",$H27&lt;&gt;"",$J27&lt;&gt;"",$K27&lt;&gt;"",$M27&lt;&gt;"",$U27&lt;&gt;"",ISNUMBER($V27),ISNUMBER($W27),$X27&lt;&gt;"",$Y27&lt;&gt;""),"Complete","Incomplete"))</f>
      </c>
    </row>
    <row r="28" ht="18" x14ac:dyDescent="0.35">
      <c r="A28" s="122">
        <v>24</v>
      </c>
      <c r="B28" s="76">
        <f t="shared" si="0"/>
      </c>
      <c r="C28" s="309"/>
      <c r="D28" s="310"/>
      <c r="E28" s="308"/>
      <c r="F28" s="77" cm="1">
        <f t="array" ref="F28">IF(C28="","",_xlfn.LET(_xlpm.bu,_xlfn.SCAN("",'07.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",""),"-",""),"/","")),_xlpm.rawKey,LOWER(SUBSTITUTE(SUBSTITUTE(SUBSTITUTE(E28," ",""),"-",""),"/","")),_xlpm.key,IF(_xlpm.rawKey="data","datainfo",_xlpm.rawKey),IF(D28="",IFERROR(_xlfn.TEXTJOIN(",",TRUE,_xlfn.UNIQUE(_xlfn._xlws.FILTER(_xlpm.item,(_xlpm.bu=C28)*(_xlpm.item&lt;&gt;"")))),""),IF(E28="","",IFERROR(_xlfn.TEXTJOIN(",",TRUE,_xlfn.UNIQUE(_xlfn._xlws.FILTER(_xlpm.item,(_xlpm.bu=C28)*(_xlpm.div=D28)*(_xlpm.srcDep=_xlpm.key)*('07. BIA'!$H$6:$H$285="Yes")))),"")))))</f>
      </c>
      <c r="G28" s="311"/>
      <c r="H28" s="78">
        <f t="shared" si="1"/>
      </c>
      <c r="I28" s="79"/>
      <c r="J28" s="80"/>
      <c r="K28" s="307"/>
      <c r="L28" s="81">
        <f t="shared" si="2"/>
      </c>
      <c r="M28" s="307"/>
      <c r="N28" s="81">
        <f t="shared" si="3"/>
      </c>
      <c r="O28" s="81">
        <f>IF(OR($K28="",$M28=""),"",$K28*$M28)</f>
      </c>
      <c r="P28" s="81">
        <f t="shared" si="4"/>
      </c>
      <c r="Q28" s="81">
        <f t="shared" si="5"/>
      </c>
      <c r="R28" s="80"/>
      <c r="S28" s="82" cm="1">
        <f t="array" ref="S28">IF($B28="","",IFERROR(_xlfn.TEXTJOIN(",",TRUE,_xlfn.UNIQUE(_xlfn._xlws.FILTER('11. Strategies &amp; Solutions'!$C$5:$C$64,('11. Strategies &amp; Solutions'!$B$5:$B$64=$B28)*('11. Strategies &amp; Solutions'!$C$5:$C$64&lt;&gt;"")))),"Not Created"))</f>
      </c>
      <c r="T28" s="123" cm="1">
        <f t="array" ref="T28">IF($B28="","",_xlfn.LET(_xlpm.ss,_xlfn._xlws.FILTER('11. Strategies &amp; Solutions'!$C$5:$C$64,('11. Strategies &amp; Solutions'!$B$5:$B$64=$B28)*('11. Strategies &amp; Solutions'!$C$5:$C$64&lt;&gt;""),""),IFERROR(_xlfn.TEXTJOIN(",",TRUE,_xlfn.UNIQUE(_xlfn._xlws.FILTER('14. Recovery &amp; Response'!$B$5:$B$104,ISNUMBER(_xlfn.XMATCH('14. Recovery &amp; Response'!$C$5:$C$104,_xlpm.ss))*('14. Recovery &amp; Response'!$B$5:$B$104&lt;&gt;"")))),"Not Created")))</f>
      </c>
      <c r="U28" s="282"/>
      <c r="V28" s="283"/>
      <c r="W28" s="283"/>
      <c r="X28" s="282"/>
      <c r="Y28" s="282"/>
      <c r="Z28" s="282">
        <f>IF($B28="","",IF(AND($C28&lt;&gt;"",$D28&lt;&gt;"",$E28&lt;&gt;"",$F28&lt;&gt;"",$G28&lt;&gt;"",$H28&lt;&gt;"",$J28&lt;&gt;"",$K28&lt;&gt;"",$M28&lt;&gt;"",$U28&lt;&gt;"",ISNUMBER($V28),ISNUMBER($W28),$X28&lt;&gt;"",$Y28&lt;&gt;""),"Complete","Incomplete"))</f>
      </c>
    </row>
    <row r="29" ht="18" x14ac:dyDescent="0.35">
      <c r="A29" s="122">
        <v>25</v>
      </c>
      <c r="B29" s="76">
        <f t="shared" si="0"/>
      </c>
      <c r="C29" s="309"/>
      <c r="D29" s="310"/>
      <c r="E29" s="308"/>
      <c r="F29" s="77" cm="1">
        <f t="array" ref="F29">IF(C29="","",_xlfn.LET(_xlpm.bu,_xlfn.SCAN("",'07.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",""),"-",""),"/","")),_xlpm.rawKey,LOWER(SUBSTITUTE(SUBSTITUTE(SUBSTITUTE(E29," ",""),"-",""),"/","")),_xlpm.key,IF(_xlpm.rawKey="data","datainfo",_xlpm.rawKey),IF(D29="",IFERROR(_xlfn.TEXTJOIN(",",TRUE,_xlfn.UNIQUE(_xlfn._xlws.FILTER(_xlpm.item,(_xlpm.bu=C29)*(_xlpm.item&lt;&gt;"")))),""),IF(E29="","",IFERROR(_xlfn.TEXTJOIN(",",TRUE,_xlfn.UNIQUE(_xlfn._xlws.FILTER(_xlpm.item,(_xlpm.bu=C29)*(_xlpm.div=D29)*(_xlpm.srcDep=_xlpm.key)*('07. BIA'!$H$6:$H$285="Yes")))),"")))))</f>
      </c>
      <c r="G29" s="311"/>
      <c r="H29" s="78">
        <f t="shared" si="1"/>
      </c>
      <c r="I29" s="79"/>
      <c r="J29" s="80"/>
      <c r="K29" s="307"/>
      <c r="L29" s="81">
        <f t="shared" si="2"/>
      </c>
      <c r="M29" s="307"/>
      <c r="N29" s="81">
        <f t="shared" si="3"/>
      </c>
      <c r="O29" s="81">
        <f>IF(OR($K29="",$M29=""),"",$K29*$M29)</f>
      </c>
      <c r="P29" s="81">
        <f t="shared" si="4"/>
      </c>
      <c r="Q29" s="81">
        <f t="shared" si="5"/>
      </c>
      <c r="R29" s="80"/>
      <c r="S29" s="82" cm="1">
        <f t="array" ref="S29">IF($B29="","",IFERROR(_xlfn.TEXTJOIN(",",TRUE,_xlfn.UNIQUE(_xlfn._xlws.FILTER('11. Strategies &amp; Solutions'!$C$5:$C$64,('11. Strategies &amp; Solutions'!$B$5:$B$64=$B29)*('11. Strategies &amp; Solutions'!$C$5:$C$64&lt;&gt;"")))),"Not Created"))</f>
      </c>
      <c r="T29" s="123" cm="1">
        <f t="array" ref="T29">IF($B29="","",_xlfn.LET(_xlpm.ss,_xlfn._xlws.FILTER('11. Strategies &amp; Solutions'!$C$5:$C$64,('11. Strategies &amp; Solutions'!$B$5:$B$64=$B29)*('11. Strategies &amp; Solutions'!$C$5:$C$64&lt;&gt;""),""),IFERROR(_xlfn.TEXTJOIN(",",TRUE,_xlfn.UNIQUE(_xlfn._xlws.FILTER('14. Recovery &amp; Response'!$B$5:$B$104,ISNUMBER(_xlfn.XMATCH('14. Recovery &amp; Response'!$C$5:$C$104,_xlpm.ss))*('14. Recovery &amp; Response'!$B$5:$B$104&lt;&gt;"")))),"Not Created")))</f>
      </c>
      <c r="U29" s="282"/>
      <c r="V29" s="283"/>
      <c r="W29" s="283"/>
      <c r="X29" s="282"/>
      <c r="Y29" s="282"/>
      <c r="Z29" s="282">
        <f>IF($B29="","",IF(AND($C29&lt;&gt;"",$D29&lt;&gt;"",$E29&lt;&gt;"",$F29&lt;&gt;"",$G29&lt;&gt;"",$H29&lt;&gt;"",$J29&lt;&gt;"",$K29&lt;&gt;"",$M29&lt;&gt;"",$U29&lt;&gt;"",ISNUMBER($V29),ISNUMBER($W29),$X29&lt;&gt;"",$Y29&lt;&gt;""),"Complete","Incomplete"))</f>
      </c>
    </row>
    <row r="30" ht="18" x14ac:dyDescent="0.35">
      <c r="A30" s="122">
        <v>26</v>
      </c>
      <c r="B30" s="76">
        <f t="shared" si="0"/>
      </c>
      <c r="C30" s="309"/>
      <c r="D30" s="310"/>
      <c r="E30" s="308"/>
      <c r="F30" s="77" cm="1">
        <f t="array" ref="F30">IF(C30="","",_xlfn.LET(_xlpm.bu,_xlfn.SCAN("",'07.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",""),"-",""),"/","")),_xlpm.rawKey,LOWER(SUBSTITUTE(SUBSTITUTE(SUBSTITUTE(E30," ",""),"-",""),"/","")),_xlpm.key,IF(_xlpm.rawKey="data","datainfo",_xlpm.rawKey),IF(D30="",IFERROR(_xlfn.TEXTJOIN(",",TRUE,_xlfn.UNIQUE(_xlfn._xlws.FILTER(_xlpm.item,(_xlpm.bu=C30)*(_xlpm.item&lt;&gt;"")))),""),IF(E30="","",IFERROR(_xlfn.TEXTJOIN(",",TRUE,_xlfn.UNIQUE(_xlfn._xlws.FILTER(_xlpm.item,(_xlpm.bu=C30)*(_xlpm.div=D30)*(_xlpm.srcDep=_xlpm.key)*('07. BIA'!$H$6:$H$285="Yes")))),"")))))</f>
      </c>
      <c r="G30" s="311"/>
      <c r="H30" s="78">
        <f t="shared" si="1"/>
      </c>
      <c r="I30" s="79"/>
      <c r="J30" s="80"/>
      <c r="K30" s="307"/>
      <c r="L30" s="81">
        <f t="shared" si="2"/>
      </c>
      <c r="M30" s="307"/>
      <c r="N30" s="81">
        <f t="shared" si="3"/>
      </c>
      <c r="O30" s="81">
        <f>IF(OR($K30="",$M30=""),"",$K30*$M30)</f>
      </c>
      <c r="P30" s="81">
        <f t="shared" si="4"/>
      </c>
      <c r="Q30" s="81">
        <f t="shared" si="5"/>
      </c>
      <c r="R30" s="80"/>
      <c r="S30" s="82" cm="1">
        <f t="array" ref="S30">IF($B30="","",IFERROR(_xlfn.TEXTJOIN(",",TRUE,_xlfn.UNIQUE(_xlfn._xlws.FILTER('11. Strategies &amp; Solutions'!$C$5:$C$64,('11. Strategies &amp; Solutions'!$B$5:$B$64=$B30)*('11. Strategies &amp; Solutions'!$C$5:$C$64&lt;&gt;"")))),"Not Created"))</f>
      </c>
      <c r="T30" s="123" cm="1">
        <f t="array" ref="T30">IF($B30="","",_xlfn.LET(_xlpm.ss,_xlfn._xlws.FILTER('11. Strategies &amp; Solutions'!$C$5:$C$64,('11. Strategies &amp; Solutions'!$B$5:$B$64=$B30)*('11. Strategies &amp; Solutions'!$C$5:$C$64&lt;&gt;""),""),IFERROR(_xlfn.TEXTJOIN(",",TRUE,_xlfn.UNIQUE(_xlfn._xlws.FILTER('14. Recovery &amp; Response'!$B$5:$B$104,ISNUMBER(_xlfn.XMATCH('14. Recovery &amp; Response'!$C$5:$C$104,_xlpm.ss))*('14. Recovery &amp; Response'!$B$5:$B$104&lt;&gt;"")))),"Not Created")))</f>
      </c>
      <c r="U30" s="282"/>
      <c r="V30" s="283"/>
      <c r="W30" s="283"/>
      <c r="X30" s="282"/>
      <c r="Y30" s="282"/>
      <c r="Z30" s="282">
        <f>IF($B30="","",IF(AND($C30&lt;&gt;"",$D30&lt;&gt;"",$E30&lt;&gt;"",$F30&lt;&gt;"",$G30&lt;&gt;"",$H30&lt;&gt;"",$J30&lt;&gt;"",$K30&lt;&gt;"",$M30&lt;&gt;"",$U30&lt;&gt;"",ISNUMBER($V30),ISNUMBER($W30),$X30&lt;&gt;"",$Y30&lt;&gt;""),"Complete","Incomplete"))</f>
      </c>
    </row>
    <row r="31" ht="18" x14ac:dyDescent="0.35">
      <c r="A31" s="122">
        <v>27</v>
      </c>
      <c r="B31" s="83">
        <f t="shared" ref="B31:B34" si="6">IF($G31="","","RA-"&amp;TEXT($A31,"000"))</f>
      </c>
      <c r="C31" s="309"/>
      <c r="D31" s="310"/>
      <c r="E31" s="308"/>
      <c r="F31" s="77" cm="1">
        <f t="array" ref="F31">IF(C31="","",_xlfn.LET(_xlpm.bu,_xlfn.SCAN("",'07.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",""),"-",""),"/","")),_xlpm.rawKey,LOWER(SUBSTITUTE(SUBSTITUTE(SUBSTITUTE(E31," ",""),"-",""),"/","")),_xlpm.key,IF(_xlpm.rawKey="data","datainfo",_xlpm.rawKey),IF(D31="",IFERROR(_xlfn.TEXTJOIN(",",TRUE,_xlfn.UNIQUE(_xlfn._xlws.FILTER(_xlpm.item,(_xlpm.bu=C31)*(_xlpm.item&lt;&gt;"")))),""),IF(E31="","",IFERROR(_xlfn.TEXTJOIN(",",TRUE,_xlfn.UNIQUE(_xlfn._xlws.FILTER(_xlpm.item,(_xlpm.bu=C31)*(_xlpm.div=D31)*(_xlpm.srcDep=_xlpm.key)*('07. BIA'!$H$6:$H$285="Yes")))),"")))))</f>
      </c>
      <c r="G31" s="311"/>
      <c r="H31" s="78">
        <f t="shared" ref="H31:H34" si="7">IF($G31="","","Inability to deliver the associated products/services due to ["&amp;$G31&amp;"]")</f>
      </c>
      <c r="I31" s="79"/>
      <c r="J31" s="80"/>
      <c r="K31" s="307"/>
      <c r="L31" s="81">
        <f t="shared" ref="L31:L34" si="8">IF($K31="","",CHOOSE($K31,"Rare","Infrequent","Occasional","Frequent","Almost Certain"))</f>
      </c>
      <c r="M31" s="307"/>
      <c r="N31" s="81">
        <f t="shared" ref="N31:N34" si="9">IF($M31="","",CHOOSE($M31,"Negligible","Minor","Medium","Critical","Catastrophic"))</f>
      </c>
      <c r="O31" s="81">
        <f>IF(OR($K31="",$M31=""),"",$K31*$M31)</f>
      </c>
      <c r="P31" s="81">
        <f t="shared" ref="P31:P34" si="10">IF($O31="","",IF($O31&gt;=20,"Critical",IF($O31&gt;=12,"Significant",IF($O31&gt;=7,"Moderate","Low"))))</f>
      </c>
      <c r="Q31" s="81">
        <f t="shared" ref="Q31:Q34" si="11">IF($P31="","",IF($P31="Critical",1,IF($P31="Significant",2,IF($P31="Moderate",3,4))))</f>
      </c>
      <c r="R31" s="80"/>
      <c r="S31" s="82" cm="1">
        <f t="array" ref="S31">IF($B31="","",IFERROR(_xlfn.TEXTJOIN(",",TRUE,_xlfn.UNIQUE(_xlfn._xlws.FILTER('11. Strategies &amp; Solutions'!$C$5:$C$64,('11. Strategies &amp; Solutions'!$B$5:$B$64=$B31)*('11. Strategies &amp; Solutions'!$C$5:$C$64&lt;&gt;"")))),"Not Created"))</f>
      </c>
      <c r="T31" s="123" cm="1">
        <f t="array" ref="T31">IF($B31="","",_xlfn.LET(_xlpm.ss,_xlfn._xlws.FILTER('11. Strategies &amp; Solutions'!$C$5:$C$64,('11. Strategies &amp; Solutions'!$B$5:$B$64=$B31)*('11. Strategies &amp; Solutions'!$C$5:$C$64&lt;&gt;""),""),IFERROR(_xlfn.TEXTJOIN(",",TRUE,_xlfn.UNIQUE(_xlfn._xlws.FILTER('14. Recovery &amp; Response'!$B$5:$B$104,ISNUMBER(_xlfn.XMATCH('14. Recovery &amp; Response'!$C$5:$C$104,_xlpm.ss))*('14. Recovery &amp; Response'!$B$5:$B$104&lt;&gt;"")))),"Not Created")))</f>
      </c>
      <c r="U31" s="282"/>
      <c r="V31" s="283"/>
      <c r="W31" s="283"/>
      <c r="X31" s="282"/>
      <c r="Y31" s="282"/>
      <c r="Z31" s="282">
        <f>IF($B31="","",IF(AND($C31&lt;&gt;"",$D31&lt;&gt;"",$E31&lt;&gt;"",$F31&lt;&gt;"",$G31&lt;&gt;"",$H31&lt;&gt;"",$J31&lt;&gt;"",$K31&lt;&gt;"",$M31&lt;&gt;"",$U31&lt;&gt;"",ISNUMBER($V31),ISNUMBER($W31),$X31&lt;&gt;"",$Y31&lt;&gt;""),"Complete","Incomplete"))</f>
      </c>
    </row>
    <row r="32" ht="18" x14ac:dyDescent="0.35">
      <c r="A32" s="122">
        <v>28</v>
      </c>
      <c r="B32" s="83">
        <f t="shared" si="6"/>
      </c>
      <c r="C32" s="309"/>
      <c r="D32" s="310"/>
      <c r="E32" s="308"/>
      <c r="F32" s="77" cm="1">
        <f t="array" ref="F32">IF(C32="","",_xlfn.LET(_xlpm.bu,_xlfn.SCAN("",'07.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",""),"-",""),"/","")),_xlpm.rawKey,LOWER(SUBSTITUTE(SUBSTITUTE(SUBSTITUTE(E32," ",""),"-",""),"/","")),_xlpm.key,IF(_xlpm.rawKey="data","datainfo",_xlpm.rawKey),IF(D32="",IFERROR(_xlfn.TEXTJOIN(",",TRUE,_xlfn.UNIQUE(_xlfn._xlws.FILTER(_xlpm.item,(_xlpm.bu=C32)*(_xlpm.item&lt;&gt;"")))),""),IF(E32="","",IFERROR(_xlfn.TEXTJOIN(",",TRUE,_xlfn.UNIQUE(_xlfn._xlws.FILTER(_xlpm.item,(_xlpm.bu=C32)*(_xlpm.div=D32)*(_xlpm.srcDep=_xlpm.key)*('07. BIA'!$H$6:$H$285="Yes")))),"")))))</f>
      </c>
      <c r="G32" s="311"/>
      <c r="H32" s="78">
        <f t="shared" si="7"/>
      </c>
      <c r="I32" s="79"/>
      <c r="J32" s="80"/>
      <c r="K32" s="307"/>
      <c r="L32" s="81">
        <f t="shared" si="8"/>
      </c>
      <c r="M32" s="307"/>
      <c r="N32" s="81">
        <f t="shared" si="9"/>
      </c>
      <c r="O32" s="81">
        <f>IF(OR($K32="",$M32=""),"",$K32*$M32)</f>
      </c>
      <c r="P32" s="81">
        <f t="shared" si="10"/>
      </c>
      <c r="Q32" s="81">
        <f t="shared" si="11"/>
      </c>
      <c r="R32" s="80"/>
      <c r="S32" s="82" cm="1">
        <f t="array" ref="S32">IF($B32="","",IFERROR(_xlfn.TEXTJOIN(",",TRUE,_xlfn.UNIQUE(_xlfn._xlws.FILTER('11. Strategies &amp; Solutions'!$C$5:$C$64,('11. Strategies &amp; Solutions'!$B$5:$B$64=$B32)*('11. Strategies &amp; Solutions'!$C$5:$C$64&lt;&gt;"")))),"Not Created"))</f>
      </c>
      <c r="T32" s="123" cm="1">
        <f t="array" ref="T32">IF($B32="","",_xlfn.LET(_xlpm.ss,_xlfn._xlws.FILTER('11. Strategies &amp; Solutions'!$C$5:$C$64,('11. Strategies &amp; Solutions'!$B$5:$B$64=$B32)*('11. Strategies &amp; Solutions'!$C$5:$C$64&lt;&gt;""),""),IFERROR(_xlfn.TEXTJOIN(",",TRUE,_xlfn.UNIQUE(_xlfn._xlws.FILTER('14. Recovery &amp; Response'!$B$5:$B$104,ISNUMBER(_xlfn.XMATCH('14. Recovery &amp; Response'!$C$5:$C$104,_xlpm.ss))*('14. Recovery &amp; Response'!$B$5:$B$104&lt;&gt;"")))),"Not Created")))</f>
      </c>
      <c r="U32" s="282"/>
      <c r="V32" s="283"/>
      <c r="W32" s="283"/>
      <c r="X32" s="282"/>
      <c r="Y32" s="282"/>
      <c r="Z32" s="282">
        <f>IF($B32="","",IF(AND($C32&lt;&gt;"",$D32&lt;&gt;"",$E32&lt;&gt;"",$F32&lt;&gt;"",$G32&lt;&gt;"",$H32&lt;&gt;"",$J32&lt;&gt;"",$K32&lt;&gt;"",$M32&lt;&gt;"",$U32&lt;&gt;"",ISNUMBER($V32),ISNUMBER($W32),$X32&lt;&gt;"",$Y32&lt;&gt;""),"Complete","Incomplete"))</f>
      </c>
    </row>
    <row r="33" ht="18" x14ac:dyDescent="0.35">
      <c r="A33" s="122">
        <v>29</v>
      </c>
      <c r="B33" s="83">
        <f t="shared" si="6"/>
      </c>
      <c r="C33" s="309"/>
      <c r="D33" s="310"/>
      <c r="E33" s="308"/>
      <c r="F33" s="77" cm="1">
        <f t="array" ref="F33">IF(C33="","",_xlfn.LET(_xlpm.bu,_xlfn.SCAN("",'07.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",""),"-",""),"/","")),_xlpm.rawKey,LOWER(SUBSTITUTE(SUBSTITUTE(SUBSTITUTE(E33," ",""),"-",""),"/","")),_xlpm.key,IF(_xlpm.rawKey="data","datainfo",_xlpm.rawKey),IF(D33="",IFERROR(_xlfn.TEXTJOIN(",",TRUE,_xlfn.UNIQUE(_xlfn._xlws.FILTER(_xlpm.item,(_xlpm.bu=C33)*(_xlpm.item&lt;&gt;"")))),""),IF(E33="","",IFERROR(_xlfn.TEXTJOIN(",",TRUE,_xlfn.UNIQUE(_xlfn._xlws.FILTER(_xlpm.item,(_xlpm.bu=C33)*(_xlpm.div=D33)*(_xlpm.srcDep=_xlpm.key)*('07. BIA'!$H$6:$H$285="Yes")))),"")))))</f>
      </c>
      <c r="G33" s="311"/>
      <c r="H33" s="78">
        <f t="shared" si="7"/>
      </c>
      <c r="I33" s="79"/>
      <c r="J33" s="80"/>
      <c r="K33" s="307"/>
      <c r="L33" s="81">
        <f t="shared" si="8"/>
      </c>
      <c r="M33" s="307"/>
      <c r="N33" s="81">
        <f t="shared" si="9"/>
      </c>
      <c r="O33" s="81">
        <f>IF(OR($K33="",$M33=""),"",$K33*$M33)</f>
      </c>
      <c r="P33" s="81">
        <f t="shared" si="10"/>
      </c>
      <c r="Q33" s="81">
        <f t="shared" si="11"/>
      </c>
      <c r="R33" s="80"/>
      <c r="S33" s="82" cm="1">
        <f t="array" ref="S33">IF($B33="","",IFERROR(_xlfn.TEXTJOIN(",",TRUE,_xlfn.UNIQUE(_xlfn._xlws.FILTER('11. Strategies &amp; Solutions'!$C$5:$C$64,('11. Strategies &amp; Solutions'!$B$5:$B$64=$B33)*('11. Strategies &amp; Solutions'!$C$5:$C$64&lt;&gt;"")))),"Not Created"))</f>
      </c>
      <c r="T33" s="123" cm="1">
        <f t="array" ref="T33">IF($B33="","",_xlfn.LET(_xlpm.ss,_xlfn._xlws.FILTER('11. Strategies &amp; Solutions'!$C$5:$C$64,('11. Strategies &amp; Solutions'!$B$5:$B$64=$B33)*('11. Strategies &amp; Solutions'!$C$5:$C$64&lt;&gt;""),""),IFERROR(_xlfn.TEXTJOIN(",",TRUE,_xlfn.UNIQUE(_xlfn._xlws.FILTER('14. Recovery &amp; Response'!$B$5:$B$104,ISNUMBER(_xlfn.XMATCH('14. Recovery &amp; Response'!$C$5:$C$104,_xlpm.ss))*('14. Recovery &amp; Response'!$B$5:$B$104&lt;&gt;"")))),"Not Created")))</f>
      </c>
      <c r="U33" s="282"/>
      <c r="V33" s="283"/>
      <c r="W33" s="283"/>
      <c r="X33" s="282"/>
      <c r="Y33" s="282"/>
      <c r="Z33" s="282">
        <f>IF($B33="","",IF(AND($C33&lt;&gt;"",$D33&lt;&gt;"",$E33&lt;&gt;"",$F33&lt;&gt;"",$G33&lt;&gt;"",$H33&lt;&gt;"",$J33&lt;&gt;"",$K33&lt;&gt;"",$M33&lt;&gt;"",$U33&lt;&gt;"",ISNUMBER($V33),ISNUMBER($W33),$X33&lt;&gt;"",$Y33&lt;&gt;""),"Complete","Incomplete"))</f>
      </c>
    </row>
    <row r="34" ht="18" x14ac:dyDescent="0.35">
      <c r="A34" s="122">
        <v>30</v>
      </c>
      <c r="B34" s="83">
        <f t="shared" si="6"/>
      </c>
      <c r="C34" s="309"/>
      <c r="D34" s="310"/>
      <c r="E34" s="308"/>
      <c r="F34" s="77" cm="1">
        <f t="array" ref="F34">IF(C34="","",_xlfn.LET(_xlpm.bu,_xlfn.SCAN("",'07.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",""),"-",""),"/","")),_xlpm.rawKey,LOWER(SUBSTITUTE(SUBSTITUTE(SUBSTITUTE(E34," ",""),"-",""),"/","")),_xlpm.key,IF(_xlpm.rawKey="data","datainfo",_xlpm.rawKey),IF(D34="",IFERROR(_xlfn.TEXTJOIN(",",TRUE,_xlfn.UNIQUE(_xlfn._xlws.FILTER(_xlpm.item,(_xlpm.bu=C34)*(_xlpm.item&lt;&gt;"")))),""),IF(E34="","",IFERROR(_xlfn.TEXTJOIN(",",TRUE,_xlfn.UNIQUE(_xlfn._xlws.FILTER(_xlpm.item,(_xlpm.bu=C34)*(_xlpm.div=D34)*(_xlpm.srcDep=_xlpm.key)*('07. BIA'!$H$6:$H$285="Yes")))),"")))))</f>
      </c>
      <c r="G34" s="311"/>
      <c r="H34" s="78">
        <f t="shared" si="7"/>
      </c>
      <c r="I34" s="79"/>
      <c r="J34" s="80"/>
      <c r="K34" s="307"/>
      <c r="L34" s="81">
        <f t="shared" si="8"/>
      </c>
      <c r="M34" s="307"/>
      <c r="N34" s="81">
        <f t="shared" si="9"/>
      </c>
      <c r="O34" s="81">
        <f>IF(OR($K34="",$M34=""),"",$K34*$M34)</f>
      </c>
      <c r="P34" s="81">
        <f t="shared" si="10"/>
      </c>
      <c r="Q34" s="81">
        <f t="shared" si="11"/>
      </c>
      <c r="R34" s="80"/>
      <c r="S34" s="82" cm="1">
        <f t="array" ref="S34">IF($B34="","",IFERROR(_xlfn.TEXTJOIN(",",TRUE,_xlfn.UNIQUE(_xlfn._xlws.FILTER('11. Strategies &amp; Solutions'!$C$5:$C$64,('11. Strategies &amp; Solutions'!$B$5:$B$64=$B34)*('11. Strategies &amp; Solutions'!$C$5:$C$64&lt;&gt;"")))),"Not Created"))</f>
      </c>
      <c r="T34" s="123" cm="1">
        <f t="array" ref="T34">IF($B34="","",_xlfn.LET(_xlpm.ss,_xlfn._xlws.FILTER('11. Strategies &amp; Solutions'!$C$5:$C$64,('11. Strategies &amp; Solutions'!$B$5:$B$64=$B34)*('11. Strategies &amp; Solutions'!$C$5:$C$64&lt;&gt;""),""),IFERROR(_xlfn.TEXTJOIN(",",TRUE,_xlfn.UNIQUE(_xlfn._xlws.FILTER('14. Recovery &amp; Response'!$B$5:$B$104,ISNUMBER(_xlfn.XMATCH('14. Recovery &amp; Response'!$C$5:$C$104,_xlpm.ss))*('14. Recovery &amp; Response'!$B$5:$B$104&lt;&gt;"")))),"Not Created")))</f>
      </c>
      <c r="U34" s="282"/>
      <c r="V34" s="283"/>
      <c r="W34" s="283"/>
      <c r="X34" s="282"/>
      <c r="Y34" s="282"/>
      <c r="Z34" s="282">
        <f>IF($B34="","",IF(AND($C34&lt;&gt;"",$D34&lt;&gt;"",$E34&lt;&gt;"",$F34&lt;&gt;"",$G34&lt;&gt;"",$H34&lt;&gt;"",$J34&lt;&gt;"",$K34&lt;&gt;"",$M34&lt;&gt;"",$U34&lt;&gt;"",ISNUMBER($V34),ISNUMBER($W34),$X34&lt;&gt;"",$Y34&lt;&gt;""),"Complete","Incomplete"))</f>
      </c>
    </row>
  </sheetData>
  <mergeCells count="2">
    <mergeCell ref="A2:T2"/>
    <mergeCell ref="A1:T1"/>
  </mergeCells>
  <phoneticPr fontId="37" type="noConversion"/>
  <conditionalFormatting sqref="B5:B34">
    <cfRule type="expression" dxfId="69" priority="231">
      <formula>AND($B5&lt;&gt;"",COUNTIF(StrategyRiskIDs,$B5)=0)</formula>
    </cfRule>
  </conditionalFormatting>
  <conditionalFormatting sqref="P5:P34">
    <cfRule type="cellIs" dxfId="68" priority="227" operator="equal">
      <formula>"Low"</formula>
    </cfRule>
    <cfRule type="cellIs" dxfId="67" priority="228" operator="equal">
      <formula>"Moderate"</formula>
    </cfRule>
    <cfRule type="cellIs" dxfId="66" priority="229" operator="equal">
      <formula>"Significant"</formula>
    </cfRule>
    <cfRule type="cellIs" dxfId="65" priority="230" operator="equal">
      <formula>"Critical"</formula>
    </cfRule>
  </conditionalFormatting>
  <conditionalFormatting sqref="C5:E34 J5:K34 M5:M34 U5:Y34">
    <cfRule type="expression" dxfId="250" priority="232">
      <formula>AND($G5&lt;&gt;"",C5="")</formula>
    </cfRule>
  </conditionalFormatting>
  <conditionalFormatting sqref="Z5:Z34">
    <cfRule type="expression" dxfId="251" priority="233">
      <formula>$Z5="Incomplete"</formula>
    </cfRule>
  </conditionalFormatting>
  <dataValidations count="4">
    <dataValidation type="list" allowBlank="1" sqref="K5:K34 M5:M34" xr:uid="{00000000-0002-0000-0A00-000000000000}">
      <formula1>"1,2,3,4,5"</formula1>
      <formula2>0</formula2>
    </dataValidation>
    <dataValidation type="list" allowBlank="1" showInputMessage="1" showErrorMessage="1" sqref="E5:E34" xr:uid="{78058653-C238-42D1-9E08-161056D5FCAD}">
      <formula1>lstDepCat</formula1>
    </dataValidation>
    <dataValidation type="list" allowBlank="1" showInputMessage="1" showErrorMessage="1" sqref="C5:C34" xr:uid="{28C80054-92F1-44D3-BC2D-3D67001AE54C}">
      <formula1>BusinessUnit</formula1>
    </dataValidation>
    <dataValidation type="list" allowBlank="1" showInputMessage="1" showErrorMessage="1" sqref="D5:D34" xr:uid="{A7763737-ACF5-4165-8CB6-4413BB7EB24A}">
      <formula1>DivisionSite</formula1>
    </dataValidation>
  </dataValidations>
  <pageMargins left="0.75" right="0.75" top="1" bottom="1" header="0.511811023622047" footer="0.51180555555555596"/>
  <pageSetup paperSize="9" orientation="portrait" horizontalDpi="300" verticalDpi="300"/>
  <headerFooter>
    <oddFooter>&amp;L&amp;A&amp;RPage &amp;P of &amp;N</oddFooter>
  </headerFooter>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errorStyle="warning" allowBlank="1" showInputMessage="1" showErrorMessage="1" errorTitle="Scenario not listed" error="Select a listed disruption or enter a justified custom scenario." promptTitle="Select a disruption" prompt="Choose the closest operational disruption or enter a custom scenario." xr:uid="{94F796E4-850A-4C58-90FB-B6C70535346A}">
          <x14:formula1>
            <xm:f>OFFSET('09. Risk Assumption Map'!$C$5,0,MATCH(E5,'09. Risk Assumption Map'!$C$4:$I$4,0)-1,5,1)</xm:f>
          </x14:formula1>
          <xm:sqref>G5:G34</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9137"/>
  </sheetPr>
  <dimension ref="A1:W64"/>
  <sheetViews>
    <sheetView showGridLines="0" zoomScale="70" zoomScaleNormal="70" workbookViewId="0">
      <pane ySplit="4" topLeftCell="A5" activePane="bottomLeft" state="frozen"/>
      <selection pane="bottomLeft" sqref="A1:W1"/>
    </sheetView>
  </sheetViews>
  <sheetFormatPr defaultColWidth="8.54296875" defaultRowHeight="14.5" x14ac:dyDescent="0.35"/>
  <cols>
    <col min="1" max="1" width="3.81640625" bestFit="1" customWidth="1"/>
    <col min="2" max="2" width="7.1796875" bestFit="1" customWidth="1"/>
    <col min="3" max="3" width="6.81640625" bestFit="1" customWidth="1"/>
    <col min="4" max="4" width="11.81640625" bestFit="1" customWidth="1"/>
    <col min="5" max="5" width="15.54296875" bestFit="1" customWidth="1"/>
    <col min="6" max="6" width="18.54296875" bestFit="1" customWidth="1"/>
    <col min="7" max="7" width="18" bestFit="1" customWidth="1"/>
    <col min="8" max="8" width="19.1796875" customWidth="1"/>
    <col min="9" max="9" width="38.26953125" bestFit="1" customWidth="1"/>
    <col min="10" max="10" width="6.81640625" bestFit="1" customWidth="1"/>
    <col min="11" max="11" width="3.54296875" bestFit="1" customWidth="1"/>
    <col min="12" max="12" width="8.54296875" bestFit="1" customWidth="1"/>
    <col min="13" max="13" width="11.453125" bestFit="1" customWidth="1"/>
    <col min="14" max="14" width="27.81640625" bestFit="1" customWidth="1"/>
    <col min="15" max="15" width="5.1796875" bestFit="1" customWidth="1"/>
    <col min="16" max="16" width="12.54296875" bestFit="1" customWidth="1"/>
    <col min="17" max="17" width="9.81640625" bestFit="1" customWidth="1"/>
    <col min="18" max="18" width="9.1796875" bestFit="1" customWidth="1"/>
    <col min="19" max="19" width="15.81640625" bestFit="1" customWidth="1"/>
    <col min="20" max="20" width="6.54296875" bestFit="1" customWidth="1"/>
    <col min="21" max="21" width="8.54296875" hidden="1" customWidth="1"/>
    <col min="22" max="22" width="14" hidden="1" customWidth="1"/>
    <col min="23" max="23" width="8.54296875" bestFit="1" customWidth="1"/>
  </cols>
  <sheetData>
    <row r="1" spans="1:23" ht="27.75" customHeight="1" x14ac:dyDescent="0.35">
      <c r="A1" s="236" t="s">
        <v>275</v>
      </c>
      <c r="B1" s="213"/>
      <c r="C1" s="213"/>
      <c r="D1" s="213"/>
      <c r="E1" s="213"/>
      <c r="F1" s="213"/>
      <c r="G1" s="213"/>
      <c r="H1" s="213"/>
      <c r="I1" s="213"/>
      <c r="J1" s="213"/>
      <c r="K1" s="213"/>
      <c r="L1" s="213"/>
      <c r="M1" s="213"/>
      <c r="N1" s="213"/>
      <c r="O1" s="213"/>
      <c r="P1" s="213"/>
      <c r="Q1" s="213"/>
      <c r="R1" s="213"/>
      <c r="S1" s="213"/>
      <c r="T1" s="213"/>
      <c r="U1" s="213"/>
      <c r="V1" s="213"/>
      <c r="W1" s="213"/>
    </row>
    <row r="2" spans="1:23" ht="18" customHeight="1" x14ac:dyDescent="0.35">
      <c r="A2" s="237"/>
      <c r="B2" s="213"/>
      <c r="C2" s="213"/>
      <c r="D2" s="213"/>
      <c r="E2" s="213"/>
      <c r="F2" s="213"/>
      <c r="G2" s="213"/>
      <c r="H2" s="213"/>
      <c r="I2" s="213"/>
      <c r="J2" s="213"/>
      <c r="K2" s="213"/>
      <c r="L2" s="213"/>
      <c r="M2" s="213"/>
      <c r="N2" s="213"/>
      <c r="O2" s="213"/>
      <c r="P2" s="213"/>
      <c r="Q2" s="213"/>
      <c r="R2" s="213"/>
      <c r="S2" s="213"/>
      <c r="T2" s="213"/>
      <c r="U2" s="213"/>
      <c r="V2" s="213"/>
      <c r="W2" s="213"/>
    </row>
    <row r="4" spans="1:23" ht="25.5" customHeight="1" x14ac:dyDescent="0.35">
      <c r="A4" s="94" t="s">
        <v>131</v>
      </c>
      <c r="B4" s="93" t="s">
        <v>276</v>
      </c>
      <c r="C4" s="93" t="s">
        <v>277</v>
      </c>
      <c r="D4" s="93" t="s">
        <v>278</v>
      </c>
      <c r="E4" s="93" t="s">
        <v>279</v>
      </c>
      <c r="F4" s="93" t="s">
        <v>280</v>
      </c>
      <c r="G4" s="95" t="s">
        <v>281</v>
      </c>
      <c r="H4" s="93" t="s">
        <v>282</v>
      </c>
      <c r="I4" s="93" t="s">
        <v>283</v>
      </c>
      <c r="J4" s="98" t="s">
        <v>205</v>
      </c>
      <c r="K4" s="98" t="s">
        <v>160</v>
      </c>
      <c r="L4" s="99" t="s">
        <v>207</v>
      </c>
      <c r="M4" s="99" t="s">
        <v>284</v>
      </c>
      <c r="N4" s="99" t="s">
        <v>161</v>
      </c>
      <c r="O4" s="99" t="s">
        <v>285</v>
      </c>
      <c r="P4" s="93" t="s">
        <v>286</v>
      </c>
      <c r="Q4" s="93" t="s">
        <v>287</v>
      </c>
      <c r="R4" s="93" t="s">
        <v>288</v>
      </c>
      <c r="S4" s="93" t="s">
        <v>289</v>
      </c>
      <c r="T4" s="95" t="s">
        <v>1</v>
      </c>
      <c r="U4" s="95" t="s">
        <v>290</v>
      </c>
      <c r="V4" s="96" t="s">
        <v>274</v>
      </c>
      <c r="W4" s="93" t="s">
        <v>220</v>
      </c>
    </row>
    <row r="5" spans="1:23" ht="15" x14ac:dyDescent="0.35">
      <c r="A5" s="92">
        <v>1</v>
      </c>
      <c r="B5" s="312"/>
      <c r="C5" s="85">
        <f t="shared" ref="C5:C36" si="0">IF($B5="","","SS-"&amp;TEXT($A5,"000"))</f>
      </c>
      <c r="D5" s="86" cm="1">
        <f t="array" ref="D5">IF($B5="","",IFERROR(_xlfn.XLOOKUP($B5,INDEX(RiskAssessment[],0,2),INDEX(RiskAssessment[],0,5),""),""))</f>
      </c>
      <c r="E5" s="87" cm="1">
        <f t="array" ref="E5">IF($B5="","",IFERROR(_xlfn.XLOOKUP($B5,INDEX(RiskAssessment[],0,2),INDEX(RiskAssessment[],0,7),""),""))</f>
      </c>
      <c r="F5" s="87" cm="1">
        <f t="array" ref="F5">IF($B5="","",IFERROR(_xlfn.XLOOKUP($B5,INDEX(RiskAssessment[],0,2),INDEX(RiskAssessment[],0,8),""),""))</f>
      </c>
      <c r="G5" s="174">
        <f>IF($B5="","",_xlfn.XLOOKUP($B5,'10. Risk Assessment'!$B$5:$B$34,'10. Risk Assessment'!$F$5:$F$34,""))</f>
      </c>
      <c r="H5" s="314"/>
      <c r="I5" s="97"/>
      <c r="J5" s="312"/>
      <c r="K5" s="312"/>
      <c r="L5" s="312"/>
      <c r="M5" s="312"/>
      <c r="N5" s="312"/>
      <c r="O5" s="312"/>
      <c r="P5" s="97"/>
      <c r="Q5" s="182"/>
      <c r="R5" s="182"/>
      <c r="S5" s="182"/>
      <c r="T5" s="86" cm="1">
        <f t="array" aca="1" ref="T5" ca="1">IF($B5="","",_xlfn.LET(_xlpm.flag,$J5:$O5,_xlpm.total,COUNTIFS('12. Requirements Register'!$C$5:$C$304,$C5,'12. Requirements Register'!$E$5:$E$304,$J$4:$O$4),_xlpm.readyCount,COUNTIFS('12. Requirements Register'!$C$5:$C$304,$C5,'12. Requirements Register'!$E$5:$E$304,$J$4:$O$4,'12. Requirements Register'!$L$5:$L$304,"Ready"),_xlpm.reqOK,SUM(--(_xlpm.flag="Yes")*--(_xlpm.total&gt;0)*--(_xlpm.readyCount=_xlpm.total))=COUNTIF(_xlpm.flag,"Yes"),_xlpm.core,AND($H5&lt;&gt;"",$I5&lt;&gt;"",$P5&lt;&gt;"",$Q5&lt;&gt;"",$R5&lt;&gt;"",$V5&lt;&gt;"",$V5&lt;&gt;"Not Created"),IF($S5&lt;&gt;"",IF(AND($S5&lt;=TODAY(),_xlpm.core,_xlpm.reqOK),"Completed","Incomplete"),IF($Q5="","Planned",IF(TODAY()&lt;$Q5,"Planned",IF($R5="","In Progress",IF(TODAY()&lt;=$R5,"In Progress","Overdue")))))))</f>
      </c>
      <c r="U5" s="86">
        <f>IF($B5="","",IF(SUMPRODUCT(--($B$5:$B$64=$B5),--($G$5:$G$64=$G5),--($H$5:$H$64=$H5))&gt;1,"DUPLICATE","OK"))</f>
      </c>
      <c r="V5" s="89" cm="1">
        <f t="array" ref="V5">IF($C5="","",IFERROR(_xlfn.LET(_xlpm.x,_xlfn.UNIQUE(_xlfn._xlws.FILTER('14. Recovery &amp; Response'!$B$5:$B$104,('14. Recovery &amp; Response'!$C$5:$C$104=$C5)*('14. Recovery &amp; Response'!$B$5:$B$104&lt;&gt;""))),_xlfn.TEXTJOIN(",",TRUE,_xlpm.x)),"Not Created"))</f>
      </c>
      <c r="W5" s="97"/>
    </row>
    <row r="6" spans="1:23" ht="15" x14ac:dyDescent="0.35">
      <c r="A6" s="92">
        <v>2</v>
      </c>
      <c r="B6" s="312"/>
      <c r="C6" s="85">
        <f t="shared" si="0"/>
      </c>
      <c r="D6" s="86" cm="1">
        <f t="array" ref="D6">IF($B6="","",IFERROR(_xlfn.XLOOKUP($B6,INDEX(RiskAssessment[],0,2),INDEX(RiskAssessment[],0,5),""),""))</f>
      </c>
      <c r="E6" s="87" cm="1">
        <f t="array" ref="E6">IF($B6="","",IFERROR(_xlfn.XLOOKUP($B6,INDEX(RiskAssessment[],0,2),INDEX(RiskAssessment[],0,7),""),""))</f>
      </c>
      <c r="F6" s="87" cm="1">
        <f t="array" ref="F6">IF($B6="","",IFERROR(_xlfn.XLOOKUP($B6,INDEX(RiskAssessment[],0,2),INDEX(RiskAssessment[],0,8),""),""))</f>
      </c>
      <c r="G6" s="174">
        <f>IF($B6="","",_xlfn.XLOOKUP($B6,'10. Risk Assessment'!$B$5:$B$34,'10. Risk Assessment'!$F$5:$F$34,""))</f>
      </c>
      <c r="H6" s="314"/>
      <c r="I6" s="97"/>
      <c r="J6" s="312"/>
      <c r="K6" s="312"/>
      <c r="L6" s="312"/>
      <c r="M6" s="312"/>
      <c r="N6" s="312"/>
      <c r="O6" s="312"/>
      <c r="P6" s="97"/>
      <c r="Q6" s="182"/>
      <c r="R6" s="182"/>
      <c r="S6" s="182"/>
      <c r="T6" s="86" cm="1">
        <f t="array" aca="1" ref="T6" ca="1">IF($B6="","",_xlfn.LET(_xlpm.flag,$J6:$O6,_xlpm.total,COUNTIFS('12. Requirements Register'!$C$5:$C$304,$C6,'12. Requirements Register'!$E$5:$E$304,$J$4:$O$4),_xlpm.readyCount,COUNTIFS('12. Requirements Register'!$C$5:$C$304,$C6,'12. Requirements Register'!$E$5:$E$304,$J$4:$O$4,'12. Requirements Register'!$L$5:$L$304,"Ready"),_xlpm.reqOK,SUM(--(_xlpm.flag="Yes")*--(_xlpm.total&gt;0)*--(_xlpm.readyCount=_xlpm.total))=COUNTIF(_xlpm.flag,"Yes"),_xlpm.core,AND($H6&lt;&gt;"",$I6&lt;&gt;"",$P6&lt;&gt;"",$Q6&lt;&gt;"",$R6&lt;&gt;"",$V6&lt;&gt;"",$V6&lt;&gt;"Not Created"),IF($S6&lt;&gt;"",IF(AND($S6&lt;=TODAY(),_xlpm.core,_xlpm.reqOK),"Completed","Incomplete"),IF($Q6="","Planned",IF(TODAY()&lt;$Q6,"Planned",IF($R6="","In Progress",IF(TODAY()&lt;=$R6,"In Progress","Overdue")))))))</f>
      </c>
      <c r="U6" s="86">
        <f t="shared" ref="U6:U64" si="1">IF($B6="","",IF(SUMPRODUCT(--($B$5:$B$64=$B6),--($G$5:$G$64=$G6),--($H$5:$H$64=$H6))&gt;1,"DUPLICATE","OK"))</f>
      </c>
      <c r="V6" s="89" cm="1">
        <f t="array" ref="V6">IF($C6="","",IFERROR(_xlfn.LET(_xlpm.x,_xlfn.UNIQUE(_xlfn._xlws.FILTER('14. Recovery &amp; Response'!$B$5:$B$104,('14. Recovery &amp; Response'!$C$5:$C$104=$C6)*('14. Recovery &amp; Response'!$B$5:$B$104&lt;&gt;""))),_xlfn.TEXTJOIN(",",TRUE,_xlpm.x)),"Not Created"))</f>
      </c>
      <c r="W6" s="97"/>
    </row>
    <row r="7" spans="1:23" ht="15" x14ac:dyDescent="0.35">
      <c r="A7" s="92">
        <v>3</v>
      </c>
      <c r="B7" s="312"/>
      <c r="C7" s="85">
        <f t="shared" si="0"/>
      </c>
      <c r="D7" s="86" cm="1">
        <f t="array" ref="D7">IF($B7="","",IFERROR(_xlfn.XLOOKUP($B7,INDEX(RiskAssessment[],0,2),INDEX(RiskAssessment[],0,5),""),""))</f>
      </c>
      <c r="E7" s="87" cm="1">
        <f t="array" ref="E7">IF($B7="","",IFERROR(_xlfn.XLOOKUP($B7,INDEX(RiskAssessment[],0,2),INDEX(RiskAssessment[],0,7),""),""))</f>
      </c>
      <c r="F7" s="87" cm="1">
        <f t="array" ref="F7">IF($B7="","",IFERROR(_xlfn.XLOOKUP($B7,INDEX(RiskAssessment[],0,2),INDEX(RiskAssessment[],0,8),""),""))</f>
      </c>
      <c r="G7" s="174">
        <f>IF($B7="","",_xlfn.XLOOKUP($B7,'10. Risk Assessment'!$B$5:$B$34,'10. Risk Assessment'!$F$5:$F$34,""))</f>
      </c>
      <c r="H7" s="314"/>
      <c r="I7" s="97"/>
      <c r="J7" s="312"/>
      <c r="K7" s="312"/>
      <c r="L7" s="312"/>
      <c r="M7" s="312"/>
      <c r="N7" s="312"/>
      <c r="O7" s="312"/>
      <c r="P7" s="97"/>
      <c r="Q7" s="182"/>
      <c r="R7" s="182"/>
      <c r="S7" s="182"/>
      <c r="T7" s="86" cm="1">
        <f t="array" aca="1" ref="T7" ca="1">IF($B7="","",_xlfn.LET(_xlpm.flag,$J7:$O7,_xlpm.total,COUNTIFS('12. Requirements Register'!$C$5:$C$304,$C7,'12. Requirements Register'!$E$5:$E$304,$J$4:$O$4),_xlpm.readyCount,COUNTIFS('12. Requirements Register'!$C$5:$C$304,$C7,'12. Requirements Register'!$E$5:$E$304,$J$4:$O$4,'12. Requirements Register'!$L$5:$L$304,"Ready"),_xlpm.reqOK,SUM(--(_xlpm.flag="Yes")*--(_xlpm.total&gt;0)*--(_xlpm.readyCount=_xlpm.total))=COUNTIF(_xlpm.flag,"Yes"),_xlpm.core,AND($H7&lt;&gt;"",$I7&lt;&gt;"",$P7&lt;&gt;"",$Q7&lt;&gt;"",$R7&lt;&gt;"",$V7&lt;&gt;"",$V7&lt;&gt;"Not Created"),IF($S7&lt;&gt;"",IF(AND($S7&lt;=TODAY(),_xlpm.core,_xlpm.reqOK),"Completed","Incomplete"),IF($Q7="","Planned",IF(TODAY()&lt;$Q7,"Planned",IF($R7="","In Progress",IF(TODAY()&lt;=$R7,"In Progress","Overdue")))))))</f>
      </c>
      <c r="U7" s="86">
        <f t="shared" si="1"/>
      </c>
      <c r="V7" s="89" cm="1">
        <f t="array" ref="V7">IF($C7="","",IFERROR(_xlfn.LET(_xlpm.x,_xlfn.UNIQUE(_xlfn._xlws.FILTER('14. Recovery &amp; Response'!$B$5:$B$104,('14. Recovery &amp; Response'!$C$5:$C$104=$C7)*('14. Recovery &amp; Response'!$B$5:$B$104&lt;&gt;""))),_xlfn.TEXTJOIN(",",TRUE,_xlpm.x)),"Not Created"))</f>
      </c>
      <c r="W7" s="97"/>
    </row>
    <row r="8" spans="1:23" ht="15" x14ac:dyDescent="0.35">
      <c r="A8" s="92">
        <v>4</v>
      </c>
      <c r="B8" s="312"/>
      <c r="C8" s="85">
        <f t="shared" si="0"/>
      </c>
      <c r="D8" s="86" cm="1">
        <f t="array" ref="D8">IF($B8="","",IFERROR(_xlfn.XLOOKUP($B8,INDEX(RiskAssessment[],0,2),INDEX(RiskAssessment[],0,5),""),""))</f>
      </c>
      <c r="E8" s="87" cm="1">
        <f t="array" ref="E8">IF($B8="","",IFERROR(_xlfn.XLOOKUP($B8,INDEX(RiskAssessment[],0,2),INDEX(RiskAssessment[],0,7),""),""))</f>
      </c>
      <c r="F8" s="87" cm="1">
        <f t="array" ref="F8">IF($B8="","",IFERROR(_xlfn.XLOOKUP($B8,INDEX(RiskAssessment[],0,2),INDEX(RiskAssessment[],0,8),""),""))</f>
      </c>
      <c r="G8" s="174">
        <f>IF($B8="","",_xlfn.XLOOKUP($B8,'10. Risk Assessment'!$B$5:$B$34,'10. Risk Assessment'!$F$5:$F$34,""))</f>
      </c>
      <c r="H8" s="314"/>
      <c r="I8" s="97"/>
      <c r="J8" s="312"/>
      <c r="K8" s="312"/>
      <c r="L8" s="312"/>
      <c r="M8" s="312"/>
      <c r="N8" s="312"/>
      <c r="O8" s="312"/>
      <c r="P8" s="97"/>
      <c r="Q8" s="182"/>
      <c r="R8" s="182"/>
      <c r="S8" s="182"/>
      <c r="T8" s="86" cm="1">
        <f t="array" aca="1" ref="T8" ca="1">IF($B8="","",_xlfn.LET(_xlpm.flag,$J8:$O8,_xlpm.total,COUNTIFS('12. Requirements Register'!$C$5:$C$304,$C8,'12. Requirements Register'!$E$5:$E$304,$J$4:$O$4),_xlpm.readyCount,COUNTIFS('12. Requirements Register'!$C$5:$C$304,$C8,'12. Requirements Register'!$E$5:$E$304,$J$4:$O$4,'12. Requirements Register'!$L$5:$L$304,"Ready"),_xlpm.reqOK,SUM(--(_xlpm.flag="Yes")*--(_xlpm.total&gt;0)*--(_xlpm.readyCount=_xlpm.total))=COUNTIF(_xlpm.flag,"Yes"),_xlpm.core,AND($H8&lt;&gt;"",$I8&lt;&gt;"",$P8&lt;&gt;"",$Q8&lt;&gt;"",$R8&lt;&gt;"",$V8&lt;&gt;"",$V8&lt;&gt;"Not Created"),IF($S8&lt;&gt;"",IF(AND($S8&lt;=TODAY(),_xlpm.core,_xlpm.reqOK),"Completed","Incomplete"),IF($Q8="","Planned",IF(TODAY()&lt;$Q8,"Planned",IF($R8="","In Progress",IF(TODAY()&lt;=$R8,"In Progress","Overdue")))))))</f>
      </c>
      <c r="U8" s="86">
        <f t="shared" si="1"/>
      </c>
      <c r="V8" s="89" cm="1">
        <f t="array" ref="V8">IF($C8="","",IFERROR(_xlfn.LET(_xlpm.x,_xlfn.UNIQUE(_xlfn._xlws.FILTER('14. Recovery &amp; Response'!$B$5:$B$104,('14. Recovery &amp; Response'!$C$5:$C$104=$C8)*('14. Recovery &amp; Response'!$B$5:$B$104&lt;&gt;""))),_xlfn.TEXTJOIN(",",TRUE,_xlpm.x)),"Not Created"))</f>
      </c>
      <c r="W8" s="97"/>
    </row>
    <row r="9" spans="1:23" ht="15" x14ac:dyDescent="0.35">
      <c r="A9" s="92">
        <v>5</v>
      </c>
      <c r="B9" s="312"/>
      <c r="C9" s="85">
        <f t="shared" si="0"/>
      </c>
      <c r="D9" s="86" cm="1">
        <f t="array" ref="D9">IF($B9="","",IFERROR(_xlfn.XLOOKUP($B9,INDEX(RiskAssessment[],0,2),INDEX(RiskAssessment[],0,5),""),""))</f>
      </c>
      <c r="E9" s="87" cm="1">
        <f t="array" ref="E9">IF($B9="","",IFERROR(_xlfn.XLOOKUP($B9,INDEX(RiskAssessment[],0,2),INDEX(RiskAssessment[],0,7),""),""))</f>
      </c>
      <c r="F9" s="87" cm="1">
        <f t="array" ref="F9">IF($B9="","",IFERROR(_xlfn.XLOOKUP($B9,INDEX(RiskAssessment[],0,2),INDEX(RiskAssessment[],0,8),""),""))</f>
      </c>
      <c r="G9" s="174">
        <f>IF($B9="","",_xlfn.XLOOKUP($B9,'10. Risk Assessment'!$B$5:$B$34,'10. Risk Assessment'!$F$5:$F$34,""))</f>
      </c>
      <c r="H9" s="314"/>
      <c r="I9" s="97"/>
      <c r="J9" s="312"/>
      <c r="K9" s="312"/>
      <c r="L9" s="312"/>
      <c r="M9" s="312"/>
      <c r="N9" s="312"/>
      <c r="O9" s="312"/>
      <c r="P9" s="97"/>
      <c r="Q9" s="182"/>
      <c r="R9" s="182"/>
      <c r="S9" s="182"/>
      <c r="T9" s="86" cm="1">
        <f t="array" aca="1" ref="T9" ca="1">IF($B9="","",_xlfn.LET(_xlpm.flag,$J9:$O9,_xlpm.total,COUNTIFS('12. Requirements Register'!$C$5:$C$304,$C9,'12. Requirements Register'!$E$5:$E$304,$J$4:$O$4),_xlpm.readyCount,COUNTIFS('12. Requirements Register'!$C$5:$C$304,$C9,'12. Requirements Register'!$E$5:$E$304,$J$4:$O$4,'12. Requirements Register'!$L$5:$L$304,"Ready"),_xlpm.reqOK,SUM(--(_xlpm.flag="Yes")*--(_xlpm.total&gt;0)*--(_xlpm.readyCount=_xlpm.total))=COUNTIF(_xlpm.flag,"Yes"),_xlpm.core,AND($H9&lt;&gt;"",$I9&lt;&gt;"",$P9&lt;&gt;"",$Q9&lt;&gt;"",$R9&lt;&gt;"",$V9&lt;&gt;"",$V9&lt;&gt;"Not Created"),IF($S9&lt;&gt;"",IF(AND($S9&lt;=TODAY(),_xlpm.core,_xlpm.reqOK),"Completed","Incomplete"),IF($Q9="","Planned",IF(TODAY()&lt;$Q9,"Planned",IF($R9="","In Progress",IF(TODAY()&lt;=$R9,"In Progress","Overdue")))))))</f>
      </c>
      <c r="U9" s="86">
        <f t="shared" si="1"/>
      </c>
      <c r="V9" s="89" cm="1">
        <f t="array" ref="V9">IF($C9="","",IFERROR(_xlfn.LET(_xlpm.x,_xlfn.UNIQUE(_xlfn._xlws.FILTER('14. Recovery &amp; Response'!$B$5:$B$104,('14. Recovery &amp; Response'!$C$5:$C$104=$C9)*('14. Recovery &amp; Response'!$B$5:$B$104&lt;&gt;""))),_xlfn.TEXTJOIN(",",TRUE,_xlpm.x)),"Not Created"))</f>
      </c>
      <c r="W9" s="97"/>
    </row>
    <row r="10" spans="1:23" ht="15" x14ac:dyDescent="0.35">
      <c r="A10" s="92">
        <v>6</v>
      </c>
      <c r="B10" s="312"/>
      <c r="C10" s="85">
        <f t="shared" si="0"/>
      </c>
      <c r="D10" s="86" cm="1">
        <f t="array" ref="D10">IF($B10="","",IFERROR(_xlfn.XLOOKUP($B10,INDEX(RiskAssessment[],0,2),INDEX(RiskAssessment[],0,5),""),""))</f>
      </c>
      <c r="E10" s="87" cm="1">
        <f t="array" ref="E10">IF($B10="","",IFERROR(_xlfn.XLOOKUP($B10,INDEX(RiskAssessment[],0,2),INDEX(RiskAssessment[],0,7),""),""))</f>
      </c>
      <c r="F10" s="87" cm="1">
        <f t="array" ref="F10">IF($B10="","",IFERROR(_xlfn.XLOOKUP($B10,INDEX(RiskAssessment[],0,2),INDEX(RiskAssessment[],0,8),""),""))</f>
      </c>
      <c r="G10" s="174">
        <f>IF($B10="","",_xlfn.XLOOKUP($B10,'10. Risk Assessment'!$B$5:$B$34,'10. Risk Assessment'!$F$5:$F$34,""))</f>
      </c>
      <c r="H10" s="314"/>
      <c r="I10" s="97"/>
      <c r="J10" s="312"/>
      <c r="K10" s="312"/>
      <c r="L10" s="312"/>
      <c r="M10" s="312"/>
      <c r="N10" s="312"/>
      <c r="O10" s="312"/>
      <c r="P10" s="97"/>
      <c r="Q10" s="182"/>
      <c r="R10" s="182"/>
      <c r="S10" s="182"/>
      <c r="T10" s="86" cm="1">
        <f t="array" aca="1" ref="T10" ca="1">IF($B10="","",_xlfn.LET(_xlpm.flag,$J10:$O10,_xlpm.total,COUNTIFS('12. Requirements Register'!$C$5:$C$304,$C10,'12. Requirements Register'!$E$5:$E$304,$J$4:$O$4),_xlpm.readyCount,COUNTIFS('12. Requirements Register'!$C$5:$C$304,$C10,'12. Requirements Register'!$E$5:$E$304,$J$4:$O$4,'12. Requirements Register'!$L$5:$L$304,"Ready"),_xlpm.reqOK,SUM(--(_xlpm.flag="Yes")*--(_xlpm.total&gt;0)*--(_xlpm.readyCount=_xlpm.total))=COUNTIF(_xlpm.flag,"Yes"),_xlpm.core,AND($H10&lt;&gt;"",$I10&lt;&gt;"",$P10&lt;&gt;"",$Q10&lt;&gt;"",$R10&lt;&gt;"",$V10&lt;&gt;"",$V10&lt;&gt;"Not Created"),IF($S10&lt;&gt;"",IF(AND($S10&lt;=TODAY(),_xlpm.core,_xlpm.reqOK),"Completed","Incomplete"),IF($Q10="","Planned",IF(TODAY()&lt;$Q10,"Planned",IF($R10="","In Progress",IF(TODAY()&lt;=$R10,"In Progress","Overdue")))))))</f>
      </c>
      <c r="U10" s="86">
        <f t="shared" si="1"/>
      </c>
      <c r="V10" s="89" cm="1">
        <f t="array" ref="V10">IF($C10="","",IFERROR(_xlfn.LET(_xlpm.x,_xlfn.UNIQUE(_xlfn._xlws.FILTER('14. Recovery &amp; Response'!$B$5:$B$104,('14. Recovery &amp; Response'!$C$5:$C$104=$C10)*('14. Recovery &amp; Response'!$B$5:$B$104&lt;&gt;""))),_xlfn.TEXTJOIN(",",TRUE,_xlpm.x)),"Not Created"))</f>
      </c>
      <c r="W10" s="97"/>
    </row>
    <row r="11" spans="1:23" ht="15" x14ac:dyDescent="0.35">
      <c r="A11" s="92">
        <v>7</v>
      </c>
      <c r="B11" s="312"/>
      <c r="C11" s="85">
        <f t="shared" si="0"/>
      </c>
      <c r="D11" s="86" cm="1">
        <f t="array" ref="D11">IF($B11="","",IFERROR(_xlfn.XLOOKUP($B11,INDEX(RiskAssessment[],0,2),INDEX(RiskAssessment[],0,5),""),""))</f>
      </c>
      <c r="E11" s="87" cm="1">
        <f t="array" ref="E11">IF($B11="","",IFERROR(_xlfn.XLOOKUP($B11,INDEX(RiskAssessment[],0,2),INDEX(RiskAssessment[],0,7),""),""))</f>
      </c>
      <c r="F11" s="87" cm="1">
        <f t="array" ref="F11">IF($B11="","",IFERROR(_xlfn.XLOOKUP($B11,INDEX(RiskAssessment[],0,2),INDEX(RiskAssessment[],0,8),""),""))</f>
      </c>
      <c r="G11" s="174">
        <f>IF($B11="","",_xlfn.XLOOKUP($B11,'10. Risk Assessment'!$B$5:$B$34,'10. Risk Assessment'!$F$5:$F$34,""))</f>
      </c>
      <c r="H11" s="314"/>
      <c r="I11" s="97"/>
      <c r="J11" s="312"/>
      <c r="K11" s="312"/>
      <c r="L11" s="312"/>
      <c r="M11" s="312"/>
      <c r="N11" s="312"/>
      <c r="O11" s="312"/>
      <c r="P11" s="97"/>
      <c r="Q11" s="182"/>
      <c r="R11" s="182"/>
      <c r="S11" s="182"/>
      <c r="T11" s="86" cm="1">
        <f t="array" aca="1" ref="T11" ca="1">IF($B11="","",_xlfn.LET(_xlpm.flag,$J11:$O11,_xlpm.total,COUNTIFS('12. Requirements Register'!$C$5:$C$304,$C11,'12. Requirements Register'!$E$5:$E$304,$J$4:$O$4),_xlpm.readyCount,COUNTIFS('12. Requirements Register'!$C$5:$C$304,$C11,'12. Requirements Register'!$E$5:$E$304,$J$4:$O$4,'12. Requirements Register'!$L$5:$L$304,"Ready"),_xlpm.reqOK,SUM(--(_xlpm.flag="Yes")*--(_xlpm.total&gt;0)*--(_xlpm.readyCount=_xlpm.total))=COUNTIF(_xlpm.flag,"Yes"),_xlpm.core,AND($H11&lt;&gt;"",$I11&lt;&gt;"",$P11&lt;&gt;"",$Q11&lt;&gt;"",$R11&lt;&gt;"",$V11&lt;&gt;"",$V11&lt;&gt;"Not Created"),IF($S11&lt;&gt;"",IF(AND($S11&lt;=TODAY(),_xlpm.core,_xlpm.reqOK),"Completed","Incomplete"),IF($Q11="","Planned",IF(TODAY()&lt;$Q11,"Planned",IF($R11="","In Progress",IF(TODAY()&lt;=$R11,"In Progress","Overdue")))))))</f>
      </c>
      <c r="U11" s="86">
        <f t="shared" si="1"/>
      </c>
      <c r="V11" s="89" cm="1">
        <f t="array" ref="V11">IF($C11="","",IFERROR(_xlfn.LET(_xlpm.x,_xlfn.UNIQUE(_xlfn._xlws.FILTER('14. Recovery &amp; Response'!$B$5:$B$104,('14. Recovery &amp; Response'!$C$5:$C$104=$C11)*('14. Recovery &amp; Response'!$B$5:$B$104&lt;&gt;""))),_xlfn.TEXTJOIN(",",TRUE,_xlpm.x)),"Not Created"))</f>
      </c>
      <c r="W11" s="97"/>
    </row>
    <row r="12" spans="1:23" ht="15" x14ac:dyDescent="0.35">
      <c r="A12" s="92">
        <v>8</v>
      </c>
      <c r="B12" s="312"/>
      <c r="C12" s="85">
        <f t="shared" si="0"/>
      </c>
      <c r="D12" s="86" cm="1">
        <f t="array" ref="D12">IF($B12="","",IFERROR(_xlfn.XLOOKUP($B12,INDEX(RiskAssessment[],0,2),INDEX(RiskAssessment[],0,5),""),""))</f>
      </c>
      <c r="E12" s="87" cm="1">
        <f t="array" ref="E12">IF($B12="","",IFERROR(_xlfn.XLOOKUP($B12,INDEX(RiskAssessment[],0,2),INDEX(RiskAssessment[],0,7),""),""))</f>
      </c>
      <c r="F12" s="87" cm="1">
        <f t="array" ref="F12">IF($B12="","",IFERROR(_xlfn.XLOOKUP($B12,INDEX(RiskAssessment[],0,2),INDEX(RiskAssessment[],0,8),""),""))</f>
      </c>
      <c r="G12" s="174">
        <f>IF($B12="","",_xlfn.XLOOKUP($B12,'10. Risk Assessment'!$B$5:$B$34,'10. Risk Assessment'!$F$5:$F$34,""))</f>
      </c>
      <c r="H12" s="314"/>
      <c r="I12" s="97"/>
      <c r="J12" s="312"/>
      <c r="K12" s="312"/>
      <c r="L12" s="312"/>
      <c r="M12" s="312"/>
      <c r="N12" s="312"/>
      <c r="O12" s="312"/>
      <c r="P12" s="97"/>
      <c r="Q12" s="182"/>
      <c r="R12" s="182"/>
      <c r="S12" s="182"/>
      <c r="T12" s="86" cm="1">
        <f t="array" aca="1" ref="T12" ca="1">IF($B12="","",_xlfn.LET(_xlpm.flag,$J12:$O12,_xlpm.total,COUNTIFS('12. Requirements Register'!$C$5:$C$304,$C12,'12. Requirements Register'!$E$5:$E$304,$J$4:$O$4),_xlpm.readyCount,COUNTIFS('12. Requirements Register'!$C$5:$C$304,$C12,'12. Requirements Register'!$E$5:$E$304,$J$4:$O$4,'12. Requirements Register'!$L$5:$L$304,"Ready"),_xlpm.reqOK,SUM(--(_xlpm.flag="Yes")*--(_xlpm.total&gt;0)*--(_xlpm.readyCount=_xlpm.total))=COUNTIF(_xlpm.flag,"Yes"),_xlpm.core,AND($H12&lt;&gt;"",$I12&lt;&gt;"",$P12&lt;&gt;"",$Q12&lt;&gt;"",$R12&lt;&gt;"",$V12&lt;&gt;"",$V12&lt;&gt;"Not Created"),IF($S12&lt;&gt;"",IF(AND($S12&lt;=TODAY(),_xlpm.core,_xlpm.reqOK),"Completed","Incomplete"),IF($Q12="","Planned",IF(TODAY()&lt;$Q12,"Planned",IF($R12="","In Progress",IF(TODAY()&lt;=$R12,"In Progress","Overdue")))))))</f>
      </c>
      <c r="U12" s="86">
        <f t="shared" si="1"/>
      </c>
      <c r="V12" s="89" cm="1">
        <f t="array" ref="V12">IF($C12="","",IFERROR(_xlfn.LET(_xlpm.x,_xlfn.UNIQUE(_xlfn._xlws.FILTER('14. Recovery &amp; Response'!$B$5:$B$104,('14. Recovery &amp; Response'!$C$5:$C$104=$C12)*('14. Recovery &amp; Response'!$B$5:$B$104&lt;&gt;""))),_xlfn.TEXTJOIN(",",TRUE,_xlpm.x)),"Not Created"))</f>
      </c>
      <c r="W12" s="97"/>
    </row>
    <row r="13" spans="1:23" ht="15" x14ac:dyDescent="0.35">
      <c r="A13" s="92">
        <v>9</v>
      </c>
      <c r="B13" s="312"/>
      <c r="C13" s="85">
        <f t="shared" si="0"/>
      </c>
      <c r="D13" s="86" cm="1">
        <f t="array" ref="D13">IF($B13="","",IFERROR(_xlfn.XLOOKUP($B13,INDEX(RiskAssessment[],0,2),INDEX(RiskAssessment[],0,5),""),""))</f>
      </c>
      <c r="E13" s="87" cm="1">
        <f t="array" ref="E13">IF($B13="","",IFERROR(_xlfn.XLOOKUP($B13,INDEX(RiskAssessment[],0,2),INDEX(RiskAssessment[],0,7),""),""))</f>
      </c>
      <c r="F13" s="87" cm="1">
        <f t="array" ref="F13">IF($B13="","",IFERROR(_xlfn.XLOOKUP($B13,INDEX(RiskAssessment[],0,2),INDEX(RiskAssessment[],0,8),""),""))</f>
      </c>
      <c r="G13" s="174">
        <f>IF($B13="","",_xlfn.XLOOKUP($B13,'10. Risk Assessment'!$B$5:$B$34,'10. Risk Assessment'!$F$5:$F$34,""))</f>
      </c>
      <c r="H13" s="314"/>
      <c r="I13" s="97"/>
      <c r="J13" s="312"/>
      <c r="K13" s="312"/>
      <c r="L13" s="312"/>
      <c r="M13" s="312"/>
      <c r="N13" s="312"/>
      <c r="O13" s="312"/>
      <c r="P13" s="97"/>
      <c r="Q13" s="182"/>
      <c r="R13" s="182"/>
      <c r="S13" s="182"/>
      <c r="T13" s="86" cm="1">
        <f t="array" aca="1" ref="T13" ca="1">IF($B13="","",_xlfn.LET(_xlpm.flag,$J13:$O13,_xlpm.total,COUNTIFS('12. Requirements Register'!$C$5:$C$304,$C13,'12. Requirements Register'!$E$5:$E$304,$J$4:$O$4),_xlpm.readyCount,COUNTIFS('12. Requirements Register'!$C$5:$C$304,$C13,'12. Requirements Register'!$E$5:$E$304,$J$4:$O$4,'12. Requirements Register'!$L$5:$L$304,"Ready"),_xlpm.reqOK,SUM(--(_xlpm.flag="Yes")*--(_xlpm.total&gt;0)*--(_xlpm.readyCount=_xlpm.total))=COUNTIF(_xlpm.flag,"Yes"),_xlpm.core,AND($H13&lt;&gt;"",$I13&lt;&gt;"",$P13&lt;&gt;"",$Q13&lt;&gt;"",$R13&lt;&gt;"",$V13&lt;&gt;"",$V13&lt;&gt;"Not Created"),IF($S13&lt;&gt;"",IF(AND($S13&lt;=TODAY(),_xlpm.core,_xlpm.reqOK),"Completed","Incomplete"),IF($Q13="","Planned",IF(TODAY()&lt;$Q13,"Planned",IF($R13="","In Progress",IF(TODAY()&lt;=$R13,"In Progress","Overdue")))))))</f>
      </c>
      <c r="U13" s="86">
        <f t="shared" si="1"/>
      </c>
      <c r="V13" s="89" cm="1">
        <f t="array" ref="V13">IF($C13="","",IFERROR(_xlfn.LET(_xlpm.x,_xlfn.UNIQUE(_xlfn._xlws.FILTER('14. Recovery &amp; Response'!$B$5:$B$104,('14. Recovery &amp; Response'!$C$5:$C$104=$C13)*('14. Recovery &amp; Response'!$B$5:$B$104&lt;&gt;""))),_xlfn.TEXTJOIN(",",TRUE,_xlpm.x)),"Not Created"))</f>
      </c>
      <c r="W13" s="97"/>
    </row>
    <row r="14" spans="1:23" ht="15" x14ac:dyDescent="0.35">
      <c r="A14" s="92">
        <v>10</v>
      </c>
      <c r="B14" s="312"/>
      <c r="C14" s="85">
        <f t="shared" si="0"/>
      </c>
      <c r="D14" s="86" cm="1">
        <f t="array" ref="D14">IF($B14="","",IFERROR(_xlfn.XLOOKUP($B14,INDEX(RiskAssessment[],0,2),INDEX(RiskAssessment[],0,5),""),""))</f>
      </c>
      <c r="E14" s="87" cm="1">
        <f t="array" ref="E14">IF($B14="","",IFERROR(_xlfn.XLOOKUP($B14,INDEX(RiskAssessment[],0,2),INDEX(RiskAssessment[],0,7),""),""))</f>
      </c>
      <c r="F14" s="87" cm="1">
        <f t="array" ref="F14">IF($B14="","",IFERROR(_xlfn.XLOOKUP($B14,INDEX(RiskAssessment[],0,2),INDEX(RiskAssessment[],0,8),""),""))</f>
      </c>
      <c r="G14" s="174">
        <f>IF($B14="","",_xlfn.XLOOKUP($B14,'10. Risk Assessment'!$B$5:$B$34,'10. Risk Assessment'!$F$5:$F$34,""))</f>
      </c>
      <c r="H14" s="314"/>
      <c r="I14" s="97"/>
      <c r="J14" s="312"/>
      <c r="K14" s="312"/>
      <c r="L14" s="312"/>
      <c r="M14" s="312"/>
      <c r="N14" s="312"/>
      <c r="O14" s="312"/>
      <c r="P14" s="97"/>
      <c r="Q14" s="182"/>
      <c r="R14" s="182"/>
      <c r="S14" s="182"/>
      <c r="T14" s="86" cm="1">
        <f t="array" aca="1" ref="T14" ca="1">IF($B14="","",_xlfn.LET(_xlpm.flag,$J14:$O14,_xlpm.total,COUNTIFS('12. Requirements Register'!$C$5:$C$304,$C14,'12. Requirements Register'!$E$5:$E$304,$J$4:$O$4),_xlpm.readyCount,COUNTIFS('12. Requirements Register'!$C$5:$C$304,$C14,'12. Requirements Register'!$E$5:$E$304,$J$4:$O$4,'12. Requirements Register'!$L$5:$L$304,"Ready"),_xlpm.reqOK,SUM(--(_xlpm.flag="Yes")*--(_xlpm.total&gt;0)*--(_xlpm.readyCount=_xlpm.total))=COUNTIF(_xlpm.flag,"Yes"),_xlpm.core,AND($H14&lt;&gt;"",$I14&lt;&gt;"",$P14&lt;&gt;"",$Q14&lt;&gt;"",$R14&lt;&gt;"",$V14&lt;&gt;"",$V14&lt;&gt;"Not Created"),IF($S14&lt;&gt;"",IF(AND($S14&lt;=TODAY(),_xlpm.core,_xlpm.reqOK),"Completed","Incomplete"),IF($Q14="","Planned",IF(TODAY()&lt;$Q14,"Planned",IF($R14="","In Progress",IF(TODAY()&lt;=$R14,"In Progress","Overdue")))))))</f>
      </c>
      <c r="U14" s="86">
        <f t="shared" si="1"/>
      </c>
      <c r="V14" s="89" cm="1">
        <f t="array" ref="V14">IF($C14="","",IFERROR(_xlfn.LET(_xlpm.x,_xlfn.UNIQUE(_xlfn._xlws.FILTER('14. Recovery &amp; Response'!$B$5:$B$104,('14. Recovery &amp; Response'!$C$5:$C$104=$C14)*('14. Recovery &amp; Response'!$B$5:$B$104&lt;&gt;""))),_xlfn.TEXTJOIN(",",TRUE,_xlpm.x)),"Not Created"))</f>
      </c>
      <c r="W14" s="97"/>
    </row>
    <row r="15" spans="1:23" ht="15" x14ac:dyDescent="0.35">
      <c r="A15" s="92">
        <v>11</v>
      </c>
      <c r="B15" s="312"/>
      <c r="C15" s="85">
        <f t="shared" si="0"/>
      </c>
      <c r="D15" s="86" cm="1">
        <f t="array" ref="D15">IF($B15="","",IFERROR(_xlfn.XLOOKUP($B15,INDEX(RiskAssessment[],0,2),INDEX(RiskAssessment[],0,5),""),""))</f>
      </c>
      <c r="E15" s="87" cm="1">
        <f t="array" ref="E15">IF($B15="","",IFERROR(_xlfn.XLOOKUP($B15,INDEX(RiskAssessment[],0,2),INDEX(RiskAssessment[],0,7),""),""))</f>
      </c>
      <c r="F15" s="87" cm="1">
        <f t="array" ref="F15">IF($B15="","",IFERROR(_xlfn.XLOOKUP($B15,INDEX(RiskAssessment[],0,2),INDEX(RiskAssessment[],0,8),""),""))</f>
      </c>
      <c r="G15" s="174">
        <f>IF($B15="","",_xlfn.XLOOKUP($B15,'10. Risk Assessment'!$B$5:$B$34,'10. Risk Assessment'!$F$5:$F$34,""))</f>
      </c>
      <c r="H15" s="314"/>
      <c r="I15" s="97"/>
      <c r="J15" s="312"/>
      <c r="K15" s="312"/>
      <c r="L15" s="312"/>
      <c r="M15" s="312"/>
      <c r="N15" s="312"/>
      <c r="O15" s="312"/>
      <c r="P15" s="97"/>
      <c r="Q15" s="182"/>
      <c r="R15" s="182"/>
      <c r="S15" s="182"/>
      <c r="T15" s="86" cm="1">
        <f t="array" aca="1" ref="T15" ca="1">IF($B15="","",_xlfn.LET(_xlpm.flag,$J15:$O15,_xlpm.total,COUNTIFS('12. Requirements Register'!$C$5:$C$304,$C15,'12. Requirements Register'!$E$5:$E$304,$J$4:$O$4),_xlpm.readyCount,COUNTIFS('12. Requirements Register'!$C$5:$C$304,$C15,'12. Requirements Register'!$E$5:$E$304,$J$4:$O$4,'12. Requirements Register'!$L$5:$L$304,"Ready"),_xlpm.reqOK,SUM(--(_xlpm.flag="Yes")*--(_xlpm.total&gt;0)*--(_xlpm.readyCount=_xlpm.total))=COUNTIF(_xlpm.flag,"Yes"),_xlpm.core,AND($H15&lt;&gt;"",$I15&lt;&gt;"",$P15&lt;&gt;"",$Q15&lt;&gt;"",$R15&lt;&gt;"",$V15&lt;&gt;"",$V15&lt;&gt;"Not Created"),IF($S15&lt;&gt;"",IF(AND($S15&lt;=TODAY(),_xlpm.core,_xlpm.reqOK),"Completed","Incomplete"),IF($Q15="","Planned",IF(TODAY()&lt;$Q15,"Planned",IF($R15="","In Progress",IF(TODAY()&lt;=$R15,"In Progress","Overdue")))))))</f>
      </c>
      <c r="U15" s="86">
        <f t="shared" si="1"/>
      </c>
      <c r="V15" s="89" cm="1">
        <f t="array" ref="V15">IF($C15="","",IFERROR(_xlfn.LET(_xlpm.x,_xlfn.UNIQUE(_xlfn._xlws.FILTER('14. Recovery &amp; Response'!$B$5:$B$104,('14. Recovery &amp; Response'!$C$5:$C$104=$C15)*('14. Recovery &amp; Response'!$B$5:$B$104&lt;&gt;""))),_xlfn.TEXTJOIN(",",TRUE,_xlpm.x)),"Not Created"))</f>
      </c>
      <c r="W15" s="97"/>
    </row>
    <row r="16" spans="1:23" ht="15" x14ac:dyDescent="0.35">
      <c r="A16" s="92">
        <v>12</v>
      </c>
      <c r="B16" s="312"/>
      <c r="C16" s="85">
        <f t="shared" si="0"/>
      </c>
      <c r="D16" s="86" cm="1">
        <f t="array" ref="D16">IF($B16="","",IFERROR(_xlfn.XLOOKUP($B16,INDEX(RiskAssessment[],0,2),INDEX(RiskAssessment[],0,5),""),""))</f>
      </c>
      <c r="E16" s="87" cm="1">
        <f t="array" ref="E16">IF($B16="","",IFERROR(_xlfn.XLOOKUP($B16,INDEX(RiskAssessment[],0,2),INDEX(RiskAssessment[],0,7),""),""))</f>
      </c>
      <c r="F16" s="87" cm="1">
        <f t="array" ref="F16">IF($B16="","",IFERROR(_xlfn.XLOOKUP($B16,INDEX(RiskAssessment[],0,2),INDEX(RiskAssessment[],0,8),""),""))</f>
      </c>
      <c r="G16" s="174">
        <f>IF($B16="","",_xlfn.XLOOKUP($B16,'10. Risk Assessment'!$B$5:$B$34,'10. Risk Assessment'!$F$5:$F$34,""))</f>
      </c>
      <c r="H16" s="314"/>
      <c r="I16" s="97"/>
      <c r="J16" s="312"/>
      <c r="K16" s="312"/>
      <c r="L16" s="312"/>
      <c r="M16" s="312"/>
      <c r="N16" s="312"/>
      <c r="O16" s="312"/>
      <c r="P16" s="97"/>
      <c r="Q16" s="182"/>
      <c r="R16" s="182"/>
      <c r="S16" s="182"/>
      <c r="T16" s="86" cm="1">
        <f t="array" aca="1" ref="T16" ca="1">IF($B16="","",_xlfn.LET(_xlpm.flag,$J16:$O16,_xlpm.total,COUNTIFS('12. Requirements Register'!$C$5:$C$304,$C16,'12. Requirements Register'!$E$5:$E$304,$J$4:$O$4),_xlpm.readyCount,COUNTIFS('12. Requirements Register'!$C$5:$C$304,$C16,'12. Requirements Register'!$E$5:$E$304,$J$4:$O$4,'12. Requirements Register'!$L$5:$L$304,"Ready"),_xlpm.reqOK,SUM(--(_xlpm.flag="Yes")*--(_xlpm.total&gt;0)*--(_xlpm.readyCount=_xlpm.total))=COUNTIF(_xlpm.flag,"Yes"),_xlpm.core,AND($H16&lt;&gt;"",$I16&lt;&gt;"",$P16&lt;&gt;"",$Q16&lt;&gt;"",$R16&lt;&gt;"",$V16&lt;&gt;"",$V16&lt;&gt;"Not Created"),IF($S16&lt;&gt;"",IF(AND($S16&lt;=TODAY(),_xlpm.core,_xlpm.reqOK),"Completed","Incomplete"),IF($Q16="","Planned",IF(TODAY()&lt;$Q16,"Planned",IF($R16="","In Progress",IF(TODAY()&lt;=$R16,"In Progress","Overdue")))))))</f>
      </c>
      <c r="U16" s="86">
        <f t="shared" si="1"/>
      </c>
      <c r="V16" s="89" cm="1">
        <f t="array" ref="V16">IF($C16="","",IFERROR(_xlfn.LET(_xlpm.x,_xlfn.UNIQUE(_xlfn._xlws.FILTER('14. Recovery &amp; Response'!$B$5:$B$104,('14. Recovery &amp; Response'!$C$5:$C$104=$C16)*('14. Recovery &amp; Response'!$B$5:$B$104&lt;&gt;""))),_xlfn.TEXTJOIN(",",TRUE,_xlpm.x)),"Not Created"))</f>
      </c>
      <c r="W16" s="97"/>
    </row>
    <row r="17" spans="1:23" ht="15" x14ac:dyDescent="0.35">
      <c r="A17" s="92">
        <v>13</v>
      </c>
      <c r="B17" s="312"/>
      <c r="C17" s="85">
        <f t="shared" si="0"/>
      </c>
      <c r="D17" s="86" cm="1">
        <f t="array" ref="D17">IF($B17="","",IFERROR(_xlfn.XLOOKUP($B17,INDEX(RiskAssessment[],0,2),INDEX(RiskAssessment[],0,5),""),""))</f>
      </c>
      <c r="E17" s="87" cm="1">
        <f t="array" ref="E17">IF($B17="","",IFERROR(_xlfn.XLOOKUP($B17,INDEX(RiskAssessment[],0,2),INDEX(RiskAssessment[],0,7),""),""))</f>
      </c>
      <c r="F17" s="87" cm="1">
        <f t="array" ref="F17">IF($B17="","",IFERROR(_xlfn.XLOOKUP($B17,INDEX(RiskAssessment[],0,2),INDEX(RiskAssessment[],0,8),""),""))</f>
      </c>
      <c r="G17" s="174">
        <f>IF($B17="","",_xlfn.XLOOKUP($B17,'10. Risk Assessment'!$B$5:$B$34,'10. Risk Assessment'!$F$5:$F$34,""))</f>
      </c>
      <c r="H17" s="314"/>
      <c r="I17" s="97"/>
      <c r="J17" s="312"/>
      <c r="K17" s="312"/>
      <c r="L17" s="312"/>
      <c r="M17" s="312"/>
      <c r="N17" s="312"/>
      <c r="O17" s="312"/>
      <c r="P17" s="97"/>
      <c r="Q17" s="182"/>
      <c r="R17" s="182"/>
      <c r="S17" s="182"/>
      <c r="T17" s="86" cm="1">
        <f t="array" aca="1" ref="T17" ca="1">IF($B17="","",_xlfn.LET(_xlpm.flag,$J17:$O17,_xlpm.total,COUNTIFS('12. Requirements Register'!$C$5:$C$304,$C17,'12. Requirements Register'!$E$5:$E$304,$J$4:$O$4),_xlpm.readyCount,COUNTIFS('12. Requirements Register'!$C$5:$C$304,$C17,'12. Requirements Register'!$E$5:$E$304,$J$4:$O$4,'12. Requirements Register'!$L$5:$L$304,"Ready"),_xlpm.reqOK,SUM(--(_xlpm.flag="Yes")*--(_xlpm.total&gt;0)*--(_xlpm.readyCount=_xlpm.total))=COUNTIF(_xlpm.flag,"Yes"),_xlpm.core,AND($H17&lt;&gt;"",$I17&lt;&gt;"",$P17&lt;&gt;"",$Q17&lt;&gt;"",$R17&lt;&gt;"",$V17&lt;&gt;"",$V17&lt;&gt;"Not Created"),IF($S17&lt;&gt;"",IF(AND($S17&lt;=TODAY(),_xlpm.core,_xlpm.reqOK),"Completed","Incomplete"),IF($Q17="","Planned",IF(TODAY()&lt;$Q17,"Planned",IF($R17="","In Progress",IF(TODAY()&lt;=$R17,"In Progress","Overdue")))))))</f>
      </c>
      <c r="U17" s="86">
        <f t="shared" si="1"/>
      </c>
      <c r="V17" s="89" cm="1">
        <f t="array" ref="V17">IF($C17="","",IFERROR(_xlfn.LET(_xlpm.x,_xlfn.UNIQUE(_xlfn._xlws.FILTER('14. Recovery &amp; Response'!$B$5:$B$104,('14. Recovery &amp; Response'!$C$5:$C$104=$C17)*('14. Recovery &amp; Response'!$B$5:$B$104&lt;&gt;""))),_xlfn.TEXTJOIN(",",TRUE,_xlpm.x)),"Not Created"))</f>
      </c>
      <c r="W17" s="97"/>
    </row>
    <row r="18" spans="1:23" ht="15" x14ac:dyDescent="0.35">
      <c r="A18" s="92">
        <v>14</v>
      </c>
      <c r="B18" s="312"/>
      <c r="C18" s="85">
        <f t="shared" si="0"/>
      </c>
      <c r="D18" s="86" cm="1">
        <f t="array" ref="D18">IF($B18="","",IFERROR(_xlfn.XLOOKUP($B18,INDEX(RiskAssessment[],0,2),INDEX(RiskAssessment[],0,5),""),""))</f>
      </c>
      <c r="E18" s="87" cm="1">
        <f t="array" ref="E18">IF($B18="","",IFERROR(_xlfn.XLOOKUP($B18,INDEX(RiskAssessment[],0,2),INDEX(RiskAssessment[],0,7),""),""))</f>
      </c>
      <c r="F18" s="87" cm="1">
        <f t="array" ref="F18">IF($B18="","",IFERROR(_xlfn.XLOOKUP($B18,INDEX(RiskAssessment[],0,2),INDEX(RiskAssessment[],0,8),""),""))</f>
      </c>
      <c r="G18" s="174">
        <f>IF($B18="","",_xlfn.XLOOKUP($B18,'10. Risk Assessment'!$B$5:$B$34,'10. Risk Assessment'!$F$5:$F$34,""))</f>
      </c>
      <c r="H18" s="314"/>
      <c r="I18" s="97"/>
      <c r="J18" s="312"/>
      <c r="K18" s="312"/>
      <c r="L18" s="312"/>
      <c r="M18" s="312"/>
      <c r="N18" s="312"/>
      <c r="O18" s="312"/>
      <c r="P18" s="97"/>
      <c r="Q18" s="182"/>
      <c r="R18" s="182"/>
      <c r="S18" s="182"/>
      <c r="T18" s="86" cm="1">
        <f t="array" aca="1" ref="T18" ca="1">IF($B18="","",_xlfn.LET(_xlpm.flag,$J18:$O18,_xlpm.total,COUNTIFS('12. Requirements Register'!$C$5:$C$304,$C18,'12. Requirements Register'!$E$5:$E$304,$J$4:$O$4),_xlpm.readyCount,COUNTIFS('12. Requirements Register'!$C$5:$C$304,$C18,'12. Requirements Register'!$E$5:$E$304,$J$4:$O$4,'12. Requirements Register'!$L$5:$L$304,"Ready"),_xlpm.reqOK,SUM(--(_xlpm.flag="Yes")*--(_xlpm.total&gt;0)*--(_xlpm.readyCount=_xlpm.total))=COUNTIF(_xlpm.flag,"Yes"),_xlpm.core,AND($H18&lt;&gt;"",$I18&lt;&gt;"",$P18&lt;&gt;"",$Q18&lt;&gt;"",$R18&lt;&gt;"",$V18&lt;&gt;"",$V18&lt;&gt;"Not Created"),IF($S18&lt;&gt;"",IF(AND($S18&lt;=TODAY(),_xlpm.core,_xlpm.reqOK),"Completed","Incomplete"),IF($Q18="","Planned",IF(TODAY()&lt;$Q18,"Planned",IF($R18="","In Progress",IF(TODAY()&lt;=$R18,"In Progress","Overdue")))))))</f>
      </c>
      <c r="U18" s="86">
        <f t="shared" si="1"/>
      </c>
      <c r="V18" s="89" cm="1">
        <f t="array" ref="V18">IF($C18="","",IFERROR(_xlfn.LET(_xlpm.x,_xlfn.UNIQUE(_xlfn._xlws.FILTER('14. Recovery &amp; Response'!$B$5:$B$104,('14. Recovery &amp; Response'!$C$5:$C$104=$C18)*('14. Recovery &amp; Response'!$B$5:$B$104&lt;&gt;""))),_xlfn.TEXTJOIN(",",TRUE,_xlpm.x)),"Not Created"))</f>
      </c>
      <c r="W18" s="97"/>
    </row>
    <row r="19" spans="1:23" ht="15" x14ac:dyDescent="0.35">
      <c r="A19" s="92">
        <v>15</v>
      </c>
      <c r="B19" s="312"/>
      <c r="C19" s="85">
        <f t="shared" si="0"/>
      </c>
      <c r="D19" s="86" cm="1">
        <f t="array" ref="D19">IF($B19="","",IFERROR(_xlfn.XLOOKUP($B19,INDEX(RiskAssessment[],0,2),INDEX(RiskAssessment[],0,5),""),""))</f>
      </c>
      <c r="E19" s="87" cm="1">
        <f t="array" ref="E19">IF($B19="","",IFERROR(_xlfn.XLOOKUP($B19,INDEX(RiskAssessment[],0,2),INDEX(RiskAssessment[],0,7),""),""))</f>
      </c>
      <c r="F19" s="87" cm="1">
        <f t="array" ref="F19">IF($B19="","",IFERROR(_xlfn.XLOOKUP($B19,INDEX(RiskAssessment[],0,2),INDEX(RiskAssessment[],0,8),""),""))</f>
      </c>
      <c r="G19" s="174">
        <f>IF($B19="","",_xlfn.XLOOKUP($B19,'10. Risk Assessment'!$B$5:$B$34,'10. Risk Assessment'!$F$5:$F$34,""))</f>
      </c>
      <c r="H19" s="314"/>
      <c r="I19" s="97"/>
      <c r="J19" s="312"/>
      <c r="K19" s="312"/>
      <c r="L19" s="312"/>
      <c r="M19" s="312"/>
      <c r="N19" s="312"/>
      <c r="O19" s="312"/>
      <c r="P19" s="97"/>
      <c r="Q19" s="182"/>
      <c r="R19" s="182"/>
      <c r="S19" s="182"/>
      <c r="T19" s="86" cm="1">
        <f t="array" aca="1" ref="T19" ca="1">IF($B19="","",_xlfn.LET(_xlpm.flag,$J19:$O19,_xlpm.total,COUNTIFS('12. Requirements Register'!$C$5:$C$304,$C19,'12. Requirements Register'!$E$5:$E$304,$J$4:$O$4),_xlpm.readyCount,COUNTIFS('12. Requirements Register'!$C$5:$C$304,$C19,'12. Requirements Register'!$E$5:$E$304,$J$4:$O$4,'12. Requirements Register'!$L$5:$L$304,"Ready"),_xlpm.reqOK,SUM(--(_xlpm.flag="Yes")*--(_xlpm.total&gt;0)*--(_xlpm.readyCount=_xlpm.total))=COUNTIF(_xlpm.flag,"Yes"),_xlpm.core,AND($H19&lt;&gt;"",$I19&lt;&gt;"",$P19&lt;&gt;"",$Q19&lt;&gt;"",$R19&lt;&gt;"",$V19&lt;&gt;"",$V19&lt;&gt;"Not Created"),IF($S19&lt;&gt;"",IF(AND($S19&lt;=TODAY(),_xlpm.core,_xlpm.reqOK),"Completed","Incomplete"),IF($Q19="","Planned",IF(TODAY()&lt;$Q19,"Planned",IF($R19="","In Progress",IF(TODAY()&lt;=$R19,"In Progress","Overdue")))))))</f>
      </c>
      <c r="U19" s="86">
        <f t="shared" si="1"/>
      </c>
      <c r="V19" s="89" cm="1">
        <f t="array" ref="V19">IF($C19="","",IFERROR(_xlfn.LET(_xlpm.x,_xlfn.UNIQUE(_xlfn._xlws.FILTER('14. Recovery &amp; Response'!$B$5:$B$104,('14. Recovery &amp; Response'!$C$5:$C$104=$C19)*('14. Recovery &amp; Response'!$B$5:$B$104&lt;&gt;""))),_xlfn.TEXTJOIN(",",TRUE,_xlpm.x)),"Not Created"))</f>
      </c>
      <c r="W19" s="97"/>
    </row>
    <row r="20" spans="1:23" ht="15" x14ac:dyDescent="0.35">
      <c r="A20" s="92">
        <v>16</v>
      </c>
      <c r="B20" s="312"/>
      <c r="C20" s="85">
        <f t="shared" si="0"/>
      </c>
      <c r="D20" s="86" cm="1">
        <f t="array" ref="D20">IF($B20="","",IFERROR(_xlfn.XLOOKUP($B20,INDEX(RiskAssessment[],0,2),INDEX(RiskAssessment[],0,5),""),""))</f>
      </c>
      <c r="E20" s="87" cm="1">
        <f t="array" ref="E20">IF($B20="","",IFERROR(_xlfn.XLOOKUP($B20,INDEX(RiskAssessment[],0,2),INDEX(RiskAssessment[],0,7),""),""))</f>
      </c>
      <c r="F20" s="87" cm="1">
        <f t="array" ref="F20">IF($B20="","",IFERROR(_xlfn.XLOOKUP($B20,INDEX(RiskAssessment[],0,2),INDEX(RiskAssessment[],0,8),""),""))</f>
      </c>
      <c r="G20" s="174">
        <f>IF($B20="","",_xlfn.XLOOKUP($B20,'10. Risk Assessment'!$B$5:$B$34,'10. Risk Assessment'!$F$5:$F$34,""))</f>
      </c>
      <c r="H20" s="314"/>
      <c r="I20" s="97"/>
      <c r="J20" s="312"/>
      <c r="K20" s="312"/>
      <c r="L20" s="312"/>
      <c r="M20" s="312"/>
      <c r="N20" s="312"/>
      <c r="O20" s="312"/>
      <c r="P20" s="97"/>
      <c r="Q20" s="182"/>
      <c r="R20" s="182"/>
      <c r="S20" s="182"/>
      <c r="T20" s="86" cm="1">
        <f t="array" aca="1" ref="T20" ca="1">IF($B20="","",_xlfn.LET(_xlpm.flag,$J20:$O20,_xlpm.total,COUNTIFS('12. Requirements Register'!$C$5:$C$304,$C20,'12. Requirements Register'!$E$5:$E$304,$J$4:$O$4),_xlpm.readyCount,COUNTIFS('12. Requirements Register'!$C$5:$C$304,$C20,'12. Requirements Register'!$E$5:$E$304,$J$4:$O$4,'12. Requirements Register'!$L$5:$L$304,"Ready"),_xlpm.reqOK,SUM(--(_xlpm.flag="Yes")*--(_xlpm.total&gt;0)*--(_xlpm.readyCount=_xlpm.total))=COUNTIF(_xlpm.flag,"Yes"),_xlpm.core,AND($H20&lt;&gt;"",$I20&lt;&gt;"",$P20&lt;&gt;"",$Q20&lt;&gt;"",$R20&lt;&gt;"",$V20&lt;&gt;"",$V20&lt;&gt;"Not Created"),IF($S20&lt;&gt;"",IF(AND($S20&lt;=TODAY(),_xlpm.core,_xlpm.reqOK),"Completed","Incomplete"),IF($Q20="","Planned",IF(TODAY()&lt;$Q20,"Planned",IF($R20="","In Progress",IF(TODAY()&lt;=$R20,"In Progress","Overdue")))))))</f>
      </c>
      <c r="U20" s="86">
        <f t="shared" si="1"/>
      </c>
      <c r="V20" s="89" cm="1">
        <f t="array" ref="V20">IF($C20="","",IFERROR(_xlfn.LET(_xlpm.x,_xlfn.UNIQUE(_xlfn._xlws.FILTER('14. Recovery &amp; Response'!$B$5:$B$104,('14. Recovery &amp; Response'!$C$5:$C$104=$C20)*('14. Recovery &amp; Response'!$B$5:$B$104&lt;&gt;""))),_xlfn.TEXTJOIN(",",TRUE,_xlpm.x)),"Not Created"))</f>
      </c>
      <c r="W20" s="97"/>
    </row>
    <row r="21" spans="1:23" ht="15" x14ac:dyDescent="0.35">
      <c r="A21" s="92">
        <v>17</v>
      </c>
      <c r="B21" s="312"/>
      <c r="C21" s="85">
        <f t="shared" si="0"/>
      </c>
      <c r="D21" s="86" cm="1">
        <f t="array" ref="D21">IF($B21="","",IFERROR(_xlfn.XLOOKUP($B21,INDEX(RiskAssessment[],0,2),INDEX(RiskAssessment[],0,5),""),""))</f>
      </c>
      <c r="E21" s="87" cm="1">
        <f t="array" ref="E21">IF($B21="","",IFERROR(_xlfn.XLOOKUP($B21,INDEX(RiskAssessment[],0,2),INDEX(RiskAssessment[],0,7),""),""))</f>
      </c>
      <c r="F21" s="87" cm="1">
        <f t="array" ref="F21">IF($B21="","",IFERROR(_xlfn.XLOOKUP($B21,INDEX(RiskAssessment[],0,2),INDEX(RiskAssessment[],0,8),""),""))</f>
      </c>
      <c r="G21" s="174">
        <f>IF($B21="","",_xlfn.XLOOKUP($B21,'10. Risk Assessment'!$B$5:$B$34,'10. Risk Assessment'!$F$5:$F$34,""))</f>
      </c>
      <c r="H21" s="314"/>
      <c r="I21" s="97"/>
      <c r="J21" s="312"/>
      <c r="K21" s="312"/>
      <c r="L21" s="312"/>
      <c r="M21" s="312"/>
      <c r="N21" s="312"/>
      <c r="O21" s="312"/>
      <c r="P21" s="97"/>
      <c r="Q21" s="182"/>
      <c r="R21" s="182"/>
      <c r="S21" s="182"/>
      <c r="T21" s="86" cm="1">
        <f t="array" aca="1" ref="T21" ca="1">IF($B21="","",_xlfn.LET(_xlpm.flag,$J21:$O21,_xlpm.total,COUNTIFS('12. Requirements Register'!$C$5:$C$304,$C21,'12. Requirements Register'!$E$5:$E$304,$J$4:$O$4),_xlpm.readyCount,COUNTIFS('12. Requirements Register'!$C$5:$C$304,$C21,'12. Requirements Register'!$E$5:$E$304,$J$4:$O$4,'12. Requirements Register'!$L$5:$L$304,"Ready"),_xlpm.reqOK,SUM(--(_xlpm.flag="Yes")*--(_xlpm.total&gt;0)*--(_xlpm.readyCount=_xlpm.total))=COUNTIF(_xlpm.flag,"Yes"),_xlpm.core,AND($H21&lt;&gt;"",$I21&lt;&gt;"",$P21&lt;&gt;"",$Q21&lt;&gt;"",$R21&lt;&gt;"",$V21&lt;&gt;"",$V21&lt;&gt;"Not Created"),IF($S21&lt;&gt;"",IF(AND($S21&lt;=TODAY(),_xlpm.core,_xlpm.reqOK),"Completed","Incomplete"),IF($Q21="","Planned",IF(TODAY()&lt;$Q21,"Planned",IF($R21="","In Progress",IF(TODAY()&lt;=$R21,"In Progress","Overdue")))))))</f>
      </c>
      <c r="U21" s="86">
        <f t="shared" si="1"/>
      </c>
      <c r="V21" s="89" cm="1">
        <f t="array" ref="V21">IF($C21="","",IFERROR(_xlfn.LET(_xlpm.x,_xlfn.UNIQUE(_xlfn._xlws.FILTER('14. Recovery &amp; Response'!$B$5:$B$104,('14. Recovery &amp; Response'!$C$5:$C$104=$C21)*('14. Recovery &amp; Response'!$B$5:$B$104&lt;&gt;""))),_xlfn.TEXTJOIN(",",TRUE,_xlpm.x)),"Not Created"))</f>
      </c>
      <c r="W21" s="97"/>
    </row>
    <row r="22" spans="1:23" ht="15" x14ac:dyDescent="0.35">
      <c r="A22" s="92">
        <v>18</v>
      </c>
      <c r="B22" s="312"/>
      <c r="C22" s="85">
        <f t="shared" si="0"/>
      </c>
      <c r="D22" s="86" cm="1">
        <f t="array" ref="D22">IF($B22="","",IFERROR(_xlfn.XLOOKUP($B22,INDEX(RiskAssessment[],0,2),INDEX(RiskAssessment[],0,5),""),""))</f>
      </c>
      <c r="E22" s="87" cm="1">
        <f t="array" ref="E22">IF($B22="","",IFERROR(_xlfn.XLOOKUP($B22,INDEX(RiskAssessment[],0,2),INDEX(RiskAssessment[],0,7),""),""))</f>
      </c>
      <c r="F22" s="87" cm="1">
        <f t="array" ref="F22">IF($B22="","",IFERROR(_xlfn.XLOOKUP($B22,INDEX(RiskAssessment[],0,2),INDEX(RiskAssessment[],0,8),""),""))</f>
      </c>
      <c r="G22" s="174">
        <f>IF($B22="","",_xlfn.XLOOKUP($B22,'10. Risk Assessment'!$B$5:$B$34,'10. Risk Assessment'!$F$5:$F$34,""))</f>
      </c>
      <c r="H22" s="314"/>
      <c r="I22" s="97"/>
      <c r="J22" s="312"/>
      <c r="K22" s="312"/>
      <c r="L22" s="312"/>
      <c r="M22" s="312"/>
      <c r="N22" s="312"/>
      <c r="O22" s="312"/>
      <c r="P22" s="97"/>
      <c r="Q22" s="182"/>
      <c r="R22" s="182"/>
      <c r="S22" s="182"/>
      <c r="T22" s="86" cm="1">
        <f t="array" aca="1" ref="T22" ca="1">IF($B22="","",_xlfn.LET(_xlpm.flag,$J22:$O22,_xlpm.total,COUNTIFS('12. Requirements Register'!$C$5:$C$304,$C22,'12. Requirements Register'!$E$5:$E$304,$J$4:$O$4),_xlpm.readyCount,COUNTIFS('12. Requirements Register'!$C$5:$C$304,$C22,'12. Requirements Register'!$E$5:$E$304,$J$4:$O$4,'12. Requirements Register'!$L$5:$L$304,"Ready"),_xlpm.reqOK,SUM(--(_xlpm.flag="Yes")*--(_xlpm.total&gt;0)*--(_xlpm.readyCount=_xlpm.total))=COUNTIF(_xlpm.flag,"Yes"),_xlpm.core,AND($H22&lt;&gt;"",$I22&lt;&gt;"",$P22&lt;&gt;"",$Q22&lt;&gt;"",$R22&lt;&gt;"",$V22&lt;&gt;"",$V22&lt;&gt;"Not Created"),IF($S22&lt;&gt;"",IF(AND($S22&lt;=TODAY(),_xlpm.core,_xlpm.reqOK),"Completed","Incomplete"),IF($Q22="","Planned",IF(TODAY()&lt;$Q22,"Planned",IF($R22="","In Progress",IF(TODAY()&lt;=$R22,"In Progress","Overdue")))))))</f>
      </c>
      <c r="U22" s="86">
        <f t="shared" si="1"/>
      </c>
      <c r="V22" s="89" cm="1">
        <f t="array" ref="V22">IF($C22="","",IFERROR(_xlfn.LET(_xlpm.x,_xlfn.UNIQUE(_xlfn._xlws.FILTER('14. Recovery &amp; Response'!$B$5:$B$104,('14. Recovery &amp; Response'!$C$5:$C$104=$C22)*('14. Recovery &amp; Response'!$B$5:$B$104&lt;&gt;""))),_xlfn.TEXTJOIN(",",TRUE,_xlpm.x)),"Not Created"))</f>
      </c>
      <c r="W22" s="97"/>
    </row>
    <row r="23" spans="1:23" ht="15" x14ac:dyDescent="0.35">
      <c r="A23" s="92">
        <v>19</v>
      </c>
      <c r="B23" s="312"/>
      <c r="C23" s="85">
        <f t="shared" si="0"/>
      </c>
      <c r="D23" s="86" cm="1">
        <f t="array" ref="D23">IF($B23="","",IFERROR(_xlfn.XLOOKUP($B23,INDEX(RiskAssessment[],0,2),INDEX(RiskAssessment[],0,5),""),""))</f>
      </c>
      <c r="E23" s="87" cm="1">
        <f t="array" ref="E23">IF($B23="","",IFERROR(_xlfn.XLOOKUP($B23,INDEX(RiskAssessment[],0,2),INDEX(RiskAssessment[],0,7),""),""))</f>
      </c>
      <c r="F23" s="87" cm="1">
        <f t="array" ref="F23">IF($B23="","",IFERROR(_xlfn.XLOOKUP($B23,INDEX(RiskAssessment[],0,2),INDEX(RiskAssessment[],0,8),""),""))</f>
      </c>
      <c r="G23" s="174">
        <f>IF($B23="","",_xlfn.XLOOKUP($B23,'10. Risk Assessment'!$B$5:$B$34,'10. Risk Assessment'!$F$5:$F$34,""))</f>
      </c>
      <c r="H23" s="314"/>
      <c r="I23" s="97"/>
      <c r="J23" s="312"/>
      <c r="K23" s="312"/>
      <c r="L23" s="312"/>
      <c r="M23" s="312"/>
      <c r="N23" s="312"/>
      <c r="O23" s="312"/>
      <c r="P23" s="97"/>
      <c r="Q23" s="182"/>
      <c r="R23" s="182"/>
      <c r="S23" s="182"/>
      <c r="T23" s="86" cm="1">
        <f t="array" aca="1" ref="T23" ca="1">IF($B23="","",_xlfn.LET(_xlpm.flag,$J23:$O23,_xlpm.total,COUNTIFS('12. Requirements Register'!$C$5:$C$304,$C23,'12. Requirements Register'!$E$5:$E$304,$J$4:$O$4),_xlpm.readyCount,COUNTIFS('12. Requirements Register'!$C$5:$C$304,$C23,'12. Requirements Register'!$E$5:$E$304,$J$4:$O$4,'12. Requirements Register'!$L$5:$L$304,"Ready"),_xlpm.reqOK,SUM(--(_xlpm.flag="Yes")*--(_xlpm.total&gt;0)*--(_xlpm.readyCount=_xlpm.total))=COUNTIF(_xlpm.flag,"Yes"),_xlpm.core,AND($H23&lt;&gt;"",$I23&lt;&gt;"",$P23&lt;&gt;"",$Q23&lt;&gt;"",$R23&lt;&gt;"",$V23&lt;&gt;"",$V23&lt;&gt;"Not Created"),IF($S23&lt;&gt;"",IF(AND($S23&lt;=TODAY(),_xlpm.core,_xlpm.reqOK),"Completed","Incomplete"),IF($Q23="","Planned",IF(TODAY()&lt;$Q23,"Planned",IF($R23="","In Progress",IF(TODAY()&lt;=$R23,"In Progress","Overdue")))))))</f>
      </c>
      <c r="U23" s="86">
        <f t="shared" si="1"/>
      </c>
      <c r="V23" s="89" cm="1">
        <f t="array" ref="V23">IF($C23="","",IFERROR(_xlfn.LET(_xlpm.x,_xlfn.UNIQUE(_xlfn._xlws.FILTER('14. Recovery &amp; Response'!$B$5:$B$104,('14. Recovery &amp; Response'!$C$5:$C$104=$C23)*('14. Recovery &amp; Response'!$B$5:$B$104&lt;&gt;""))),_xlfn.TEXTJOIN(",",TRUE,_xlpm.x)),"Not Created"))</f>
      </c>
      <c r="W23" s="97"/>
    </row>
    <row r="24" spans="1:23" ht="15" x14ac:dyDescent="0.35">
      <c r="A24" s="92">
        <v>20</v>
      </c>
      <c r="B24" s="312"/>
      <c r="C24" s="85">
        <f t="shared" si="0"/>
      </c>
      <c r="D24" s="86" cm="1">
        <f t="array" ref="D24">IF($B24="","",IFERROR(_xlfn.XLOOKUP($B24,INDEX(RiskAssessment[],0,2),INDEX(RiskAssessment[],0,5),""),""))</f>
      </c>
      <c r="E24" s="87" cm="1">
        <f t="array" ref="E24">IF($B24="","",IFERROR(_xlfn.XLOOKUP($B24,INDEX(RiskAssessment[],0,2),INDEX(RiskAssessment[],0,7),""),""))</f>
      </c>
      <c r="F24" s="87" cm="1">
        <f t="array" ref="F24">IF($B24="","",IFERROR(_xlfn.XLOOKUP($B24,INDEX(RiskAssessment[],0,2),INDEX(RiskAssessment[],0,8),""),""))</f>
      </c>
      <c r="G24" s="174">
        <f>IF($B24="","",_xlfn.XLOOKUP($B24,'10. Risk Assessment'!$B$5:$B$34,'10. Risk Assessment'!$F$5:$F$34,""))</f>
      </c>
      <c r="H24" s="314"/>
      <c r="I24" s="97"/>
      <c r="J24" s="312"/>
      <c r="K24" s="312"/>
      <c r="L24" s="312"/>
      <c r="M24" s="312"/>
      <c r="N24" s="312"/>
      <c r="O24" s="312"/>
      <c r="P24" s="97"/>
      <c r="Q24" s="182"/>
      <c r="R24" s="182"/>
      <c r="S24" s="182"/>
      <c r="T24" s="86" cm="1">
        <f t="array" aca="1" ref="T24" ca="1">IF($B24="","",_xlfn.LET(_xlpm.flag,$J24:$O24,_xlpm.total,COUNTIFS('12. Requirements Register'!$C$5:$C$304,$C24,'12. Requirements Register'!$E$5:$E$304,$J$4:$O$4),_xlpm.readyCount,COUNTIFS('12. Requirements Register'!$C$5:$C$304,$C24,'12. Requirements Register'!$E$5:$E$304,$J$4:$O$4,'12. Requirements Register'!$L$5:$L$304,"Ready"),_xlpm.reqOK,SUM(--(_xlpm.flag="Yes")*--(_xlpm.total&gt;0)*--(_xlpm.readyCount=_xlpm.total))=COUNTIF(_xlpm.flag,"Yes"),_xlpm.core,AND($H24&lt;&gt;"",$I24&lt;&gt;"",$P24&lt;&gt;"",$Q24&lt;&gt;"",$R24&lt;&gt;"",$V24&lt;&gt;"",$V24&lt;&gt;"Not Created"),IF($S24&lt;&gt;"",IF(AND($S24&lt;=TODAY(),_xlpm.core,_xlpm.reqOK),"Completed","Incomplete"),IF($Q24="","Planned",IF(TODAY()&lt;$Q24,"Planned",IF($R24="","In Progress",IF(TODAY()&lt;=$R24,"In Progress","Overdue")))))))</f>
      </c>
      <c r="U24" s="86">
        <f t="shared" si="1"/>
      </c>
      <c r="V24" s="89" cm="1">
        <f t="array" ref="V24">IF($C24="","",IFERROR(_xlfn.LET(_xlpm.x,_xlfn.UNIQUE(_xlfn._xlws.FILTER('14. Recovery &amp; Response'!$B$5:$B$104,('14. Recovery &amp; Response'!$C$5:$C$104=$C24)*('14. Recovery &amp; Response'!$B$5:$B$104&lt;&gt;""))),_xlfn.TEXTJOIN(",",TRUE,_xlpm.x)),"Not Created"))</f>
      </c>
      <c r="W24" s="97"/>
    </row>
    <row r="25" spans="1:23" ht="15" x14ac:dyDescent="0.35">
      <c r="A25" s="92">
        <v>21</v>
      </c>
      <c r="B25" s="312"/>
      <c r="C25" s="85">
        <f t="shared" si="0"/>
      </c>
      <c r="D25" s="86" cm="1">
        <f t="array" ref="D25">IF($B25="","",IFERROR(_xlfn.XLOOKUP($B25,INDEX(RiskAssessment[],0,2),INDEX(RiskAssessment[],0,5),""),""))</f>
      </c>
      <c r="E25" s="87" cm="1">
        <f t="array" ref="E25">IF($B25="","",IFERROR(_xlfn.XLOOKUP($B25,INDEX(RiskAssessment[],0,2),INDEX(RiskAssessment[],0,7),""),""))</f>
      </c>
      <c r="F25" s="87" cm="1">
        <f t="array" ref="F25">IF($B25="","",IFERROR(_xlfn.XLOOKUP($B25,INDEX(RiskAssessment[],0,2),INDEX(RiskAssessment[],0,8),""),""))</f>
      </c>
      <c r="G25" s="174">
        <f>IF($B25="","",_xlfn.XLOOKUP($B25,'10. Risk Assessment'!$B$5:$B$34,'10. Risk Assessment'!$F$5:$F$34,""))</f>
      </c>
      <c r="H25" s="314"/>
      <c r="I25" s="97"/>
      <c r="J25" s="312"/>
      <c r="K25" s="312"/>
      <c r="L25" s="312"/>
      <c r="M25" s="312"/>
      <c r="N25" s="312"/>
      <c r="O25" s="312"/>
      <c r="P25" s="97"/>
      <c r="Q25" s="182"/>
      <c r="R25" s="182"/>
      <c r="S25" s="182"/>
      <c r="T25" s="86" cm="1">
        <f t="array" aca="1" ref="T25" ca="1">IF($B25="","",_xlfn.LET(_xlpm.flag,$J25:$O25,_xlpm.total,COUNTIFS('12. Requirements Register'!$C$5:$C$304,$C25,'12. Requirements Register'!$E$5:$E$304,$J$4:$O$4),_xlpm.readyCount,COUNTIFS('12. Requirements Register'!$C$5:$C$304,$C25,'12. Requirements Register'!$E$5:$E$304,$J$4:$O$4,'12. Requirements Register'!$L$5:$L$304,"Ready"),_xlpm.reqOK,SUM(--(_xlpm.flag="Yes")*--(_xlpm.total&gt;0)*--(_xlpm.readyCount=_xlpm.total))=COUNTIF(_xlpm.flag,"Yes"),_xlpm.core,AND($H25&lt;&gt;"",$I25&lt;&gt;"",$P25&lt;&gt;"",$Q25&lt;&gt;"",$R25&lt;&gt;"",$V25&lt;&gt;"",$V25&lt;&gt;"Not Created"),IF($S25&lt;&gt;"",IF(AND($S25&lt;=TODAY(),_xlpm.core,_xlpm.reqOK),"Completed","Incomplete"),IF($Q25="","Planned",IF(TODAY()&lt;$Q25,"Planned",IF($R25="","In Progress",IF(TODAY()&lt;=$R25,"In Progress","Overdue")))))))</f>
      </c>
      <c r="U25" s="86">
        <f t="shared" si="1"/>
      </c>
      <c r="V25" s="89" cm="1">
        <f t="array" ref="V25">IF($C25="","",IFERROR(_xlfn.LET(_xlpm.x,_xlfn.UNIQUE(_xlfn._xlws.FILTER('14. Recovery &amp; Response'!$B$5:$B$104,('14. Recovery &amp; Response'!$C$5:$C$104=$C25)*('14. Recovery &amp; Response'!$B$5:$B$104&lt;&gt;""))),_xlfn.TEXTJOIN(",",TRUE,_xlpm.x)),"Not Created"))</f>
      </c>
      <c r="W25" s="97"/>
    </row>
    <row r="26" spans="1:23" ht="15" x14ac:dyDescent="0.35">
      <c r="A26" s="92">
        <v>22</v>
      </c>
      <c r="B26" s="312"/>
      <c r="C26" s="85">
        <f t="shared" si="0"/>
      </c>
      <c r="D26" s="86" cm="1">
        <f t="array" ref="D26">IF($B26="","",IFERROR(_xlfn.XLOOKUP($B26,INDEX(RiskAssessment[],0,2),INDEX(RiskAssessment[],0,5),""),""))</f>
      </c>
      <c r="E26" s="87" cm="1">
        <f t="array" ref="E26">IF($B26="","",IFERROR(_xlfn.XLOOKUP($B26,INDEX(RiskAssessment[],0,2),INDEX(RiskAssessment[],0,7),""),""))</f>
      </c>
      <c r="F26" s="87" cm="1">
        <f t="array" ref="F26">IF($B26="","",IFERROR(_xlfn.XLOOKUP($B26,INDEX(RiskAssessment[],0,2),INDEX(RiskAssessment[],0,8),""),""))</f>
      </c>
      <c r="G26" s="174">
        <f>IF($B26="","",_xlfn.XLOOKUP($B26,'10. Risk Assessment'!$B$5:$B$34,'10. Risk Assessment'!$F$5:$F$34,""))</f>
      </c>
      <c r="H26" s="314"/>
      <c r="I26" s="97"/>
      <c r="J26" s="312"/>
      <c r="K26" s="312"/>
      <c r="L26" s="312"/>
      <c r="M26" s="312"/>
      <c r="N26" s="312"/>
      <c r="O26" s="312"/>
      <c r="P26" s="97"/>
      <c r="Q26" s="182"/>
      <c r="R26" s="182"/>
      <c r="S26" s="182"/>
      <c r="T26" s="86" cm="1">
        <f t="array" aca="1" ref="T26" ca="1">IF($B26="","",_xlfn.LET(_xlpm.flag,$J26:$O26,_xlpm.total,COUNTIFS('12. Requirements Register'!$C$5:$C$304,$C26,'12. Requirements Register'!$E$5:$E$304,$J$4:$O$4),_xlpm.readyCount,COUNTIFS('12. Requirements Register'!$C$5:$C$304,$C26,'12. Requirements Register'!$E$5:$E$304,$J$4:$O$4,'12. Requirements Register'!$L$5:$L$304,"Ready"),_xlpm.reqOK,SUM(--(_xlpm.flag="Yes")*--(_xlpm.total&gt;0)*--(_xlpm.readyCount=_xlpm.total))=COUNTIF(_xlpm.flag,"Yes"),_xlpm.core,AND($H26&lt;&gt;"",$I26&lt;&gt;"",$P26&lt;&gt;"",$Q26&lt;&gt;"",$R26&lt;&gt;"",$V26&lt;&gt;"",$V26&lt;&gt;"Not Created"),IF($S26&lt;&gt;"",IF(AND($S26&lt;=TODAY(),_xlpm.core,_xlpm.reqOK),"Completed","Incomplete"),IF($Q26="","Planned",IF(TODAY()&lt;$Q26,"Planned",IF($R26="","In Progress",IF(TODAY()&lt;=$R26,"In Progress","Overdue")))))))</f>
      </c>
      <c r="U26" s="86">
        <f t="shared" si="1"/>
      </c>
      <c r="V26" s="89" cm="1">
        <f t="array" ref="V26">IF($C26="","",IFERROR(_xlfn.LET(_xlpm.x,_xlfn.UNIQUE(_xlfn._xlws.FILTER('14. Recovery &amp; Response'!$B$5:$B$104,('14. Recovery &amp; Response'!$C$5:$C$104=$C26)*('14. Recovery &amp; Response'!$B$5:$B$104&lt;&gt;""))),_xlfn.TEXTJOIN(",",TRUE,_xlpm.x)),"Not Created"))</f>
      </c>
      <c r="W26" s="97"/>
    </row>
    <row r="27" spans="1:23" ht="15" x14ac:dyDescent="0.35">
      <c r="A27" s="92">
        <v>23</v>
      </c>
      <c r="B27" s="312"/>
      <c r="C27" s="85">
        <f t="shared" si="0"/>
      </c>
      <c r="D27" s="86" cm="1">
        <f t="array" ref="D27">IF($B27="","",IFERROR(_xlfn.XLOOKUP($B27,INDEX(RiskAssessment[],0,2),INDEX(RiskAssessment[],0,5),""),""))</f>
      </c>
      <c r="E27" s="87" cm="1">
        <f t="array" ref="E27">IF($B27="","",IFERROR(_xlfn.XLOOKUP($B27,INDEX(RiskAssessment[],0,2),INDEX(RiskAssessment[],0,7),""),""))</f>
      </c>
      <c r="F27" s="87" cm="1">
        <f t="array" ref="F27">IF($B27="","",IFERROR(_xlfn.XLOOKUP($B27,INDEX(RiskAssessment[],0,2),INDEX(RiskAssessment[],0,8),""),""))</f>
      </c>
      <c r="G27" s="174">
        <f>IF($B27="","",_xlfn.XLOOKUP($B27,'10. Risk Assessment'!$B$5:$B$34,'10. Risk Assessment'!$F$5:$F$34,""))</f>
      </c>
      <c r="H27" s="314"/>
      <c r="I27" s="97"/>
      <c r="J27" s="312"/>
      <c r="K27" s="312"/>
      <c r="L27" s="312"/>
      <c r="M27" s="312"/>
      <c r="N27" s="312"/>
      <c r="O27" s="312"/>
      <c r="P27" s="97"/>
      <c r="Q27" s="182"/>
      <c r="R27" s="182"/>
      <c r="S27" s="182"/>
      <c r="T27" s="86" cm="1">
        <f t="array" aca="1" ref="T27" ca="1">IF($B27="","",_xlfn.LET(_xlpm.flag,$J27:$O27,_xlpm.total,COUNTIFS('12. Requirements Register'!$C$5:$C$304,$C27,'12. Requirements Register'!$E$5:$E$304,$J$4:$O$4),_xlpm.readyCount,COUNTIFS('12. Requirements Register'!$C$5:$C$304,$C27,'12. Requirements Register'!$E$5:$E$304,$J$4:$O$4,'12. Requirements Register'!$L$5:$L$304,"Ready"),_xlpm.reqOK,SUM(--(_xlpm.flag="Yes")*--(_xlpm.total&gt;0)*--(_xlpm.readyCount=_xlpm.total))=COUNTIF(_xlpm.flag,"Yes"),_xlpm.core,AND($H27&lt;&gt;"",$I27&lt;&gt;"",$P27&lt;&gt;"",$Q27&lt;&gt;"",$R27&lt;&gt;"",$V27&lt;&gt;"",$V27&lt;&gt;"Not Created"),IF($S27&lt;&gt;"",IF(AND($S27&lt;=TODAY(),_xlpm.core,_xlpm.reqOK),"Completed","Incomplete"),IF($Q27="","Planned",IF(TODAY()&lt;$Q27,"Planned",IF($R27="","In Progress",IF(TODAY()&lt;=$R27,"In Progress","Overdue")))))))</f>
      </c>
      <c r="U27" s="86">
        <f t="shared" si="1"/>
      </c>
      <c r="V27" s="89" cm="1">
        <f t="array" ref="V27">IF($C27="","",IFERROR(_xlfn.LET(_xlpm.x,_xlfn.UNIQUE(_xlfn._xlws.FILTER('14. Recovery &amp; Response'!$B$5:$B$104,('14. Recovery &amp; Response'!$C$5:$C$104=$C27)*('14. Recovery &amp; Response'!$B$5:$B$104&lt;&gt;""))),_xlfn.TEXTJOIN(",",TRUE,_xlpm.x)),"Not Created"))</f>
      </c>
      <c r="W27" s="97"/>
    </row>
    <row r="28" spans="1:23" ht="15" x14ac:dyDescent="0.35">
      <c r="A28" s="92">
        <v>24</v>
      </c>
      <c r="B28" s="312"/>
      <c r="C28" s="85">
        <f t="shared" si="0"/>
      </c>
      <c r="D28" s="86" cm="1">
        <f t="array" ref="D28">IF($B28="","",IFERROR(_xlfn.XLOOKUP($B28,INDEX(RiskAssessment[],0,2),INDEX(RiskAssessment[],0,5),""),""))</f>
      </c>
      <c r="E28" s="87" cm="1">
        <f t="array" ref="E28">IF($B28="","",IFERROR(_xlfn.XLOOKUP($B28,INDEX(RiskAssessment[],0,2),INDEX(RiskAssessment[],0,7),""),""))</f>
      </c>
      <c r="F28" s="87" cm="1">
        <f t="array" ref="F28">IF($B28="","",IFERROR(_xlfn.XLOOKUP($B28,INDEX(RiskAssessment[],0,2),INDEX(RiskAssessment[],0,8),""),""))</f>
      </c>
      <c r="G28" s="174">
        <f>IF($B28="","",_xlfn.XLOOKUP($B28,'10. Risk Assessment'!$B$5:$B$34,'10. Risk Assessment'!$F$5:$F$34,""))</f>
      </c>
      <c r="H28" s="314"/>
      <c r="I28" s="97"/>
      <c r="J28" s="312"/>
      <c r="K28" s="312"/>
      <c r="L28" s="312"/>
      <c r="M28" s="312"/>
      <c r="N28" s="312"/>
      <c r="O28" s="312"/>
      <c r="P28" s="97"/>
      <c r="Q28" s="182"/>
      <c r="R28" s="182"/>
      <c r="S28" s="182"/>
      <c r="T28" s="86" cm="1">
        <f t="array" aca="1" ref="T28" ca="1">IF($B28="","",_xlfn.LET(_xlpm.flag,$J28:$O28,_xlpm.total,COUNTIFS('12. Requirements Register'!$C$5:$C$304,$C28,'12. Requirements Register'!$E$5:$E$304,$J$4:$O$4),_xlpm.readyCount,COUNTIFS('12. Requirements Register'!$C$5:$C$304,$C28,'12. Requirements Register'!$E$5:$E$304,$J$4:$O$4,'12. Requirements Register'!$L$5:$L$304,"Ready"),_xlpm.reqOK,SUM(--(_xlpm.flag="Yes")*--(_xlpm.total&gt;0)*--(_xlpm.readyCount=_xlpm.total))=COUNTIF(_xlpm.flag,"Yes"),_xlpm.core,AND($H28&lt;&gt;"",$I28&lt;&gt;"",$P28&lt;&gt;"",$Q28&lt;&gt;"",$R28&lt;&gt;"",$V28&lt;&gt;"",$V28&lt;&gt;"Not Created"),IF($S28&lt;&gt;"",IF(AND($S28&lt;=TODAY(),_xlpm.core,_xlpm.reqOK),"Completed","Incomplete"),IF($Q28="","Planned",IF(TODAY()&lt;$Q28,"Planned",IF($R28="","In Progress",IF(TODAY()&lt;=$R28,"In Progress","Overdue")))))))</f>
      </c>
      <c r="U28" s="86">
        <f t="shared" si="1"/>
      </c>
      <c r="V28" s="89" cm="1">
        <f t="array" ref="V28">IF($C28="","",IFERROR(_xlfn.LET(_xlpm.x,_xlfn.UNIQUE(_xlfn._xlws.FILTER('14. Recovery &amp; Response'!$B$5:$B$104,('14. Recovery &amp; Response'!$C$5:$C$104=$C28)*('14. Recovery &amp; Response'!$B$5:$B$104&lt;&gt;""))),_xlfn.TEXTJOIN(",",TRUE,_xlpm.x)),"Not Created"))</f>
      </c>
      <c r="W28" s="97"/>
    </row>
    <row r="29" spans="1:23" ht="15" x14ac:dyDescent="0.35">
      <c r="A29" s="92">
        <v>25</v>
      </c>
      <c r="B29" s="312"/>
      <c r="C29" s="85">
        <f t="shared" si="0"/>
      </c>
      <c r="D29" s="86" cm="1">
        <f t="array" ref="D29">IF($B29="","",IFERROR(_xlfn.XLOOKUP($B29,INDEX(RiskAssessment[],0,2),INDEX(RiskAssessment[],0,5),""),""))</f>
      </c>
      <c r="E29" s="87" cm="1">
        <f t="array" ref="E29">IF($B29="","",IFERROR(_xlfn.XLOOKUP($B29,INDEX(RiskAssessment[],0,2),INDEX(RiskAssessment[],0,7),""),""))</f>
      </c>
      <c r="F29" s="87" cm="1">
        <f t="array" ref="F29">IF($B29="","",IFERROR(_xlfn.XLOOKUP($B29,INDEX(RiskAssessment[],0,2),INDEX(RiskAssessment[],0,8),""),""))</f>
      </c>
      <c r="G29" s="174">
        <f>IF($B29="","",_xlfn.XLOOKUP($B29,'10. Risk Assessment'!$B$5:$B$34,'10. Risk Assessment'!$F$5:$F$34,""))</f>
      </c>
      <c r="H29" s="314"/>
      <c r="I29" s="97"/>
      <c r="J29" s="312"/>
      <c r="K29" s="312"/>
      <c r="L29" s="312"/>
      <c r="M29" s="312"/>
      <c r="N29" s="312"/>
      <c r="O29" s="312"/>
      <c r="P29" s="97"/>
      <c r="Q29" s="182"/>
      <c r="R29" s="182"/>
      <c r="S29" s="182"/>
      <c r="T29" s="86" cm="1">
        <f t="array" aca="1" ref="T29" ca="1">IF($B29="","",_xlfn.LET(_xlpm.flag,$J29:$O29,_xlpm.total,COUNTIFS('12. Requirements Register'!$C$5:$C$304,$C29,'12. Requirements Register'!$E$5:$E$304,$J$4:$O$4),_xlpm.readyCount,COUNTIFS('12. Requirements Register'!$C$5:$C$304,$C29,'12. Requirements Register'!$E$5:$E$304,$J$4:$O$4,'12. Requirements Register'!$L$5:$L$304,"Ready"),_xlpm.reqOK,SUM(--(_xlpm.flag="Yes")*--(_xlpm.total&gt;0)*--(_xlpm.readyCount=_xlpm.total))=COUNTIF(_xlpm.flag,"Yes"),_xlpm.core,AND($H29&lt;&gt;"",$I29&lt;&gt;"",$P29&lt;&gt;"",$Q29&lt;&gt;"",$R29&lt;&gt;"",$V29&lt;&gt;"",$V29&lt;&gt;"Not Created"),IF($S29&lt;&gt;"",IF(AND($S29&lt;=TODAY(),_xlpm.core,_xlpm.reqOK),"Completed","Incomplete"),IF($Q29="","Planned",IF(TODAY()&lt;$Q29,"Planned",IF($R29="","In Progress",IF(TODAY()&lt;=$R29,"In Progress","Overdue")))))))</f>
      </c>
      <c r="U29" s="86">
        <f t="shared" si="1"/>
      </c>
      <c r="V29" s="89" cm="1">
        <f t="array" ref="V29">IF($C29="","",IFERROR(_xlfn.LET(_xlpm.x,_xlfn.UNIQUE(_xlfn._xlws.FILTER('14. Recovery &amp; Response'!$B$5:$B$104,('14. Recovery &amp; Response'!$C$5:$C$104=$C29)*('14. Recovery &amp; Response'!$B$5:$B$104&lt;&gt;""))),_xlfn.TEXTJOIN(",",TRUE,_xlpm.x)),"Not Created"))</f>
      </c>
      <c r="W29" s="97"/>
    </row>
    <row r="30" spans="1:23" ht="15" x14ac:dyDescent="0.35">
      <c r="A30" s="92">
        <v>26</v>
      </c>
      <c r="B30" s="312"/>
      <c r="C30" s="85">
        <f t="shared" si="0"/>
      </c>
      <c r="D30" s="86" cm="1">
        <f t="array" ref="D30">IF($B30="","",IFERROR(_xlfn.XLOOKUP($B30,INDEX(RiskAssessment[],0,2),INDEX(RiskAssessment[],0,5),""),""))</f>
      </c>
      <c r="E30" s="87" cm="1">
        <f t="array" ref="E30">IF($B30="","",IFERROR(_xlfn.XLOOKUP($B30,INDEX(RiskAssessment[],0,2),INDEX(RiskAssessment[],0,7),""),""))</f>
      </c>
      <c r="F30" s="87" cm="1">
        <f t="array" ref="F30">IF($B30="","",IFERROR(_xlfn.XLOOKUP($B30,INDEX(RiskAssessment[],0,2),INDEX(RiskAssessment[],0,8),""),""))</f>
      </c>
      <c r="G30" s="174">
        <f>IF($B30="","",_xlfn.XLOOKUP($B30,'10. Risk Assessment'!$B$5:$B$34,'10. Risk Assessment'!$F$5:$F$34,""))</f>
      </c>
      <c r="H30" s="314"/>
      <c r="I30" s="97"/>
      <c r="J30" s="312"/>
      <c r="K30" s="312"/>
      <c r="L30" s="312"/>
      <c r="M30" s="312"/>
      <c r="N30" s="312"/>
      <c r="O30" s="312"/>
      <c r="P30" s="97"/>
      <c r="Q30" s="182"/>
      <c r="R30" s="182"/>
      <c r="S30" s="182"/>
      <c r="T30" s="86" cm="1">
        <f t="array" aca="1" ref="T30" ca="1">IF($B30="","",_xlfn.LET(_xlpm.flag,$J30:$O30,_xlpm.total,COUNTIFS('12. Requirements Register'!$C$5:$C$304,$C30,'12. Requirements Register'!$E$5:$E$304,$J$4:$O$4),_xlpm.readyCount,COUNTIFS('12. Requirements Register'!$C$5:$C$304,$C30,'12. Requirements Register'!$E$5:$E$304,$J$4:$O$4,'12. Requirements Register'!$L$5:$L$304,"Ready"),_xlpm.reqOK,SUM(--(_xlpm.flag="Yes")*--(_xlpm.total&gt;0)*--(_xlpm.readyCount=_xlpm.total))=COUNTIF(_xlpm.flag,"Yes"),_xlpm.core,AND($H30&lt;&gt;"",$I30&lt;&gt;"",$P30&lt;&gt;"",$Q30&lt;&gt;"",$R30&lt;&gt;"",$V30&lt;&gt;"",$V30&lt;&gt;"Not Created"),IF($S30&lt;&gt;"",IF(AND($S30&lt;=TODAY(),_xlpm.core,_xlpm.reqOK),"Completed","Incomplete"),IF($Q30="","Planned",IF(TODAY()&lt;$Q30,"Planned",IF($R30="","In Progress",IF(TODAY()&lt;=$R30,"In Progress","Overdue")))))))</f>
      </c>
      <c r="U30" s="86">
        <f t="shared" si="1"/>
      </c>
      <c r="V30" s="89" cm="1">
        <f t="array" ref="V30">IF($C30="","",IFERROR(_xlfn.LET(_xlpm.x,_xlfn.UNIQUE(_xlfn._xlws.FILTER('14. Recovery &amp; Response'!$B$5:$B$104,('14. Recovery &amp; Response'!$C$5:$C$104=$C30)*('14. Recovery &amp; Response'!$B$5:$B$104&lt;&gt;""))),_xlfn.TEXTJOIN(",",TRUE,_xlpm.x)),"Not Created"))</f>
      </c>
      <c r="W30" s="97"/>
    </row>
    <row r="31" spans="1:23" ht="15" x14ac:dyDescent="0.35">
      <c r="A31" s="92">
        <v>27</v>
      </c>
      <c r="B31" s="312"/>
      <c r="C31" s="85">
        <f t="shared" si="0"/>
      </c>
      <c r="D31" s="86" cm="1">
        <f t="array" ref="D31">IF($B31="","",IFERROR(_xlfn.XLOOKUP($B31,INDEX(RiskAssessment[],0,2),INDEX(RiskAssessment[],0,5),""),""))</f>
      </c>
      <c r="E31" s="87" cm="1">
        <f t="array" ref="E31">IF($B31="","",IFERROR(_xlfn.XLOOKUP($B31,INDEX(RiskAssessment[],0,2),INDEX(RiskAssessment[],0,7),""),""))</f>
      </c>
      <c r="F31" s="87" cm="1">
        <f t="array" ref="F31">IF($B31="","",IFERROR(_xlfn.XLOOKUP($B31,INDEX(RiskAssessment[],0,2),INDEX(RiskAssessment[],0,8),""),""))</f>
      </c>
      <c r="G31" s="174">
        <f>IF($B31="","",_xlfn.XLOOKUP($B31,'10. Risk Assessment'!$B$5:$B$34,'10. Risk Assessment'!$F$5:$F$34,""))</f>
      </c>
      <c r="H31" s="314"/>
      <c r="I31" s="97"/>
      <c r="J31" s="312"/>
      <c r="K31" s="312"/>
      <c r="L31" s="312"/>
      <c r="M31" s="312"/>
      <c r="N31" s="312"/>
      <c r="O31" s="312"/>
      <c r="P31" s="97"/>
      <c r="Q31" s="182"/>
      <c r="R31" s="182"/>
      <c r="S31" s="182"/>
      <c r="T31" s="86" cm="1">
        <f t="array" aca="1" ref="T31" ca="1">IF($B31="","",_xlfn.LET(_xlpm.flag,$J31:$O31,_xlpm.total,COUNTIFS('12. Requirements Register'!$C$5:$C$304,$C31,'12. Requirements Register'!$E$5:$E$304,$J$4:$O$4),_xlpm.readyCount,COUNTIFS('12. Requirements Register'!$C$5:$C$304,$C31,'12. Requirements Register'!$E$5:$E$304,$J$4:$O$4,'12. Requirements Register'!$L$5:$L$304,"Ready"),_xlpm.reqOK,SUM(--(_xlpm.flag="Yes")*--(_xlpm.total&gt;0)*--(_xlpm.readyCount=_xlpm.total))=COUNTIF(_xlpm.flag,"Yes"),_xlpm.core,AND($H31&lt;&gt;"",$I31&lt;&gt;"",$P31&lt;&gt;"",$Q31&lt;&gt;"",$R31&lt;&gt;"",$V31&lt;&gt;"",$V31&lt;&gt;"Not Created"),IF($S31&lt;&gt;"",IF(AND($S31&lt;=TODAY(),_xlpm.core,_xlpm.reqOK),"Completed","Incomplete"),IF($Q31="","Planned",IF(TODAY()&lt;$Q31,"Planned",IF($R31="","In Progress",IF(TODAY()&lt;=$R31,"In Progress","Overdue")))))))</f>
      </c>
      <c r="U31" s="86">
        <f t="shared" si="1"/>
      </c>
      <c r="V31" s="89" cm="1">
        <f t="array" ref="V31">IF($C31="","",IFERROR(_xlfn.LET(_xlpm.x,_xlfn.UNIQUE(_xlfn._xlws.FILTER('14. Recovery &amp; Response'!$B$5:$B$104,('14. Recovery &amp; Response'!$C$5:$C$104=$C31)*('14. Recovery &amp; Response'!$B$5:$B$104&lt;&gt;""))),_xlfn.TEXTJOIN(",",TRUE,_xlpm.x)),"Not Created"))</f>
      </c>
      <c r="W31" s="97"/>
    </row>
    <row r="32" spans="1:23" ht="15" x14ac:dyDescent="0.35">
      <c r="A32" s="92">
        <v>28</v>
      </c>
      <c r="B32" s="312"/>
      <c r="C32" s="85">
        <f t="shared" si="0"/>
      </c>
      <c r="D32" s="86" cm="1">
        <f t="array" ref="D32">IF($B32="","",IFERROR(_xlfn.XLOOKUP($B32,INDEX(RiskAssessment[],0,2),INDEX(RiskAssessment[],0,5),""),""))</f>
      </c>
      <c r="E32" s="87" cm="1">
        <f t="array" ref="E32">IF($B32="","",IFERROR(_xlfn.XLOOKUP($B32,INDEX(RiskAssessment[],0,2),INDEX(RiskAssessment[],0,7),""),""))</f>
      </c>
      <c r="F32" s="87" cm="1">
        <f t="array" ref="F32">IF($B32="","",IFERROR(_xlfn.XLOOKUP($B32,INDEX(RiskAssessment[],0,2),INDEX(RiskAssessment[],0,8),""),""))</f>
      </c>
      <c r="G32" s="174">
        <f>IF($B32="","",_xlfn.XLOOKUP($B32,'10. Risk Assessment'!$B$5:$B$34,'10. Risk Assessment'!$F$5:$F$34,""))</f>
      </c>
      <c r="H32" s="314"/>
      <c r="I32" s="97"/>
      <c r="J32" s="312"/>
      <c r="K32" s="312"/>
      <c r="L32" s="312"/>
      <c r="M32" s="312"/>
      <c r="N32" s="312"/>
      <c r="O32" s="312"/>
      <c r="P32" s="97"/>
      <c r="Q32" s="182"/>
      <c r="R32" s="182"/>
      <c r="S32" s="182"/>
      <c r="T32" s="86" cm="1">
        <f t="array" aca="1" ref="T32" ca="1">IF($B32="","",_xlfn.LET(_xlpm.flag,$J32:$O32,_xlpm.total,COUNTIFS('12. Requirements Register'!$C$5:$C$304,$C32,'12. Requirements Register'!$E$5:$E$304,$J$4:$O$4),_xlpm.readyCount,COUNTIFS('12. Requirements Register'!$C$5:$C$304,$C32,'12. Requirements Register'!$E$5:$E$304,$J$4:$O$4,'12. Requirements Register'!$L$5:$L$304,"Ready"),_xlpm.reqOK,SUM(--(_xlpm.flag="Yes")*--(_xlpm.total&gt;0)*--(_xlpm.readyCount=_xlpm.total))=COUNTIF(_xlpm.flag,"Yes"),_xlpm.core,AND($H32&lt;&gt;"",$I32&lt;&gt;"",$P32&lt;&gt;"",$Q32&lt;&gt;"",$R32&lt;&gt;"",$V32&lt;&gt;"",$V32&lt;&gt;"Not Created"),IF($S32&lt;&gt;"",IF(AND($S32&lt;=TODAY(),_xlpm.core,_xlpm.reqOK),"Completed","Incomplete"),IF($Q32="","Planned",IF(TODAY()&lt;$Q32,"Planned",IF($R32="","In Progress",IF(TODAY()&lt;=$R32,"In Progress","Overdue")))))))</f>
      </c>
      <c r="U32" s="86">
        <f t="shared" si="1"/>
      </c>
      <c r="V32" s="89" cm="1">
        <f t="array" ref="V32">IF($C32="","",IFERROR(_xlfn.LET(_xlpm.x,_xlfn.UNIQUE(_xlfn._xlws.FILTER('14. Recovery &amp; Response'!$B$5:$B$104,('14. Recovery &amp; Response'!$C$5:$C$104=$C32)*('14. Recovery &amp; Response'!$B$5:$B$104&lt;&gt;""))),_xlfn.TEXTJOIN(",",TRUE,_xlpm.x)),"Not Created"))</f>
      </c>
      <c r="W32" s="97"/>
    </row>
    <row r="33" spans="1:23" ht="15" x14ac:dyDescent="0.35">
      <c r="A33" s="92">
        <v>29</v>
      </c>
      <c r="B33" s="313"/>
      <c r="C33" s="85">
        <f t="shared" si="0"/>
      </c>
      <c r="D33" s="86" cm="1">
        <f t="array" ref="D33">IF($B33="","",IFERROR(_xlfn.XLOOKUP($B33,INDEX(RiskAssessment[],0,2),INDEX(RiskAssessment[],0,5),""),""))</f>
      </c>
      <c r="E33" s="87" cm="1">
        <f t="array" ref="E33">IF($B33="","",IFERROR(_xlfn.XLOOKUP($B33,INDEX(RiskAssessment[],0,2),INDEX(RiskAssessment[],0,7),""),""))</f>
      </c>
      <c r="F33" s="87" cm="1">
        <f t="array" ref="F33">IF($B33="","",IFERROR(_xlfn.XLOOKUP($B33,INDEX(RiskAssessment[],0,2),INDEX(RiskAssessment[],0,8),""),""))</f>
      </c>
      <c r="G33" s="174">
        <f>IF($B33="","",_xlfn.XLOOKUP($B33,'10. Risk Assessment'!$B$5:$B$34,'10. Risk Assessment'!$F$5:$F$34,""))</f>
      </c>
      <c r="H33" s="315"/>
      <c r="I33" s="97"/>
      <c r="J33" s="313"/>
      <c r="K33" s="313"/>
      <c r="L33" s="313"/>
      <c r="M33" s="313"/>
      <c r="N33" s="313"/>
      <c r="O33" s="313"/>
      <c r="P33" s="97"/>
      <c r="Q33" s="182"/>
      <c r="R33" s="182"/>
      <c r="S33" s="182"/>
      <c r="T33" s="86" cm="1">
        <f t="array" aca="1" ref="T33" ca="1">IF($B33="","",_xlfn.LET(_xlpm.flag,$J33:$O33,_xlpm.total,COUNTIFS('12. Requirements Register'!$C$5:$C$304,$C33,'12. Requirements Register'!$E$5:$E$304,$J$4:$O$4),_xlpm.readyCount,COUNTIFS('12. Requirements Register'!$C$5:$C$304,$C33,'12. Requirements Register'!$E$5:$E$304,$J$4:$O$4,'12. Requirements Register'!$L$5:$L$304,"Ready"),_xlpm.reqOK,SUM(--(_xlpm.flag="Yes")*--(_xlpm.total&gt;0)*--(_xlpm.readyCount=_xlpm.total))=COUNTIF(_xlpm.flag,"Yes"),_xlpm.core,AND($H33&lt;&gt;"",$I33&lt;&gt;"",$P33&lt;&gt;"",$Q33&lt;&gt;"",$R33&lt;&gt;"",$V33&lt;&gt;"",$V33&lt;&gt;"Not Created"),IF($S33&lt;&gt;"",IF(AND($S33&lt;=TODAY(),_xlpm.core,_xlpm.reqOK),"Completed","Incomplete"),IF($Q33="","Planned",IF(TODAY()&lt;$Q33,"Planned",IF($R33="","In Progress",IF(TODAY()&lt;=$R33,"In Progress","Overdue")))))))</f>
      </c>
      <c r="U33" s="86">
        <f t="shared" si="1"/>
      </c>
      <c r="V33" s="89" cm="1">
        <f t="array" ref="V33">IF($C33="","",IFERROR(_xlfn.LET(_xlpm.x,_xlfn.UNIQUE(_xlfn._xlws.FILTER('14. Recovery &amp; Response'!$B$5:$B$104,('14. Recovery &amp; Response'!$C$5:$C$104=$C33)*('14. Recovery &amp; Response'!$B$5:$B$104&lt;&gt;""))),_xlfn.TEXTJOIN(",",TRUE,_xlpm.x)),"Not Created"))</f>
      </c>
      <c r="W33" s="97"/>
    </row>
    <row r="34" spans="1:23" ht="15" x14ac:dyDescent="0.35">
      <c r="A34" s="92">
        <v>30</v>
      </c>
      <c r="B34" s="313"/>
      <c r="C34" s="85">
        <f t="shared" si="0"/>
      </c>
      <c r="D34" s="86" cm="1">
        <f t="array" ref="D34">IF($B34="","",IFERROR(_xlfn.XLOOKUP($B34,INDEX(RiskAssessment[],0,2),INDEX(RiskAssessment[],0,5),""),""))</f>
      </c>
      <c r="E34" s="87" cm="1">
        <f t="array" ref="E34">IF($B34="","",IFERROR(_xlfn.XLOOKUP($B34,INDEX(RiskAssessment[],0,2),INDEX(RiskAssessment[],0,7),""),""))</f>
      </c>
      <c r="F34" s="87" cm="1">
        <f t="array" ref="F34">IF($B34="","",IFERROR(_xlfn.XLOOKUP($B34,INDEX(RiskAssessment[],0,2),INDEX(RiskAssessment[],0,8),""),""))</f>
      </c>
      <c r="G34" s="174">
        <f>IF($B34="","",_xlfn.XLOOKUP($B34,'10. Risk Assessment'!$B$5:$B$34,'10. Risk Assessment'!$F$5:$F$34,""))</f>
      </c>
      <c r="H34" s="315"/>
      <c r="I34" s="97"/>
      <c r="J34" s="313"/>
      <c r="K34" s="313"/>
      <c r="L34" s="313"/>
      <c r="M34" s="313"/>
      <c r="N34" s="313"/>
      <c r="O34" s="313"/>
      <c r="P34" s="97"/>
      <c r="Q34" s="182"/>
      <c r="R34" s="182"/>
      <c r="S34" s="182"/>
      <c r="T34" s="86" cm="1">
        <f t="array" aca="1" ref="T34" ca="1">IF($B34="","",_xlfn.LET(_xlpm.flag,$J34:$O34,_xlpm.total,COUNTIFS('12. Requirements Register'!$C$5:$C$304,$C34,'12. Requirements Register'!$E$5:$E$304,$J$4:$O$4),_xlpm.readyCount,COUNTIFS('12. Requirements Register'!$C$5:$C$304,$C34,'12. Requirements Register'!$E$5:$E$304,$J$4:$O$4,'12. Requirements Register'!$L$5:$L$304,"Ready"),_xlpm.reqOK,SUM(--(_xlpm.flag="Yes")*--(_xlpm.total&gt;0)*--(_xlpm.readyCount=_xlpm.total))=COUNTIF(_xlpm.flag,"Yes"),_xlpm.core,AND($H34&lt;&gt;"",$I34&lt;&gt;"",$P34&lt;&gt;"",$Q34&lt;&gt;"",$R34&lt;&gt;"",$V34&lt;&gt;"",$V34&lt;&gt;"Not Created"),IF($S34&lt;&gt;"",IF(AND($S34&lt;=TODAY(),_xlpm.core,_xlpm.reqOK),"Completed","Incomplete"),IF($Q34="","Planned",IF(TODAY()&lt;$Q34,"Planned",IF($R34="","In Progress",IF(TODAY()&lt;=$R34,"In Progress","Overdue")))))))</f>
      </c>
      <c r="U34" s="86">
        <f t="shared" si="1"/>
      </c>
      <c r="V34" s="89" cm="1">
        <f t="array" ref="V34">IF($C34="","",IFERROR(_xlfn.LET(_xlpm.x,_xlfn.UNIQUE(_xlfn._xlws.FILTER('14. Recovery &amp; Response'!$B$5:$B$104,('14. Recovery &amp; Response'!$C$5:$C$104=$C34)*('14. Recovery &amp; Response'!$B$5:$B$104&lt;&gt;""))),_xlfn.TEXTJOIN(",",TRUE,_xlpm.x)),"Not Created"))</f>
      </c>
      <c r="W34" s="97"/>
    </row>
    <row r="35" spans="1:23" ht="15" x14ac:dyDescent="0.35">
      <c r="A35" s="92">
        <v>31</v>
      </c>
      <c r="B35" s="313"/>
      <c r="C35" s="85">
        <f t="shared" si="0"/>
      </c>
      <c r="D35" s="86" cm="1">
        <f t="array" ref="D35">IF($B35="","",IFERROR(_xlfn.XLOOKUP($B35,INDEX(RiskAssessment[],0,2),INDEX(RiskAssessment[],0,5),""),""))</f>
      </c>
      <c r="E35" s="87" cm="1">
        <f t="array" ref="E35">IF($B35="","",IFERROR(_xlfn.XLOOKUP($B35,INDEX(RiskAssessment[],0,2),INDEX(RiskAssessment[],0,7),""),""))</f>
      </c>
      <c r="F35" s="87" cm="1">
        <f t="array" ref="F35">IF($B35="","",IFERROR(_xlfn.XLOOKUP($B35,INDEX(RiskAssessment[],0,2),INDEX(RiskAssessment[],0,8),""),""))</f>
      </c>
      <c r="G35" s="174">
        <f>IF($B35="","",_xlfn.XLOOKUP($B35,'10. Risk Assessment'!$B$5:$B$34,'10. Risk Assessment'!$F$5:$F$34,""))</f>
      </c>
      <c r="H35" s="315"/>
      <c r="I35" s="97"/>
      <c r="J35" s="313"/>
      <c r="K35" s="313"/>
      <c r="L35" s="313"/>
      <c r="M35" s="313"/>
      <c r="N35" s="313"/>
      <c r="O35" s="313"/>
      <c r="P35" s="97"/>
      <c r="Q35" s="182"/>
      <c r="R35" s="182"/>
      <c r="S35" s="182"/>
      <c r="T35" s="86" cm="1">
        <f t="array" aca="1" ref="T35" ca="1">IF($B35="","",_xlfn.LET(_xlpm.flag,$J35:$O35,_xlpm.total,COUNTIFS('12. Requirements Register'!$C$5:$C$304,$C35,'12. Requirements Register'!$E$5:$E$304,$J$4:$O$4),_xlpm.readyCount,COUNTIFS('12. Requirements Register'!$C$5:$C$304,$C35,'12. Requirements Register'!$E$5:$E$304,$J$4:$O$4,'12. Requirements Register'!$L$5:$L$304,"Ready"),_xlpm.reqOK,SUM(--(_xlpm.flag="Yes")*--(_xlpm.total&gt;0)*--(_xlpm.readyCount=_xlpm.total))=COUNTIF(_xlpm.flag,"Yes"),_xlpm.core,AND($H35&lt;&gt;"",$I35&lt;&gt;"",$P35&lt;&gt;"",$Q35&lt;&gt;"",$R35&lt;&gt;"",$V35&lt;&gt;"",$V35&lt;&gt;"Not Created"),IF($S35&lt;&gt;"",IF(AND($S35&lt;=TODAY(),_xlpm.core,_xlpm.reqOK),"Completed","Incomplete"),IF($Q35="","Planned",IF(TODAY()&lt;$Q35,"Planned",IF($R35="","In Progress",IF(TODAY()&lt;=$R35,"In Progress","Overdue")))))))</f>
      </c>
      <c r="U35" s="86">
        <f t="shared" si="1"/>
      </c>
      <c r="V35" s="89" cm="1">
        <f t="array" ref="V35">IF($C35="","",IFERROR(_xlfn.LET(_xlpm.x,_xlfn.UNIQUE(_xlfn._xlws.FILTER('14. Recovery &amp; Response'!$B$5:$B$104,('14. Recovery &amp; Response'!$C$5:$C$104=$C35)*('14. Recovery &amp; Response'!$B$5:$B$104&lt;&gt;""))),_xlfn.TEXTJOIN(",",TRUE,_xlpm.x)),"Not Created"))</f>
      </c>
      <c r="W35" s="97"/>
    </row>
    <row r="36" spans="1:23" ht="15" x14ac:dyDescent="0.35">
      <c r="A36" s="92">
        <v>32</v>
      </c>
      <c r="B36" s="313"/>
      <c r="C36" s="85">
        <f t="shared" si="0"/>
      </c>
      <c r="D36" s="86" cm="1">
        <f t="array" ref="D36">IF($B36="","",IFERROR(_xlfn.XLOOKUP($B36,INDEX(RiskAssessment[],0,2),INDEX(RiskAssessment[],0,5),""),""))</f>
      </c>
      <c r="E36" s="87" cm="1">
        <f t="array" ref="E36">IF($B36="","",IFERROR(_xlfn.XLOOKUP($B36,INDEX(RiskAssessment[],0,2),INDEX(RiskAssessment[],0,7),""),""))</f>
      </c>
      <c r="F36" s="87" cm="1">
        <f t="array" ref="F36">IF($B36="","",IFERROR(_xlfn.XLOOKUP($B36,INDEX(RiskAssessment[],0,2),INDEX(RiskAssessment[],0,8),""),""))</f>
      </c>
      <c r="G36" s="174">
        <f>IF($B36="","",_xlfn.XLOOKUP($B36,'10. Risk Assessment'!$B$5:$B$34,'10. Risk Assessment'!$F$5:$F$34,""))</f>
      </c>
      <c r="H36" s="315"/>
      <c r="I36" s="97"/>
      <c r="J36" s="313"/>
      <c r="K36" s="313"/>
      <c r="L36" s="313"/>
      <c r="M36" s="313"/>
      <c r="N36" s="313"/>
      <c r="O36" s="313"/>
      <c r="P36" s="97"/>
      <c r="Q36" s="182"/>
      <c r="R36" s="182"/>
      <c r="S36" s="182"/>
      <c r="T36" s="86" cm="1">
        <f t="array" aca="1" ref="T36" ca="1">IF($B36="","",_xlfn.LET(_xlpm.flag,$J36:$O36,_xlpm.total,COUNTIFS('12. Requirements Register'!$C$5:$C$304,$C36,'12. Requirements Register'!$E$5:$E$304,$J$4:$O$4),_xlpm.readyCount,COUNTIFS('12. Requirements Register'!$C$5:$C$304,$C36,'12. Requirements Register'!$E$5:$E$304,$J$4:$O$4,'12. Requirements Register'!$L$5:$L$304,"Ready"),_xlpm.reqOK,SUM(--(_xlpm.flag="Yes")*--(_xlpm.total&gt;0)*--(_xlpm.readyCount=_xlpm.total))=COUNTIF(_xlpm.flag,"Yes"),_xlpm.core,AND($H36&lt;&gt;"",$I36&lt;&gt;"",$P36&lt;&gt;"",$Q36&lt;&gt;"",$R36&lt;&gt;"",$V36&lt;&gt;"",$V36&lt;&gt;"Not Created"),IF($S36&lt;&gt;"",IF(AND($S36&lt;=TODAY(),_xlpm.core,_xlpm.reqOK),"Completed","Incomplete"),IF($Q36="","Planned",IF(TODAY()&lt;$Q36,"Planned",IF($R36="","In Progress",IF(TODAY()&lt;=$R36,"In Progress","Overdue")))))))</f>
      </c>
      <c r="U36" s="86">
        <f t="shared" si="1"/>
      </c>
      <c r="V36" s="89" cm="1">
        <f t="array" ref="V36">IF($C36="","",IFERROR(_xlfn.LET(_xlpm.x,_xlfn.UNIQUE(_xlfn._xlws.FILTER('14. Recovery &amp; Response'!$B$5:$B$104,('14. Recovery &amp; Response'!$C$5:$C$104=$C36)*('14. Recovery &amp; Response'!$B$5:$B$104&lt;&gt;""))),_xlfn.TEXTJOIN(",",TRUE,_xlpm.x)),"Not Created"))</f>
      </c>
      <c r="W36" s="97"/>
    </row>
    <row r="37" spans="1:23" ht="15" x14ac:dyDescent="0.35">
      <c r="A37" s="92">
        <v>33</v>
      </c>
      <c r="B37" s="313"/>
      <c r="C37" s="85">
        <f t="shared" ref="C37:C64" si="2">IF($B37="","","SS-"&amp;TEXT($A37,"000"))</f>
      </c>
      <c r="D37" s="86" cm="1">
        <f t="array" ref="D37">IF($B37="","",IFERROR(_xlfn.XLOOKUP($B37,INDEX(RiskAssessment[],0,2),INDEX(RiskAssessment[],0,5),""),""))</f>
      </c>
      <c r="E37" s="87" cm="1">
        <f t="array" ref="E37">IF($B37="","",IFERROR(_xlfn.XLOOKUP($B37,INDEX(RiskAssessment[],0,2),INDEX(RiskAssessment[],0,7),""),""))</f>
      </c>
      <c r="F37" s="87" cm="1">
        <f t="array" ref="F37">IF($B37="","",IFERROR(_xlfn.XLOOKUP($B37,INDEX(RiskAssessment[],0,2),INDEX(RiskAssessment[],0,8),""),""))</f>
      </c>
      <c r="G37" s="174">
        <f>IF($B37="","",_xlfn.XLOOKUP($B37,'10. Risk Assessment'!$B$5:$B$34,'10. Risk Assessment'!$F$5:$F$34,""))</f>
      </c>
      <c r="H37" s="315"/>
      <c r="I37" s="97"/>
      <c r="J37" s="313"/>
      <c r="K37" s="313"/>
      <c r="L37" s="313"/>
      <c r="M37" s="313"/>
      <c r="N37" s="313"/>
      <c r="O37" s="313"/>
      <c r="P37" s="97"/>
      <c r="Q37" s="182"/>
      <c r="R37" s="182"/>
      <c r="S37" s="182"/>
      <c r="T37" s="86" cm="1">
        <f t="array" aca="1" ref="T37" ca="1">IF($B37="","",_xlfn.LET(_xlpm.flag,$J37:$O37,_xlpm.total,COUNTIFS('12. Requirements Register'!$C$5:$C$304,$C37,'12. Requirements Register'!$E$5:$E$304,$J$4:$O$4),_xlpm.readyCount,COUNTIFS('12. Requirements Register'!$C$5:$C$304,$C37,'12. Requirements Register'!$E$5:$E$304,$J$4:$O$4,'12. Requirements Register'!$L$5:$L$304,"Ready"),_xlpm.reqOK,SUM(--(_xlpm.flag="Yes")*--(_xlpm.total&gt;0)*--(_xlpm.readyCount=_xlpm.total))=COUNTIF(_xlpm.flag,"Yes"),_xlpm.core,AND($H37&lt;&gt;"",$I37&lt;&gt;"",$P37&lt;&gt;"",$Q37&lt;&gt;"",$R37&lt;&gt;"",$V37&lt;&gt;"",$V37&lt;&gt;"Not Created"),IF($S37&lt;&gt;"",IF(AND($S37&lt;=TODAY(),_xlpm.core,_xlpm.reqOK),"Completed","Incomplete"),IF($Q37="","Planned",IF(TODAY()&lt;$Q37,"Planned",IF($R37="","In Progress",IF(TODAY()&lt;=$R37,"In Progress","Overdue")))))))</f>
      </c>
      <c r="U37" s="86">
        <f t="shared" si="1"/>
      </c>
      <c r="V37" s="89" cm="1">
        <f t="array" ref="V37">IF($C37="","",IFERROR(_xlfn.LET(_xlpm.x,_xlfn.UNIQUE(_xlfn._xlws.FILTER('14. Recovery &amp; Response'!$B$5:$B$104,('14. Recovery &amp; Response'!$C$5:$C$104=$C37)*('14. Recovery &amp; Response'!$B$5:$B$104&lt;&gt;""))),_xlfn.TEXTJOIN(",",TRUE,_xlpm.x)),"Not Created"))</f>
      </c>
      <c r="W37" s="97"/>
    </row>
    <row r="38" spans="1:23" ht="15" x14ac:dyDescent="0.35">
      <c r="A38" s="92">
        <v>34</v>
      </c>
      <c r="B38" s="313"/>
      <c r="C38" s="85">
        <f t="shared" si="2"/>
      </c>
      <c r="D38" s="86" cm="1">
        <f t="array" ref="D38">IF($B38="","",IFERROR(_xlfn.XLOOKUP($B38,INDEX(RiskAssessment[],0,2),INDEX(RiskAssessment[],0,5),""),""))</f>
      </c>
      <c r="E38" s="87" cm="1">
        <f t="array" ref="E38">IF($B38="","",IFERROR(_xlfn.XLOOKUP($B38,INDEX(RiskAssessment[],0,2),INDEX(RiskAssessment[],0,7),""),""))</f>
      </c>
      <c r="F38" s="87" cm="1">
        <f t="array" ref="F38">IF($B38="","",IFERROR(_xlfn.XLOOKUP($B38,INDEX(RiskAssessment[],0,2),INDEX(RiskAssessment[],0,8),""),""))</f>
      </c>
      <c r="G38" s="174">
        <f>IF($B38="","",_xlfn.XLOOKUP($B38,'10. Risk Assessment'!$B$5:$B$34,'10. Risk Assessment'!$F$5:$F$34,""))</f>
      </c>
      <c r="H38" s="315"/>
      <c r="I38" s="97"/>
      <c r="J38" s="313"/>
      <c r="K38" s="313"/>
      <c r="L38" s="313"/>
      <c r="M38" s="313"/>
      <c r="N38" s="313"/>
      <c r="O38" s="313"/>
      <c r="P38" s="97"/>
      <c r="Q38" s="182"/>
      <c r="R38" s="182"/>
      <c r="S38" s="182"/>
      <c r="T38" s="86" cm="1">
        <f t="array" aca="1" ref="T38" ca="1">IF($B38="","",_xlfn.LET(_xlpm.flag,$J38:$O38,_xlpm.total,COUNTIFS('12. Requirements Register'!$C$5:$C$304,$C38,'12. Requirements Register'!$E$5:$E$304,$J$4:$O$4),_xlpm.readyCount,COUNTIFS('12. Requirements Register'!$C$5:$C$304,$C38,'12. Requirements Register'!$E$5:$E$304,$J$4:$O$4,'12. Requirements Register'!$L$5:$L$304,"Ready"),_xlpm.reqOK,SUM(--(_xlpm.flag="Yes")*--(_xlpm.total&gt;0)*--(_xlpm.readyCount=_xlpm.total))=COUNTIF(_xlpm.flag,"Yes"),_xlpm.core,AND($H38&lt;&gt;"",$I38&lt;&gt;"",$P38&lt;&gt;"",$Q38&lt;&gt;"",$R38&lt;&gt;"",$V38&lt;&gt;"",$V38&lt;&gt;"Not Created"),IF($S38&lt;&gt;"",IF(AND($S38&lt;=TODAY(),_xlpm.core,_xlpm.reqOK),"Completed","Incomplete"),IF($Q38="","Planned",IF(TODAY()&lt;$Q38,"Planned",IF($R38="","In Progress",IF(TODAY()&lt;=$R38,"In Progress","Overdue")))))))</f>
      </c>
      <c r="U38" s="86">
        <f t="shared" si="1"/>
      </c>
      <c r="V38" s="89" cm="1">
        <f t="array" ref="V38">IF($C38="","",IFERROR(_xlfn.LET(_xlpm.x,_xlfn.UNIQUE(_xlfn._xlws.FILTER('14. Recovery &amp; Response'!$B$5:$B$104,('14. Recovery &amp; Response'!$C$5:$C$104=$C38)*('14. Recovery &amp; Response'!$B$5:$B$104&lt;&gt;""))),_xlfn.TEXTJOIN(",",TRUE,_xlpm.x)),"Not Created"))</f>
      </c>
      <c r="W38" s="97"/>
    </row>
    <row r="39" spans="1:23" ht="15" x14ac:dyDescent="0.35">
      <c r="A39" s="92">
        <v>35</v>
      </c>
      <c r="B39" s="313"/>
      <c r="C39" s="85">
        <f t="shared" si="2"/>
      </c>
      <c r="D39" s="86" cm="1">
        <f t="array" ref="D39">IF($B39="","",IFERROR(_xlfn.XLOOKUP($B39,INDEX(RiskAssessment[],0,2),INDEX(RiskAssessment[],0,5),""),""))</f>
      </c>
      <c r="E39" s="87" cm="1">
        <f t="array" ref="E39">IF($B39="","",IFERROR(_xlfn.XLOOKUP($B39,INDEX(RiskAssessment[],0,2),INDEX(RiskAssessment[],0,7),""),""))</f>
      </c>
      <c r="F39" s="87" cm="1">
        <f t="array" ref="F39">IF($B39="","",IFERROR(_xlfn.XLOOKUP($B39,INDEX(RiskAssessment[],0,2),INDEX(RiskAssessment[],0,8),""),""))</f>
      </c>
      <c r="G39" s="174">
        <f>IF($B39="","",_xlfn.XLOOKUP($B39,'10. Risk Assessment'!$B$5:$B$34,'10. Risk Assessment'!$F$5:$F$34,""))</f>
      </c>
      <c r="H39" s="315"/>
      <c r="I39" s="97"/>
      <c r="J39" s="313"/>
      <c r="K39" s="313"/>
      <c r="L39" s="313"/>
      <c r="M39" s="313"/>
      <c r="N39" s="313"/>
      <c r="O39" s="313"/>
      <c r="P39" s="97"/>
      <c r="Q39" s="182"/>
      <c r="R39" s="182"/>
      <c r="S39" s="182"/>
      <c r="T39" s="86" cm="1">
        <f t="array" aca="1" ref="T39" ca="1">IF($B39="","",_xlfn.LET(_xlpm.flag,$J39:$O39,_xlpm.total,COUNTIFS('12. Requirements Register'!$C$5:$C$304,$C39,'12. Requirements Register'!$E$5:$E$304,$J$4:$O$4),_xlpm.readyCount,COUNTIFS('12. Requirements Register'!$C$5:$C$304,$C39,'12. Requirements Register'!$E$5:$E$304,$J$4:$O$4,'12. Requirements Register'!$L$5:$L$304,"Ready"),_xlpm.reqOK,SUM(--(_xlpm.flag="Yes")*--(_xlpm.total&gt;0)*--(_xlpm.readyCount=_xlpm.total))=COUNTIF(_xlpm.flag,"Yes"),_xlpm.core,AND($H39&lt;&gt;"",$I39&lt;&gt;"",$P39&lt;&gt;"",$Q39&lt;&gt;"",$R39&lt;&gt;"",$V39&lt;&gt;"",$V39&lt;&gt;"Not Created"),IF($S39&lt;&gt;"",IF(AND($S39&lt;=TODAY(),_xlpm.core,_xlpm.reqOK),"Completed","Incomplete"),IF($Q39="","Planned",IF(TODAY()&lt;$Q39,"Planned",IF($R39="","In Progress",IF(TODAY()&lt;=$R39,"In Progress","Overdue")))))))</f>
      </c>
      <c r="U39" s="86">
        <f t="shared" si="1"/>
      </c>
      <c r="V39" s="89" cm="1">
        <f t="array" ref="V39">IF($C39="","",IFERROR(_xlfn.LET(_xlpm.x,_xlfn.UNIQUE(_xlfn._xlws.FILTER('14. Recovery &amp; Response'!$B$5:$B$104,('14. Recovery &amp; Response'!$C$5:$C$104=$C39)*('14. Recovery &amp; Response'!$B$5:$B$104&lt;&gt;""))),_xlfn.TEXTJOIN(",",TRUE,_xlpm.x)),"Not Created"))</f>
      </c>
      <c r="W39" s="97"/>
    </row>
    <row r="40" spans="1:23" ht="15" x14ac:dyDescent="0.35">
      <c r="A40" s="92">
        <v>36</v>
      </c>
      <c r="B40" s="313"/>
      <c r="C40" s="85">
        <f t="shared" si="2"/>
      </c>
      <c r="D40" s="86" cm="1">
        <f t="array" ref="D40">IF($B40="","",IFERROR(_xlfn.XLOOKUP($B40,INDEX(RiskAssessment[],0,2),INDEX(RiskAssessment[],0,5),""),""))</f>
      </c>
      <c r="E40" s="87" cm="1">
        <f t="array" ref="E40">IF($B40="","",IFERROR(_xlfn.XLOOKUP($B40,INDEX(RiskAssessment[],0,2),INDEX(RiskAssessment[],0,7),""),""))</f>
      </c>
      <c r="F40" s="87" cm="1">
        <f t="array" ref="F40">IF($B40="","",IFERROR(_xlfn.XLOOKUP($B40,INDEX(RiskAssessment[],0,2),INDEX(RiskAssessment[],0,8),""),""))</f>
      </c>
      <c r="G40" s="174">
        <f>IF($B40="","",_xlfn.XLOOKUP($B40,'10. Risk Assessment'!$B$5:$B$34,'10. Risk Assessment'!$F$5:$F$34,""))</f>
      </c>
      <c r="H40" s="315"/>
      <c r="I40" s="97"/>
      <c r="J40" s="313"/>
      <c r="K40" s="313"/>
      <c r="L40" s="313"/>
      <c r="M40" s="313"/>
      <c r="N40" s="313"/>
      <c r="O40" s="313"/>
      <c r="P40" s="97"/>
      <c r="Q40" s="182"/>
      <c r="R40" s="182"/>
      <c r="S40" s="182"/>
      <c r="T40" s="86" cm="1">
        <f t="array" aca="1" ref="T40" ca="1">IF($B40="","",_xlfn.LET(_xlpm.flag,$J40:$O40,_xlpm.total,COUNTIFS('12. Requirements Register'!$C$5:$C$304,$C40,'12. Requirements Register'!$E$5:$E$304,$J$4:$O$4),_xlpm.readyCount,COUNTIFS('12. Requirements Register'!$C$5:$C$304,$C40,'12. Requirements Register'!$E$5:$E$304,$J$4:$O$4,'12. Requirements Register'!$L$5:$L$304,"Ready"),_xlpm.reqOK,SUM(--(_xlpm.flag="Yes")*--(_xlpm.total&gt;0)*--(_xlpm.readyCount=_xlpm.total))=COUNTIF(_xlpm.flag,"Yes"),_xlpm.core,AND($H40&lt;&gt;"",$I40&lt;&gt;"",$P40&lt;&gt;"",$Q40&lt;&gt;"",$R40&lt;&gt;"",$V40&lt;&gt;"",$V40&lt;&gt;"Not Created"),IF($S40&lt;&gt;"",IF(AND($S40&lt;=TODAY(),_xlpm.core,_xlpm.reqOK),"Completed","Incomplete"),IF($Q40="","Planned",IF(TODAY()&lt;$Q40,"Planned",IF($R40="","In Progress",IF(TODAY()&lt;=$R40,"In Progress","Overdue")))))))</f>
      </c>
      <c r="U40" s="86">
        <f t="shared" si="1"/>
      </c>
      <c r="V40" s="89" cm="1">
        <f t="array" ref="V40">IF($C40="","",IFERROR(_xlfn.LET(_xlpm.x,_xlfn.UNIQUE(_xlfn._xlws.FILTER('14. Recovery &amp; Response'!$B$5:$B$104,('14. Recovery &amp; Response'!$C$5:$C$104=$C40)*('14. Recovery &amp; Response'!$B$5:$B$104&lt;&gt;""))),_xlfn.TEXTJOIN(",",TRUE,_xlpm.x)),"Not Created"))</f>
      </c>
      <c r="W40" s="97"/>
    </row>
    <row r="41" spans="1:23" ht="15" x14ac:dyDescent="0.35">
      <c r="A41" s="92">
        <v>37</v>
      </c>
      <c r="B41" s="313"/>
      <c r="C41" s="85">
        <f t="shared" si="2"/>
      </c>
      <c r="D41" s="86" cm="1">
        <f t="array" ref="D41">IF($B41="","",IFERROR(_xlfn.XLOOKUP($B41,INDEX(RiskAssessment[],0,2),INDEX(RiskAssessment[],0,5),""),""))</f>
      </c>
      <c r="E41" s="87" cm="1">
        <f t="array" ref="E41">IF($B41="","",IFERROR(_xlfn.XLOOKUP($B41,INDEX(RiskAssessment[],0,2),INDEX(RiskAssessment[],0,7),""),""))</f>
      </c>
      <c r="F41" s="87" cm="1">
        <f t="array" ref="F41">IF($B41="","",IFERROR(_xlfn.XLOOKUP($B41,INDEX(RiskAssessment[],0,2),INDEX(RiskAssessment[],0,8),""),""))</f>
      </c>
      <c r="G41" s="174">
        <f>IF($B41="","",_xlfn.XLOOKUP($B41,'10. Risk Assessment'!$B$5:$B$34,'10. Risk Assessment'!$F$5:$F$34,""))</f>
      </c>
      <c r="H41" s="315"/>
      <c r="I41" s="97"/>
      <c r="J41" s="313"/>
      <c r="K41" s="313"/>
      <c r="L41" s="313"/>
      <c r="M41" s="313"/>
      <c r="N41" s="313"/>
      <c r="O41" s="313"/>
      <c r="P41" s="97"/>
      <c r="Q41" s="182"/>
      <c r="R41" s="182"/>
      <c r="S41" s="182"/>
      <c r="T41" s="86" cm="1">
        <f t="array" aca="1" ref="T41" ca="1">IF($B41="","",_xlfn.LET(_xlpm.flag,$J41:$O41,_xlpm.total,COUNTIFS('12. Requirements Register'!$C$5:$C$304,$C41,'12. Requirements Register'!$E$5:$E$304,$J$4:$O$4),_xlpm.readyCount,COUNTIFS('12. Requirements Register'!$C$5:$C$304,$C41,'12. Requirements Register'!$E$5:$E$304,$J$4:$O$4,'12. Requirements Register'!$L$5:$L$304,"Ready"),_xlpm.reqOK,SUM(--(_xlpm.flag="Yes")*--(_xlpm.total&gt;0)*--(_xlpm.readyCount=_xlpm.total))=COUNTIF(_xlpm.flag,"Yes"),_xlpm.core,AND($H41&lt;&gt;"",$I41&lt;&gt;"",$P41&lt;&gt;"",$Q41&lt;&gt;"",$R41&lt;&gt;"",$V41&lt;&gt;"",$V41&lt;&gt;"Not Created"),IF($S41&lt;&gt;"",IF(AND($S41&lt;=TODAY(),_xlpm.core,_xlpm.reqOK),"Completed","Incomplete"),IF($Q41="","Planned",IF(TODAY()&lt;$Q41,"Planned",IF($R41="","In Progress",IF(TODAY()&lt;=$R41,"In Progress","Overdue")))))))</f>
      </c>
      <c r="U41" s="86">
        <f t="shared" si="1"/>
      </c>
      <c r="V41" s="89" cm="1">
        <f t="array" ref="V41">IF($C41="","",IFERROR(_xlfn.LET(_xlpm.x,_xlfn.UNIQUE(_xlfn._xlws.FILTER('14. Recovery &amp; Response'!$B$5:$B$104,('14. Recovery &amp; Response'!$C$5:$C$104=$C41)*('14. Recovery &amp; Response'!$B$5:$B$104&lt;&gt;""))),_xlfn.TEXTJOIN(",",TRUE,_xlpm.x)),"Not Created"))</f>
      </c>
      <c r="W41" s="97"/>
    </row>
    <row r="42" spans="1:23" ht="15" x14ac:dyDescent="0.35">
      <c r="A42" s="92">
        <v>38</v>
      </c>
      <c r="B42" s="313"/>
      <c r="C42" s="85">
        <f t="shared" si="2"/>
      </c>
      <c r="D42" s="86" cm="1">
        <f t="array" ref="D42">IF($B42="","",IFERROR(_xlfn.XLOOKUP($B42,INDEX(RiskAssessment[],0,2),INDEX(RiskAssessment[],0,5),""),""))</f>
      </c>
      <c r="E42" s="87" cm="1">
        <f t="array" ref="E42">IF($B42="","",IFERROR(_xlfn.XLOOKUP($B42,INDEX(RiskAssessment[],0,2),INDEX(RiskAssessment[],0,7),""),""))</f>
      </c>
      <c r="F42" s="87" cm="1">
        <f t="array" ref="F42">IF($B42="","",IFERROR(_xlfn.XLOOKUP($B42,INDEX(RiskAssessment[],0,2),INDEX(RiskAssessment[],0,8),""),""))</f>
      </c>
      <c r="G42" s="174">
        <f>IF($B42="","",_xlfn.XLOOKUP($B42,'10. Risk Assessment'!$B$5:$B$34,'10. Risk Assessment'!$F$5:$F$34,""))</f>
      </c>
      <c r="H42" s="315"/>
      <c r="I42" s="97"/>
      <c r="J42" s="313"/>
      <c r="K42" s="313"/>
      <c r="L42" s="313"/>
      <c r="M42" s="313"/>
      <c r="N42" s="313"/>
      <c r="O42" s="313"/>
      <c r="P42" s="97"/>
      <c r="Q42" s="182"/>
      <c r="R42" s="182"/>
      <c r="S42" s="182"/>
      <c r="T42" s="86" cm="1">
        <f t="array" aca="1" ref="T42" ca="1">IF($B42="","",_xlfn.LET(_xlpm.flag,$J42:$O42,_xlpm.total,COUNTIFS('12. Requirements Register'!$C$5:$C$304,$C42,'12. Requirements Register'!$E$5:$E$304,$J$4:$O$4),_xlpm.readyCount,COUNTIFS('12. Requirements Register'!$C$5:$C$304,$C42,'12. Requirements Register'!$E$5:$E$304,$J$4:$O$4,'12. Requirements Register'!$L$5:$L$304,"Ready"),_xlpm.reqOK,SUM(--(_xlpm.flag="Yes")*--(_xlpm.total&gt;0)*--(_xlpm.readyCount=_xlpm.total))=COUNTIF(_xlpm.flag,"Yes"),_xlpm.core,AND($H42&lt;&gt;"",$I42&lt;&gt;"",$P42&lt;&gt;"",$Q42&lt;&gt;"",$R42&lt;&gt;"",$V42&lt;&gt;"",$V42&lt;&gt;"Not Created"),IF($S42&lt;&gt;"",IF(AND($S42&lt;=TODAY(),_xlpm.core,_xlpm.reqOK),"Completed","Incomplete"),IF($Q42="","Planned",IF(TODAY()&lt;$Q42,"Planned",IF($R42="","In Progress",IF(TODAY()&lt;=$R42,"In Progress","Overdue")))))))</f>
      </c>
      <c r="U42" s="86">
        <f t="shared" si="1"/>
      </c>
      <c r="V42" s="89" cm="1">
        <f t="array" ref="V42">IF($C42="","",IFERROR(_xlfn.LET(_xlpm.x,_xlfn.UNIQUE(_xlfn._xlws.FILTER('14. Recovery &amp; Response'!$B$5:$B$104,('14. Recovery &amp; Response'!$C$5:$C$104=$C42)*('14. Recovery &amp; Response'!$B$5:$B$104&lt;&gt;""))),_xlfn.TEXTJOIN(",",TRUE,_xlpm.x)),"Not Created"))</f>
      </c>
      <c r="W42" s="97"/>
    </row>
    <row r="43" spans="1:23" ht="15" x14ac:dyDescent="0.35">
      <c r="A43" s="92">
        <v>39</v>
      </c>
      <c r="B43" s="313"/>
      <c r="C43" s="85">
        <f t="shared" si="2"/>
      </c>
      <c r="D43" s="86" cm="1">
        <f t="array" ref="D43">IF($B43="","",IFERROR(_xlfn.XLOOKUP($B43,INDEX(RiskAssessment[],0,2),INDEX(RiskAssessment[],0,5),""),""))</f>
      </c>
      <c r="E43" s="87" cm="1">
        <f t="array" ref="E43">IF($B43="","",IFERROR(_xlfn.XLOOKUP($B43,INDEX(RiskAssessment[],0,2),INDEX(RiskAssessment[],0,7),""),""))</f>
      </c>
      <c r="F43" s="87" cm="1">
        <f t="array" ref="F43">IF($B43="","",IFERROR(_xlfn.XLOOKUP($B43,INDEX(RiskAssessment[],0,2),INDEX(RiskAssessment[],0,8),""),""))</f>
      </c>
      <c r="G43" s="174">
        <f>IF($B43="","",_xlfn.XLOOKUP($B43,'10. Risk Assessment'!$B$5:$B$34,'10. Risk Assessment'!$F$5:$F$34,""))</f>
      </c>
      <c r="H43" s="315"/>
      <c r="I43" s="97"/>
      <c r="J43" s="313"/>
      <c r="K43" s="313"/>
      <c r="L43" s="313"/>
      <c r="M43" s="313"/>
      <c r="N43" s="313"/>
      <c r="O43" s="313"/>
      <c r="P43" s="97"/>
      <c r="Q43" s="182"/>
      <c r="R43" s="182"/>
      <c r="S43" s="182"/>
      <c r="T43" s="86" cm="1">
        <f t="array" aca="1" ref="T43" ca="1">IF($B43="","",_xlfn.LET(_xlpm.flag,$J43:$O43,_xlpm.total,COUNTIFS('12. Requirements Register'!$C$5:$C$304,$C43,'12. Requirements Register'!$E$5:$E$304,$J$4:$O$4),_xlpm.readyCount,COUNTIFS('12. Requirements Register'!$C$5:$C$304,$C43,'12. Requirements Register'!$E$5:$E$304,$J$4:$O$4,'12. Requirements Register'!$L$5:$L$304,"Ready"),_xlpm.reqOK,SUM(--(_xlpm.flag="Yes")*--(_xlpm.total&gt;0)*--(_xlpm.readyCount=_xlpm.total))=COUNTIF(_xlpm.flag,"Yes"),_xlpm.core,AND($H43&lt;&gt;"",$I43&lt;&gt;"",$P43&lt;&gt;"",$Q43&lt;&gt;"",$R43&lt;&gt;"",$V43&lt;&gt;"",$V43&lt;&gt;"Not Created"),IF($S43&lt;&gt;"",IF(AND($S43&lt;=TODAY(),_xlpm.core,_xlpm.reqOK),"Completed","Incomplete"),IF($Q43="","Planned",IF(TODAY()&lt;$Q43,"Planned",IF($R43="","In Progress",IF(TODAY()&lt;=$R43,"In Progress","Overdue")))))))</f>
      </c>
      <c r="U43" s="86">
        <f t="shared" si="1"/>
      </c>
      <c r="V43" s="89" cm="1">
        <f t="array" ref="V43">IF($C43="","",IFERROR(_xlfn.LET(_xlpm.x,_xlfn.UNIQUE(_xlfn._xlws.FILTER('14. Recovery &amp; Response'!$B$5:$B$104,('14. Recovery &amp; Response'!$C$5:$C$104=$C43)*('14. Recovery &amp; Response'!$B$5:$B$104&lt;&gt;""))),_xlfn.TEXTJOIN(",",TRUE,_xlpm.x)),"Not Created"))</f>
      </c>
      <c r="W43" s="97"/>
    </row>
    <row r="44" spans="1:23" ht="15" x14ac:dyDescent="0.35">
      <c r="A44" s="92">
        <v>40</v>
      </c>
      <c r="B44" s="313"/>
      <c r="C44" s="85">
        <f t="shared" si="2"/>
      </c>
      <c r="D44" s="86" cm="1">
        <f t="array" ref="D44">IF($B44="","",IFERROR(_xlfn.XLOOKUP($B44,INDEX(RiskAssessment[],0,2),INDEX(RiskAssessment[],0,5),""),""))</f>
      </c>
      <c r="E44" s="87" cm="1">
        <f t="array" ref="E44">IF($B44="","",IFERROR(_xlfn.XLOOKUP($B44,INDEX(RiskAssessment[],0,2),INDEX(RiskAssessment[],0,7),""),""))</f>
      </c>
      <c r="F44" s="87" cm="1">
        <f t="array" ref="F44">IF($B44="","",IFERROR(_xlfn.XLOOKUP($B44,INDEX(RiskAssessment[],0,2),INDEX(RiskAssessment[],0,8),""),""))</f>
      </c>
      <c r="G44" s="174">
        <f>IF($B44="","",_xlfn.XLOOKUP($B44,'10. Risk Assessment'!$B$5:$B$34,'10. Risk Assessment'!$F$5:$F$34,""))</f>
      </c>
      <c r="H44" s="315"/>
      <c r="I44" s="97"/>
      <c r="J44" s="313"/>
      <c r="K44" s="313"/>
      <c r="L44" s="313"/>
      <c r="M44" s="313"/>
      <c r="N44" s="313"/>
      <c r="O44" s="313"/>
      <c r="P44" s="97"/>
      <c r="Q44" s="182"/>
      <c r="R44" s="182"/>
      <c r="S44" s="182"/>
      <c r="T44" s="86" cm="1">
        <f t="array" aca="1" ref="T44" ca="1">IF($B44="","",_xlfn.LET(_xlpm.flag,$J44:$O44,_xlpm.total,COUNTIFS('12. Requirements Register'!$C$5:$C$304,$C44,'12. Requirements Register'!$E$5:$E$304,$J$4:$O$4),_xlpm.readyCount,COUNTIFS('12. Requirements Register'!$C$5:$C$304,$C44,'12. Requirements Register'!$E$5:$E$304,$J$4:$O$4,'12. Requirements Register'!$L$5:$L$304,"Ready"),_xlpm.reqOK,SUM(--(_xlpm.flag="Yes")*--(_xlpm.total&gt;0)*--(_xlpm.readyCount=_xlpm.total))=COUNTIF(_xlpm.flag,"Yes"),_xlpm.core,AND($H44&lt;&gt;"",$I44&lt;&gt;"",$P44&lt;&gt;"",$Q44&lt;&gt;"",$R44&lt;&gt;"",$V44&lt;&gt;"",$V44&lt;&gt;"Not Created"),IF($S44&lt;&gt;"",IF(AND($S44&lt;=TODAY(),_xlpm.core,_xlpm.reqOK),"Completed","Incomplete"),IF($Q44="","Planned",IF(TODAY()&lt;$Q44,"Planned",IF($R44="","In Progress",IF(TODAY()&lt;=$R44,"In Progress","Overdue")))))))</f>
      </c>
      <c r="U44" s="86">
        <f t="shared" si="1"/>
      </c>
      <c r="V44" s="89" cm="1">
        <f t="array" ref="V44">IF($C44="","",IFERROR(_xlfn.LET(_xlpm.x,_xlfn.UNIQUE(_xlfn._xlws.FILTER('14. Recovery &amp; Response'!$B$5:$B$104,('14. Recovery &amp; Response'!$C$5:$C$104=$C44)*('14. Recovery &amp; Response'!$B$5:$B$104&lt;&gt;""))),_xlfn.TEXTJOIN(",",TRUE,_xlpm.x)),"Not Created"))</f>
      </c>
      <c r="W44" s="97"/>
    </row>
    <row r="45" spans="1:23" ht="15" x14ac:dyDescent="0.35">
      <c r="A45" s="92">
        <v>41</v>
      </c>
      <c r="B45" s="313"/>
      <c r="C45" s="85">
        <f t="shared" si="2"/>
      </c>
      <c r="D45" s="86" cm="1">
        <f t="array" ref="D45">IF($B45="","",IFERROR(_xlfn.XLOOKUP($B45,INDEX(RiskAssessment[],0,2),INDEX(RiskAssessment[],0,5),""),""))</f>
      </c>
      <c r="E45" s="87" cm="1">
        <f t="array" ref="E45">IF($B45="","",IFERROR(_xlfn.XLOOKUP($B45,INDEX(RiskAssessment[],0,2),INDEX(RiskAssessment[],0,7),""),""))</f>
      </c>
      <c r="F45" s="87" cm="1">
        <f t="array" ref="F45">IF($B45="","",IFERROR(_xlfn.XLOOKUP($B45,INDEX(RiskAssessment[],0,2),INDEX(RiskAssessment[],0,8),""),""))</f>
      </c>
      <c r="G45" s="174">
        <f>IF($B45="","",_xlfn.XLOOKUP($B45,'10. Risk Assessment'!$B$5:$B$34,'10. Risk Assessment'!$F$5:$F$34,""))</f>
      </c>
      <c r="H45" s="315"/>
      <c r="I45" s="97"/>
      <c r="J45" s="313"/>
      <c r="K45" s="313"/>
      <c r="L45" s="313"/>
      <c r="M45" s="313"/>
      <c r="N45" s="313"/>
      <c r="O45" s="313"/>
      <c r="P45" s="97"/>
      <c r="Q45" s="182"/>
      <c r="R45" s="182"/>
      <c r="S45" s="182"/>
      <c r="T45" s="86" cm="1">
        <f t="array" aca="1" ref="T45" ca="1">IF($B45="","",_xlfn.LET(_xlpm.flag,$J45:$O45,_xlpm.total,COUNTIFS('12. Requirements Register'!$C$5:$C$304,$C45,'12. Requirements Register'!$E$5:$E$304,$J$4:$O$4),_xlpm.readyCount,COUNTIFS('12. Requirements Register'!$C$5:$C$304,$C45,'12. Requirements Register'!$E$5:$E$304,$J$4:$O$4,'12. Requirements Register'!$L$5:$L$304,"Ready"),_xlpm.reqOK,SUM(--(_xlpm.flag="Yes")*--(_xlpm.total&gt;0)*--(_xlpm.readyCount=_xlpm.total))=COUNTIF(_xlpm.flag,"Yes"),_xlpm.core,AND($H45&lt;&gt;"",$I45&lt;&gt;"",$P45&lt;&gt;"",$Q45&lt;&gt;"",$R45&lt;&gt;"",$V45&lt;&gt;"",$V45&lt;&gt;"Not Created"),IF($S45&lt;&gt;"",IF(AND($S45&lt;=TODAY(),_xlpm.core,_xlpm.reqOK),"Completed","Incomplete"),IF($Q45="","Planned",IF(TODAY()&lt;$Q45,"Planned",IF($R45="","In Progress",IF(TODAY()&lt;=$R45,"In Progress","Overdue")))))))</f>
      </c>
      <c r="U45" s="86">
        <f t="shared" si="1"/>
      </c>
      <c r="V45" s="89" cm="1">
        <f t="array" ref="V45">IF($C45="","",IFERROR(_xlfn.LET(_xlpm.x,_xlfn.UNIQUE(_xlfn._xlws.FILTER('14. Recovery &amp; Response'!$B$5:$B$104,('14. Recovery &amp; Response'!$C$5:$C$104=$C45)*('14. Recovery &amp; Response'!$B$5:$B$104&lt;&gt;""))),_xlfn.TEXTJOIN(",",TRUE,_xlpm.x)),"Not Created"))</f>
      </c>
      <c r="W45" s="97"/>
    </row>
    <row r="46" spans="1:23" ht="15" x14ac:dyDescent="0.35">
      <c r="A46" s="92">
        <v>42</v>
      </c>
      <c r="B46" s="313"/>
      <c r="C46" s="85">
        <f t="shared" si="2"/>
      </c>
      <c r="D46" s="86" cm="1">
        <f t="array" ref="D46">IF($B46="","",IFERROR(_xlfn.XLOOKUP($B46,INDEX(RiskAssessment[],0,2),INDEX(RiskAssessment[],0,5),""),""))</f>
      </c>
      <c r="E46" s="87" cm="1">
        <f t="array" ref="E46">IF($B46="","",IFERROR(_xlfn.XLOOKUP($B46,INDEX(RiskAssessment[],0,2),INDEX(RiskAssessment[],0,7),""),""))</f>
      </c>
      <c r="F46" s="87" cm="1">
        <f t="array" ref="F46">IF($B46="","",IFERROR(_xlfn.XLOOKUP($B46,INDEX(RiskAssessment[],0,2),INDEX(RiskAssessment[],0,8),""),""))</f>
      </c>
      <c r="G46" s="174">
        <f>IF($B46="","",_xlfn.XLOOKUP($B46,'10. Risk Assessment'!$B$5:$B$34,'10. Risk Assessment'!$F$5:$F$34,""))</f>
      </c>
      <c r="H46" s="315"/>
      <c r="I46" s="97"/>
      <c r="J46" s="313"/>
      <c r="K46" s="313"/>
      <c r="L46" s="313"/>
      <c r="M46" s="313"/>
      <c r="N46" s="313"/>
      <c r="O46" s="313"/>
      <c r="P46" s="97"/>
      <c r="Q46" s="182"/>
      <c r="R46" s="182"/>
      <c r="S46" s="182"/>
      <c r="T46" s="86" cm="1">
        <f t="array" aca="1" ref="T46" ca="1">IF($B46="","",_xlfn.LET(_xlpm.flag,$J46:$O46,_xlpm.total,COUNTIFS('12. Requirements Register'!$C$5:$C$304,$C46,'12. Requirements Register'!$E$5:$E$304,$J$4:$O$4),_xlpm.readyCount,COUNTIFS('12. Requirements Register'!$C$5:$C$304,$C46,'12. Requirements Register'!$E$5:$E$304,$J$4:$O$4,'12. Requirements Register'!$L$5:$L$304,"Ready"),_xlpm.reqOK,SUM(--(_xlpm.flag="Yes")*--(_xlpm.total&gt;0)*--(_xlpm.readyCount=_xlpm.total))=COUNTIF(_xlpm.flag,"Yes"),_xlpm.core,AND($H46&lt;&gt;"",$I46&lt;&gt;"",$P46&lt;&gt;"",$Q46&lt;&gt;"",$R46&lt;&gt;"",$V46&lt;&gt;"",$V46&lt;&gt;"Not Created"),IF($S46&lt;&gt;"",IF(AND($S46&lt;=TODAY(),_xlpm.core,_xlpm.reqOK),"Completed","Incomplete"),IF($Q46="","Planned",IF(TODAY()&lt;$Q46,"Planned",IF($R46="","In Progress",IF(TODAY()&lt;=$R46,"In Progress","Overdue")))))))</f>
      </c>
      <c r="U46" s="86">
        <f t="shared" si="1"/>
      </c>
      <c r="V46" s="89" cm="1">
        <f t="array" ref="V46">IF($C46="","",IFERROR(_xlfn.LET(_xlpm.x,_xlfn.UNIQUE(_xlfn._xlws.FILTER('14. Recovery &amp; Response'!$B$5:$B$104,('14. Recovery &amp; Response'!$C$5:$C$104=$C46)*('14. Recovery &amp; Response'!$B$5:$B$104&lt;&gt;""))),_xlfn.TEXTJOIN(",",TRUE,_xlpm.x)),"Not Created"))</f>
      </c>
      <c r="W46" s="97"/>
    </row>
    <row r="47" spans="1:23" ht="15" x14ac:dyDescent="0.35">
      <c r="A47" s="92">
        <v>43</v>
      </c>
      <c r="B47" s="313"/>
      <c r="C47" s="85">
        <f t="shared" si="2"/>
      </c>
      <c r="D47" s="86" cm="1">
        <f t="array" ref="D47">IF($B47="","",IFERROR(_xlfn.XLOOKUP($B47,INDEX(RiskAssessment[],0,2),INDEX(RiskAssessment[],0,5),""),""))</f>
      </c>
      <c r="E47" s="87" cm="1">
        <f t="array" ref="E47">IF($B47="","",IFERROR(_xlfn.XLOOKUP($B47,INDEX(RiskAssessment[],0,2),INDEX(RiskAssessment[],0,7),""),""))</f>
      </c>
      <c r="F47" s="87" cm="1">
        <f t="array" ref="F47">IF($B47="","",IFERROR(_xlfn.XLOOKUP($B47,INDEX(RiskAssessment[],0,2),INDEX(RiskAssessment[],0,8),""),""))</f>
      </c>
      <c r="G47" s="174">
        <f>IF($B47="","",_xlfn.XLOOKUP($B47,'10. Risk Assessment'!$B$5:$B$34,'10. Risk Assessment'!$F$5:$F$34,""))</f>
      </c>
      <c r="H47" s="315"/>
      <c r="I47" s="97"/>
      <c r="J47" s="313"/>
      <c r="K47" s="313"/>
      <c r="L47" s="313"/>
      <c r="M47" s="313"/>
      <c r="N47" s="313"/>
      <c r="O47" s="313"/>
      <c r="P47" s="97"/>
      <c r="Q47" s="182"/>
      <c r="R47" s="182"/>
      <c r="S47" s="182"/>
      <c r="T47" s="86" cm="1">
        <f t="array" aca="1" ref="T47" ca="1">IF($B47="","",_xlfn.LET(_xlpm.flag,$J47:$O47,_xlpm.total,COUNTIFS('12. Requirements Register'!$C$5:$C$304,$C47,'12. Requirements Register'!$E$5:$E$304,$J$4:$O$4),_xlpm.readyCount,COUNTIFS('12. Requirements Register'!$C$5:$C$304,$C47,'12. Requirements Register'!$E$5:$E$304,$J$4:$O$4,'12. Requirements Register'!$L$5:$L$304,"Ready"),_xlpm.reqOK,SUM(--(_xlpm.flag="Yes")*--(_xlpm.total&gt;0)*--(_xlpm.readyCount=_xlpm.total))=COUNTIF(_xlpm.flag,"Yes"),_xlpm.core,AND($H47&lt;&gt;"",$I47&lt;&gt;"",$P47&lt;&gt;"",$Q47&lt;&gt;"",$R47&lt;&gt;"",$V47&lt;&gt;"",$V47&lt;&gt;"Not Created"),IF($S47&lt;&gt;"",IF(AND($S47&lt;=TODAY(),_xlpm.core,_xlpm.reqOK),"Completed","Incomplete"),IF($Q47="","Planned",IF(TODAY()&lt;$Q47,"Planned",IF($R47="","In Progress",IF(TODAY()&lt;=$R47,"In Progress","Overdue")))))))</f>
      </c>
      <c r="U47" s="86">
        <f t="shared" si="1"/>
      </c>
      <c r="V47" s="89" cm="1">
        <f t="array" ref="V47">IF($C47="","",IFERROR(_xlfn.LET(_xlpm.x,_xlfn.UNIQUE(_xlfn._xlws.FILTER('14. Recovery &amp; Response'!$B$5:$B$104,('14. Recovery &amp; Response'!$C$5:$C$104=$C47)*('14. Recovery &amp; Response'!$B$5:$B$104&lt;&gt;""))),_xlfn.TEXTJOIN(",",TRUE,_xlpm.x)),"Not Created"))</f>
      </c>
      <c r="W47" s="97"/>
    </row>
    <row r="48" spans="1:23" ht="15" x14ac:dyDescent="0.35">
      <c r="A48" s="92">
        <v>44</v>
      </c>
      <c r="B48" s="313"/>
      <c r="C48" s="85">
        <f t="shared" si="2"/>
      </c>
      <c r="D48" s="86" cm="1">
        <f t="array" ref="D48">IF($B48="","",IFERROR(_xlfn.XLOOKUP($B48,INDEX(RiskAssessment[],0,2),INDEX(RiskAssessment[],0,5),""),""))</f>
      </c>
      <c r="E48" s="87" cm="1">
        <f t="array" ref="E48">IF($B48="","",IFERROR(_xlfn.XLOOKUP($B48,INDEX(RiskAssessment[],0,2),INDEX(RiskAssessment[],0,7),""),""))</f>
      </c>
      <c r="F48" s="87" cm="1">
        <f t="array" ref="F48">IF($B48="","",IFERROR(_xlfn.XLOOKUP($B48,INDEX(RiskAssessment[],0,2),INDEX(RiskAssessment[],0,8),""),""))</f>
      </c>
      <c r="G48" s="174">
        <f>IF($B48="","",_xlfn.XLOOKUP($B48,'10. Risk Assessment'!$B$5:$B$34,'10. Risk Assessment'!$F$5:$F$34,""))</f>
      </c>
      <c r="H48" s="315"/>
      <c r="I48" s="97"/>
      <c r="J48" s="313"/>
      <c r="K48" s="313"/>
      <c r="L48" s="313"/>
      <c r="M48" s="313"/>
      <c r="N48" s="313"/>
      <c r="O48" s="313"/>
      <c r="P48" s="97"/>
      <c r="Q48" s="182"/>
      <c r="R48" s="182"/>
      <c r="S48" s="182"/>
      <c r="T48" s="86" cm="1">
        <f t="array" aca="1" ref="T48" ca="1">IF($B48="","",_xlfn.LET(_xlpm.flag,$J48:$O48,_xlpm.total,COUNTIFS('12. Requirements Register'!$C$5:$C$304,$C48,'12. Requirements Register'!$E$5:$E$304,$J$4:$O$4),_xlpm.readyCount,COUNTIFS('12. Requirements Register'!$C$5:$C$304,$C48,'12. Requirements Register'!$E$5:$E$304,$J$4:$O$4,'12. Requirements Register'!$L$5:$L$304,"Ready"),_xlpm.reqOK,SUM(--(_xlpm.flag="Yes")*--(_xlpm.total&gt;0)*--(_xlpm.readyCount=_xlpm.total))=COUNTIF(_xlpm.flag,"Yes"),_xlpm.core,AND($H48&lt;&gt;"",$I48&lt;&gt;"",$P48&lt;&gt;"",$Q48&lt;&gt;"",$R48&lt;&gt;"",$V48&lt;&gt;"",$V48&lt;&gt;"Not Created"),IF($S48&lt;&gt;"",IF(AND($S48&lt;=TODAY(),_xlpm.core,_xlpm.reqOK),"Completed","Incomplete"),IF($Q48="","Planned",IF(TODAY()&lt;$Q48,"Planned",IF($R48="","In Progress",IF(TODAY()&lt;=$R48,"In Progress","Overdue")))))))</f>
      </c>
      <c r="U48" s="86">
        <f t="shared" si="1"/>
      </c>
      <c r="V48" s="89" cm="1">
        <f t="array" ref="V48">IF($C48="","",IFERROR(_xlfn.LET(_xlpm.x,_xlfn.UNIQUE(_xlfn._xlws.FILTER('14. Recovery &amp; Response'!$B$5:$B$104,('14. Recovery &amp; Response'!$C$5:$C$104=$C48)*('14. Recovery &amp; Response'!$B$5:$B$104&lt;&gt;""))),_xlfn.TEXTJOIN(",",TRUE,_xlpm.x)),"Not Created"))</f>
      </c>
      <c r="W48" s="97"/>
    </row>
    <row r="49" spans="1:23" ht="15" x14ac:dyDescent="0.35">
      <c r="A49" s="92">
        <v>45</v>
      </c>
      <c r="B49" s="313"/>
      <c r="C49" s="85">
        <f t="shared" si="2"/>
      </c>
      <c r="D49" s="86" cm="1">
        <f t="array" ref="D49">IF($B49="","",IFERROR(_xlfn.XLOOKUP($B49,INDEX(RiskAssessment[],0,2),INDEX(RiskAssessment[],0,5),""),""))</f>
      </c>
      <c r="E49" s="87" cm="1">
        <f t="array" ref="E49">IF($B49="","",IFERROR(_xlfn.XLOOKUP($B49,INDEX(RiskAssessment[],0,2),INDEX(RiskAssessment[],0,7),""),""))</f>
      </c>
      <c r="F49" s="87" cm="1">
        <f t="array" ref="F49">IF($B49="","",IFERROR(_xlfn.XLOOKUP($B49,INDEX(RiskAssessment[],0,2),INDEX(RiskAssessment[],0,8),""),""))</f>
      </c>
      <c r="G49" s="174">
        <f>IF($B49="","",_xlfn.XLOOKUP($B49,'10. Risk Assessment'!$B$5:$B$34,'10. Risk Assessment'!$F$5:$F$34,""))</f>
      </c>
      <c r="H49" s="315"/>
      <c r="I49" s="97"/>
      <c r="J49" s="313"/>
      <c r="K49" s="313"/>
      <c r="L49" s="313"/>
      <c r="M49" s="313"/>
      <c r="N49" s="313"/>
      <c r="O49" s="313"/>
      <c r="P49" s="97"/>
      <c r="Q49" s="182"/>
      <c r="R49" s="182"/>
      <c r="S49" s="182"/>
      <c r="T49" s="86" cm="1">
        <f t="array" aca="1" ref="T49" ca="1">IF($B49="","",_xlfn.LET(_xlpm.flag,$J49:$O49,_xlpm.total,COUNTIFS('12. Requirements Register'!$C$5:$C$304,$C49,'12. Requirements Register'!$E$5:$E$304,$J$4:$O$4),_xlpm.readyCount,COUNTIFS('12. Requirements Register'!$C$5:$C$304,$C49,'12. Requirements Register'!$E$5:$E$304,$J$4:$O$4,'12. Requirements Register'!$L$5:$L$304,"Ready"),_xlpm.reqOK,SUM(--(_xlpm.flag="Yes")*--(_xlpm.total&gt;0)*--(_xlpm.readyCount=_xlpm.total))=COUNTIF(_xlpm.flag,"Yes"),_xlpm.core,AND($H49&lt;&gt;"",$I49&lt;&gt;"",$P49&lt;&gt;"",$Q49&lt;&gt;"",$R49&lt;&gt;"",$V49&lt;&gt;"",$V49&lt;&gt;"Not Created"),IF($S49&lt;&gt;"",IF(AND($S49&lt;=TODAY(),_xlpm.core,_xlpm.reqOK),"Completed","Incomplete"),IF($Q49="","Planned",IF(TODAY()&lt;$Q49,"Planned",IF($R49="","In Progress",IF(TODAY()&lt;=$R49,"In Progress","Overdue")))))))</f>
      </c>
      <c r="U49" s="86">
        <f t="shared" si="1"/>
      </c>
      <c r="V49" s="89" cm="1">
        <f t="array" ref="V49">IF($C49="","",IFERROR(_xlfn.LET(_xlpm.x,_xlfn.UNIQUE(_xlfn._xlws.FILTER('14. Recovery &amp; Response'!$B$5:$B$104,('14. Recovery &amp; Response'!$C$5:$C$104=$C49)*('14. Recovery &amp; Response'!$B$5:$B$104&lt;&gt;""))),_xlfn.TEXTJOIN(",",TRUE,_xlpm.x)),"Not Created"))</f>
      </c>
      <c r="W49" s="97"/>
    </row>
    <row r="50" spans="1:23" ht="15" x14ac:dyDescent="0.35">
      <c r="A50" s="92">
        <v>46</v>
      </c>
      <c r="B50" s="313"/>
      <c r="C50" s="85">
        <f t="shared" si="2"/>
      </c>
      <c r="D50" s="86" cm="1">
        <f t="array" ref="D50">IF($B50="","",IFERROR(_xlfn.XLOOKUP($B50,INDEX(RiskAssessment[],0,2),INDEX(RiskAssessment[],0,5),""),""))</f>
      </c>
      <c r="E50" s="87" cm="1">
        <f t="array" ref="E50">IF($B50="","",IFERROR(_xlfn.XLOOKUP($B50,INDEX(RiskAssessment[],0,2),INDEX(RiskAssessment[],0,7),""),""))</f>
      </c>
      <c r="F50" s="87" cm="1">
        <f t="array" ref="F50">IF($B50="","",IFERROR(_xlfn.XLOOKUP($B50,INDEX(RiskAssessment[],0,2),INDEX(RiskAssessment[],0,8),""),""))</f>
      </c>
      <c r="G50" s="174">
        <f>IF($B50="","",_xlfn.XLOOKUP($B50,'10. Risk Assessment'!$B$5:$B$34,'10. Risk Assessment'!$F$5:$F$34,""))</f>
      </c>
      <c r="H50" s="315"/>
      <c r="I50" s="97"/>
      <c r="J50" s="313"/>
      <c r="K50" s="313"/>
      <c r="L50" s="313"/>
      <c r="M50" s="313"/>
      <c r="N50" s="313"/>
      <c r="O50" s="313"/>
      <c r="P50" s="97"/>
      <c r="Q50" s="182"/>
      <c r="R50" s="182"/>
      <c r="S50" s="182"/>
      <c r="T50" s="86" cm="1">
        <f t="array" aca="1" ref="T50" ca="1">IF($B50="","",_xlfn.LET(_xlpm.flag,$J50:$O50,_xlpm.total,COUNTIFS('12. Requirements Register'!$C$5:$C$304,$C50,'12. Requirements Register'!$E$5:$E$304,$J$4:$O$4),_xlpm.readyCount,COUNTIFS('12. Requirements Register'!$C$5:$C$304,$C50,'12. Requirements Register'!$E$5:$E$304,$J$4:$O$4,'12. Requirements Register'!$L$5:$L$304,"Ready"),_xlpm.reqOK,SUM(--(_xlpm.flag="Yes")*--(_xlpm.total&gt;0)*--(_xlpm.readyCount=_xlpm.total))=COUNTIF(_xlpm.flag,"Yes"),_xlpm.core,AND($H50&lt;&gt;"",$I50&lt;&gt;"",$P50&lt;&gt;"",$Q50&lt;&gt;"",$R50&lt;&gt;"",$V50&lt;&gt;"",$V50&lt;&gt;"Not Created"),IF($S50&lt;&gt;"",IF(AND($S50&lt;=TODAY(),_xlpm.core,_xlpm.reqOK),"Completed","Incomplete"),IF($Q50="","Planned",IF(TODAY()&lt;$Q50,"Planned",IF($R50="","In Progress",IF(TODAY()&lt;=$R50,"In Progress","Overdue")))))))</f>
      </c>
      <c r="U50" s="86">
        <f t="shared" si="1"/>
      </c>
      <c r="V50" s="89" cm="1">
        <f t="array" ref="V50">IF($C50="","",IFERROR(_xlfn.LET(_xlpm.x,_xlfn.UNIQUE(_xlfn._xlws.FILTER('14. Recovery &amp; Response'!$B$5:$B$104,('14. Recovery &amp; Response'!$C$5:$C$104=$C50)*('14. Recovery &amp; Response'!$B$5:$B$104&lt;&gt;""))),_xlfn.TEXTJOIN(",",TRUE,_xlpm.x)),"Not Created"))</f>
      </c>
      <c r="W50" s="97"/>
    </row>
    <row r="51" spans="1:23" ht="15" x14ac:dyDescent="0.35">
      <c r="A51" s="92">
        <v>47</v>
      </c>
      <c r="B51" s="313"/>
      <c r="C51" s="85">
        <f t="shared" si="2"/>
      </c>
      <c r="D51" s="86" cm="1">
        <f t="array" ref="D51">IF($B51="","",IFERROR(_xlfn.XLOOKUP($B51,INDEX(RiskAssessment[],0,2),INDEX(RiskAssessment[],0,5),""),""))</f>
      </c>
      <c r="E51" s="87" cm="1">
        <f t="array" ref="E51">IF($B51="","",IFERROR(_xlfn.XLOOKUP($B51,INDEX(RiskAssessment[],0,2),INDEX(RiskAssessment[],0,7),""),""))</f>
      </c>
      <c r="F51" s="87" cm="1">
        <f t="array" ref="F51">IF($B51="","",IFERROR(_xlfn.XLOOKUP($B51,INDEX(RiskAssessment[],0,2),INDEX(RiskAssessment[],0,8),""),""))</f>
      </c>
      <c r="G51" s="174">
        <f>IF($B51="","",_xlfn.XLOOKUP($B51,'10. Risk Assessment'!$B$5:$B$34,'10. Risk Assessment'!$F$5:$F$34,""))</f>
      </c>
      <c r="H51" s="315"/>
      <c r="I51" s="97"/>
      <c r="J51" s="313"/>
      <c r="K51" s="313"/>
      <c r="L51" s="313"/>
      <c r="M51" s="313"/>
      <c r="N51" s="313"/>
      <c r="O51" s="313"/>
      <c r="P51" s="97"/>
      <c r="Q51" s="182"/>
      <c r="R51" s="182"/>
      <c r="S51" s="182"/>
      <c r="T51" s="86" cm="1">
        <f t="array" aca="1" ref="T51" ca="1">IF($B51="","",_xlfn.LET(_xlpm.flag,$J51:$O51,_xlpm.total,COUNTIFS('12. Requirements Register'!$C$5:$C$304,$C51,'12. Requirements Register'!$E$5:$E$304,$J$4:$O$4),_xlpm.readyCount,COUNTIFS('12. Requirements Register'!$C$5:$C$304,$C51,'12. Requirements Register'!$E$5:$E$304,$J$4:$O$4,'12. Requirements Register'!$L$5:$L$304,"Ready"),_xlpm.reqOK,SUM(--(_xlpm.flag="Yes")*--(_xlpm.total&gt;0)*--(_xlpm.readyCount=_xlpm.total))=COUNTIF(_xlpm.flag,"Yes"),_xlpm.core,AND($H51&lt;&gt;"",$I51&lt;&gt;"",$P51&lt;&gt;"",$Q51&lt;&gt;"",$R51&lt;&gt;"",$V51&lt;&gt;"",$V51&lt;&gt;"Not Created"),IF($S51&lt;&gt;"",IF(AND($S51&lt;=TODAY(),_xlpm.core,_xlpm.reqOK),"Completed","Incomplete"),IF($Q51="","Planned",IF(TODAY()&lt;$Q51,"Planned",IF($R51="","In Progress",IF(TODAY()&lt;=$R51,"In Progress","Overdue")))))))</f>
      </c>
      <c r="U51" s="86">
        <f t="shared" si="1"/>
      </c>
      <c r="V51" s="89" cm="1">
        <f t="array" ref="V51">IF($C51="","",IFERROR(_xlfn.LET(_xlpm.x,_xlfn.UNIQUE(_xlfn._xlws.FILTER('14. Recovery &amp; Response'!$B$5:$B$104,('14. Recovery &amp; Response'!$C$5:$C$104=$C51)*('14. Recovery &amp; Response'!$B$5:$B$104&lt;&gt;""))),_xlfn.TEXTJOIN(",",TRUE,_xlpm.x)),"Not Created"))</f>
      </c>
      <c r="W51" s="97"/>
    </row>
    <row r="52" spans="1:23" ht="15" x14ac:dyDescent="0.35">
      <c r="A52" s="92">
        <v>48</v>
      </c>
      <c r="B52" s="313"/>
      <c r="C52" s="85">
        <f t="shared" si="2"/>
      </c>
      <c r="D52" s="86" cm="1">
        <f t="array" ref="D52">IF($B52="","",IFERROR(_xlfn.XLOOKUP($B52,INDEX(RiskAssessment[],0,2),INDEX(RiskAssessment[],0,5),""),""))</f>
      </c>
      <c r="E52" s="87" cm="1">
        <f t="array" ref="E52">IF($B52="","",IFERROR(_xlfn.XLOOKUP($B52,INDEX(RiskAssessment[],0,2),INDEX(RiskAssessment[],0,7),""),""))</f>
      </c>
      <c r="F52" s="87" cm="1">
        <f t="array" ref="F52">IF($B52="","",IFERROR(_xlfn.XLOOKUP($B52,INDEX(RiskAssessment[],0,2),INDEX(RiskAssessment[],0,8),""),""))</f>
      </c>
      <c r="G52" s="174">
        <f>IF($B52="","",_xlfn.XLOOKUP($B52,'10. Risk Assessment'!$B$5:$B$34,'10. Risk Assessment'!$F$5:$F$34,""))</f>
      </c>
      <c r="H52" s="315"/>
      <c r="I52" s="97"/>
      <c r="J52" s="313"/>
      <c r="K52" s="313"/>
      <c r="L52" s="313"/>
      <c r="M52" s="313"/>
      <c r="N52" s="313"/>
      <c r="O52" s="313"/>
      <c r="P52" s="97"/>
      <c r="Q52" s="182"/>
      <c r="R52" s="182"/>
      <c r="S52" s="182"/>
      <c r="T52" s="86" cm="1">
        <f t="array" aca="1" ref="T52" ca="1">IF($B52="","",_xlfn.LET(_xlpm.flag,$J52:$O52,_xlpm.total,COUNTIFS('12. Requirements Register'!$C$5:$C$304,$C52,'12. Requirements Register'!$E$5:$E$304,$J$4:$O$4),_xlpm.readyCount,COUNTIFS('12. Requirements Register'!$C$5:$C$304,$C52,'12. Requirements Register'!$E$5:$E$304,$J$4:$O$4,'12. Requirements Register'!$L$5:$L$304,"Ready"),_xlpm.reqOK,SUM(--(_xlpm.flag="Yes")*--(_xlpm.total&gt;0)*--(_xlpm.readyCount=_xlpm.total))=COUNTIF(_xlpm.flag,"Yes"),_xlpm.core,AND($H52&lt;&gt;"",$I52&lt;&gt;"",$P52&lt;&gt;"",$Q52&lt;&gt;"",$R52&lt;&gt;"",$V52&lt;&gt;"",$V52&lt;&gt;"Not Created"),IF($S52&lt;&gt;"",IF(AND($S52&lt;=TODAY(),_xlpm.core,_xlpm.reqOK),"Completed","Incomplete"),IF($Q52="","Planned",IF(TODAY()&lt;$Q52,"Planned",IF($R52="","In Progress",IF(TODAY()&lt;=$R52,"In Progress","Overdue")))))))</f>
      </c>
      <c r="U52" s="86">
        <f t="shared" si="1"/>
      </c>
      <c r="V52" s="89" cm="1">
        <f t="array" ref="V52">IF($C52="","",IFERROR(_xlfn.LET(_xlpm.x,_xlfn.UNIQUE(_xlfn._xlws.FILTER('14. Recovery &amp; Response'!$B$5:$B$104,('14. Recovery &amp; Response'!$C$5:$C$104=$C52)*('14. Recovery &amp; Response'!$B$5:$B$104&lt;&gt;""))),_xlfn.TEXTJOIN(",",TRUE,_xlpm.x)),"Not Created"))</f>
      </c>
      <c r="W52" s="97"/>
    </row>
    <row r="53" spans="1:23" ht="15" x14ac:dyDescent="0.35">
      <c r="A53" s="92">
        <v>49</v>
      </c>
      <c r="B53" s="313"/>
      <c r="C53" s="85">
        <f t="shared" si="2"/>
      </c>
      <c r="D53" s="86" cm="1">
        <f t="array" ref="D53">IF($B53="","",IFERROR(_xlfn.XLOOKUP($B53,INDEX(RiskAssessment[],0,2),INDEX(RiskAssessment[],0,5),""),""))</f>
      </c>
      <c r="E53" s="87" cm="1">
        <f t="array" ref="E53">IF($B53="","",IFERROR(_xlfn.XLOOKUP($B53,INDEX(RiskAssessment[],0,2),INDEX(RiskAssessment[],0,7),""),""))</f>
      </c>
      <c r="F53" s="87" cm="1">
        <f t="array" ref="F53">IF($B53="","",IFERROR(_xlfn.XLOOKUP($B53,INDEX(RiskAssessment[],0,2),INDEX(RiskAssessment[],0,8),""),""))</f>
      </c>
      <c r="G53" s="174">
        <f>IF($B53="","",_xlfn.XLOOKUP($B53,'10. Risk Assessment'!$B$5:$B$34,'10. Risk Assessment'!$F$5:$F$34,""))</f>
      </c>
      <c r="H53" s="315"/>
      <c r="I53" s="97"/>
      <c r="J53" s="313"/>
      <c r="K53" s="313"/>
      <c r="L53" s="313"/>
      <c r="M53" s="313"/>
      <c r="N53" s="313"/>
      <c r="O53" s="313"/>
      <c r="P53" s="97"/>
      <c r="Q53" s="182"/>
      <c r="R53" s="182"/>
      <c r="S53" s="182"/>
      <c r="T53" s="86" cm="1">
        <f t="array" aca="1" ref="T53" ca="1">IF($B53="","",_xlfn.LET(_xlpm.flag,$J53:$O53,_xlpm.total,COUNTIFS('12. Requirements Register'!$C$5:$C$304,$C53,'12. Requirements Register'!$E$5:$E$304,$J$4:$O$4),_xlpm.readyCount,COUNTIFS('12. Requirements Register'!$C$5:$C$304,$C53,'12. Requirements Register'!$E$5:$E$304,$J$4:$O$4,'12. Requirements Register'!$L$5:$L$304,"Ready"),_xlpm.reqOK,SUM(--(_xlpm.flag="Yes")*--(_xlpm.total&gt;0)*--(_xlpm.readyCount=_xlpm.total))=COUNTIF(_xlpm.flag,"Yes"),_xlpm.core,AND($H53&lt;&gt;"",$I53&lt;&gt;"",$P53&lt;&gt;"",$Q53&lt;&gt;"",$R53&lt;&gt;"",$V53&lt;&gt;"",$V53&lt;&gt;"Not Created"),IF($S53&lt;&gt;"",IF(AND($S53&lt;=TODAY(),_xlpm.core,_xlpm.reqOK),"Completed","Incomplete"),IF($Q53="","Planned",IF(TODAY()&lt;$Q53,"Planned",IF($R53="","In Progress",IF(TODAY()&lt;=$R53,"In Progress","Overdue")))))))</f>
      </c>
      <c r="U53" s="86">
        <f t="shared" si="1"/>
      </c>
      <c r="V53" s="89" cm="1">
        <f t="array" ref="V53">IF($C53="","",IFERROR(_xlfn.LET(_xlpm.x,_xlfn.UNIQUE(_xlfn._xlws.FILTER('14. Recovery &amp; Response'!$B$5:$B$104,('14. Recovery &amp; Response'!$C$5:$C$104=$C53)*('14. Recovery &amp; Response'!$B$5:$B$104&lt;&gt;""))),_xlfn.TEXTJOIN(",",TRUE,_xlpm.x)),"Not Created"))</f>
      </c>
      <c r="W53" s="97"/>
    </row>
    <row r="54" spans="1:23" ht="15" x14ac:dyDescent="0.35">
      <c r="A54" s="92">
        <v>50</v>
      </c>
      <c r="B54" s="313"/>
      <c r="C54" s="85">
        <f t="shared" si="2"/>
      </c>
      <c r="D54" s="86" cm="1">
        <f t="array" ref="D54">IF($B54="","",IFERROR(_xlfn.XLOOKUP($B54,INDEX(RiskAssessment[],0,2),INDEX(RiskAssessment[],0,5),""),""))</f>
      </c>
      <c r="E54" s="87" cm="1">
        <f t="array" ref="E54">IF($B54="","",IFERROR(_xlfn.XLOOKUP($B54,INDEX(RiskAssessment[],0,2),INDEX(RiskAssessment[],0,7),""),""))</f>
      </c>
      <c r="F54" s="87" cm="1">
        <f t="array" ref="F54">IF($B54="","",IFERROR(_xlfn.XLOOKUP($B54,INDEX(RiskAssessment[],0,2),INDEX(RiskAssessment[],0,8),""),""))</f>
      </c>
      <c r="G54" s="174">
        <f>IF($B54="","",_xlfn.XLOOKUP($B54,'10. Risk Assessment'!$B$5:$B$34,'10. Risk Assessment'!$F$5:$F$34,""))</f>
      </c>
      <c r="H54" s="315"/>
      <c r="I54" s="97"/>
      <c r="J54" s="313"/>
      <c r="K54" s="313"/>
      <c r="L54" s="313"/>
      <c r="M54" s="313"/>
      <c r="N54" s="313"/>
      <c r="O54" s="313"/>
      <c r="P54" s="97"/>
      <c r="Q54" s="182"/>
      <c r="R54" s="182"/>
      <c r="S54" s="182"/>
      <c r="T54" s="86" cm="1">
        <f t="array" aca="1" ref="T54" ca="1">IF($B54="","",_xlfn.LET(_xlpm.flag,$J54:$O54,_xlpm.total,COUNTIFS('12. Requirements Register'!$C$5:$C$304,$C54,'12. Requirements Register'!$E$5:$E$304,$J$4:$O$4),_xlpm.readyCount,COUNTIFS('12. Requirements Register'!$C$5:$C$304,$C54,'12. Requirements Register'!$E$5:$E$304,$J$4:$O$4,'12. Requirements Register'!$L$5:$L$304,"Ready"),_xlpm.reqOK,SUM(--(_xlpm.flag="Yes")*--(_xlpm.total&gt;0)*--(_xlpm.readyCount=_xlpm.total))=COUNTIF(_xlpm.flag,"Yes"),_xlpm.core,AND($H54&lt;&gt;"",$I54&lt;&gt;"",$P54&lt;&gt;"",$Q54&lt;&gt;"",$R54&lt;&gt;"",$V54&lt;&gt;"",$V54&lt;&gt;"Not Created"),IF($S54&lt;&gt;"",IF(AND($S54&lt;=TODAY(),_xlpm.core,_xlpm.reqOK),"Completed","Incomplete"),IF($Q54="","Planned",IF(TODAY()&lt;$Q54,"Planned",IF($R54="","In Progress",IF(TODAY()&lt;=$R54,"In Progress","Overdue")))))))</f>
      </c>
      <c r="U54" s="86">
        <f t="shared" si="1"/>
      </c>
      <c r="V54" s="89" cm="1">
        <f t="array" ref="V54">IF($C54="","",IFERROR(_xlfn.LET(_xlpm.x,_xlfn.UNIQUE(_xlfn._xlws.FILTER('14. Recovery &amp; Response'!$B$5:$B$104,('14. Recovery &amp; Response'!$C$5:$C$104=$C54)*('14. Recovery &amp; Response'!$B$5:$B$104&lt;&gt;""))),_xlfn.TEXTJOIN(",",TRUE,_xlpm.x)),"Not Created"))</f>
      </c>
      <c r="W54" s="97"/>
    </row>
    <row r="55" spans="1:23" ht="15" x14ac:dyDescent="0.35">
      <c r="A55" s="92">
        <v>51</v>
      </c>
      <c r="B55" s="313"/>
      <c r="C55" s="85">
        <f t="shared" si="2"/>
      </c>
      <c r="D55" s="86" cm="1">
        <f t="array" ref="D55">IF($B55="","",IFERROR(_xlfn.XLOOKUP($B55,INDEX(RiskAssessment[],0,2),INDEX(RiskAssessment[],0,5),""),""))</f>
      </c>
      <c r="E55" s="87" cm="1">
        <f t="array" ref="E55">IF($B55="","",IFERROR(_xlfn.XLOOKUP($B55,INDEX(RiskAssessment[],0,2),INDEX(RiskAssessment[],0,7),""),""))</f>
      </c>
      <c r="F55" s="87" cm="1">
        <f t="array" ref="F55">IF($B55="","",IFERROR(_xlfn.XLOOKUP($B55,INDEX(RiskAssessment[],0,2),INDEX(RiskAssessment[],0,8),""),""))</f>
      </c>
      <c r="G55" s="174">
        <f>IF($B55="","",_xlfn.XLOOKUP($B55,'10. Risk Assessment'!$B$5:$B$34,'10. Risk Assessment'!$F$5:$F$34,""))</f>
      </c>
      <c r="H55" s="315"/>
      <c r="I55" s="97"/>
      <c r="J55" s="313"/>
      <c r="K55" s="313"/>
      <c r="L55" s="313"/>
      <c r="M55" s="313"/>
      <c r="N55" s="313"/>
      <c r="O55" s="313"/>
      <c r="P55" s="97"/>
      <c r="Q55" s="182"/>
      <c r="R55" s="182"/>
      <c r="S55" s="182"/>
      <c r="T55" s="86" cm="1">
        <f t="array" aca="1" ref="T55" ca="1">IF($B55="","",_xlfn.LET(_xlpm.flag,$J55:$O55,_xlpm.total,COUNTIFS('12. Requirements Register'!$C$5:$C$304,$C55,'12. Requirements Register'!$E$5:$E$304,$J$4:$O$4),_xlpm.readyCount,COUNTIFS('12. Requirements Register'!$C$5:$C$304,$C55,'12. Requirements Register'!$E$5:$E$304,$J$4:$O$4,'12. Requirements Register'!$L$5:$L$304,"Ready"),_xlpm.reqOK,SUM(--(_xlpm.flag="Yes")*--(_xlpm.total&gt;0)*--(_xlpm.readyCount=_xlpm.total))=COUNTIF(_xlpm.flag,"Yes"),_xlpm.core,AND($H55&lt;&gt;"",$I55&lt;&gt;"",$P55&lt;&gt;"",$Q55&lt;&gt;"",$R55&lt;&gt;"",$V55&lt;&gt;"",$V55&lt;&gt;"Not Created"),IF($S55&lt;&gt;"",IF(AND($S55&lt;=TODAY(),_xlpm.core,_xlpm.reqOK),"Completed","Incomplete"),IF($Q55="","Planned",IF(TODAY()&lt;$Q55,"Planned",IF($R55="","In Progress",IF(TODAY()&lt;=$R55,"In Progress","Overdue")))))))</f>
      </c>
      <c r="U55" s="86">
        <f t="shared" si="1"/>
      </c>
      <c r="V55" s="89" cm="1">
        <f t="array" ref="V55">IF($C55="","",IFERROR(_xlfn.LET(_xlpm.x,_xlfn.UNIQUE(_xlfn._xlws.FILTER('14. Recovery &amp; Response'!$B$5:$B$104,('14. Recovery &amp; Response'!$C$5:$C$104=$C55)*('14. Recovery &amp; Response'!$B$5:$B$104&lt;&gt;""))),_xlfn.TEXTJOIN(",",TRUE,_xlpm.x)),"Not Created"))</f>
      </c>
      <c r="W55" s="97"/>
    </row>
    <row r="56" spans="1:23" ht="15" x14ac:dyDescent="0.35">
      <c r="A56" s="92">
        <v>52</v>
      </c>
      <c r="B56" s="313"/>
      <c r="C56" s="85">
        <f t="shared" si="2"/>
      </c>
      <c r="D56" s="86" cm="1">
        <f t="array" ref="D56">IF($B56="","",IFERROR(_xlfn.XLOOKUP($B56,INDEX(RiskAssessment[],0,2),INDEX(RiskAssessment[],0,5),""),""))</f>
      </c>
      <c r="E56" s="87" cm="1">
        <f t="array" ref="E56">IF($B56="","",IFERROR(_xlfn.XLOOKUP($B56,INDEX(RiskAssessment[],0,2),INDEX(RiskAssessment[],0,7),""),""))</f>
      </c>
      <c r="F56" s="87" cm="1">
        <f t="array" ref="F56">IF($B56="","",IFERROR(_xlfn.XLOOKUP($B56,INDEX(RiskAssessment[],0,2),INDEX(RiskAssessment[],0,8),""),""))</f>
      </c>
      <c r="G56" s="174">
        <f>IF($B56="","",_xlfn.XLOOKUP($B56,'10. Risk Assessment'!$B$5:$B$34,'10. Risk Assessment'!$F$5:$F$34,""))</f>
      </c>
      <c r="H56" s="315"/>
      <c r="I56" s="97"/>
      <c r="J56" s="313"/>
      <c r="K56" s="313"/>
      <c r="L56" s="313"/>
      <c r="M56" s="313"/>
      <c r="N56" s="313"/>
      <c r="O56" s="313"/>
      <c r="P56" s="97"/>
      <c r="Q56" s="182"/>
      <c r="R56" s="182"/>
      <c r="S56" s="182"/>
      <c r="T56" s="86" cm="1">
        <f t="array" aca="1" ref="T56" ca="1">IF($B56="","",_xlfn.LET(_xlpm.flag,$J56:$O56,_xlpm.total,COUNTIFS('12. Requirements Register'!$C$5:$C$304,$C56,'12. Requirements Register'!$E$5:$E$304,$J$4:$O$4),_xlpm.readyCount,COUNTIFS('12. Requirements Register'!$C$5:$C$304,$C56,'12. Requirements Register'!$E$5:$E$304,$J$4:$O$4,'12. Requirements Register'!$L$5:$L$304,"Ready"),_xlpm.reqOK,SUM(--(_xlpm.flag="Yes")*--(_xlpm.total&gt;0)*--(_xlpm.readyCount=_xlpm.total))=COUNTIF(_xlpm.flag,"Yes"),_xlpm.core,AND($H56&lt;&gt;"",$I56&lt;&gt;"",$P56&lt;&gt;"",$Q56&lt;&gt;"",$R56&lt;&gt;"",$V56&lt;&gt;"",$V56&lt;&gt;"Not Created"),IF($S56&lt;&gt;"",IF(AND($S56&lt;=TODAY(),_xlpm.core,_xlpm.reqOK),"Completed","Incomplete"),IF($Q56="","Planned",IF(TODAY()&lt;$Q56,"Planned",IF($R56="","In Progress",IF(TODAY()&lt;=$R56,"In Progress","Overdue")))))))</f>
      </c>
      <c r="U56" s="86">
        <f t="shared" si="1"/>
      </c>
      <c r="V56" s="89" cm="1">
        <f t="array" ref="V56">IF($C56="","",IFERROR(_xlfn.LET(_xlpm.x,_xlfn.UNIQUE(_xlfn._xlws.FILTER('14. Recovery &amp; Response'!$B$5:$B$104,('14. Recovery &amp; Response'!$C$5:$C$104=$C56)*('14. Recovery &amp; Response'!$B$5:$B$104&lt;&gt;""))),_xlfn.TEXTJOIN(",",TRUE,_xlpm.x)),"Not Created"))</f>
      </c>
      <c r="W56" s="97"/>
    </row>
    <row r="57" spans="1:23" ht="15" x14ac:dyDescent="0.35">
      <c r="A57" s="92">
        <v>53</v>
      </c>
      <c r="B57" s="313"/>
      <c r="C57" s="85">
        <f t="shared" si="2"/>
      </c>
      <c r="D57" s="86" cm="1">
        <f t="array" ref="D57">IF($B57="","",IFERROR(_xlfn.XLOOKUP($B57,INDEX(RiskAssessment[],0,2),INDEX(RiskAssessment[],0,5),""),""))</f>
      </c>
      <c r="E57" s="87" cm="1">
        <f t="array" ref="E57">IF($B57="","",IFERROR(_xlfn.XLOOKUP($B57,INDEX(RiskAssessment[],0,2),INDEX(RiskAssessment[],0,7),""),""))</f>
      </c>
      <c r="F57" s="87" cm="1">
        <f t="array" ref="F57">IF($B57="","",IFERROR(_xlfn.XLOOKUP($B57,INDEX(RiskAssessment[],0,2),INDEX(RiskAssessment[],0,8),""),""))</f>
      </c>
      <c r="G57" s="174">
        <f>IF($B57="","",_xlfn.XLOOKUP($B57,'10. Risk Assessment'!$B$5:$B$34,'10. Risk Assessment'!$F$5:$F$34,""))</f>
      </c>
      <c r="H57" s="315"/>
      <c r="I57" s="97"/>
      <c r="J57" s="313"/>
      <c r="K57" s="313"/>
      <c r="L57" s="313"/>
      <c r="M57" s="313"/>
      <c r="N57" s="313"/>
      <c r="O57" s="313"/>
      <c r="P57" s="97"/>
      <c r="Q57" s="182"/>
      <c r="R57" s="182"/>
      <c r="S57" s="182"/>
      <c r="T57" s="86" cm="1">
        <f t="array" aca="1" ref="T57" ca="1">IF($B57="","",_xlfn.LET(_xlpm.flag,$J57:$O57,_xlpm.total,COUNTIFS('12. Requirements Register'!$C$5:$C$304,$C57,'12. Requirements Register'!$E$5:$E$304,$J$4:$O$4),_xlpm.readyCount,COUNTIFS('12. Requirements Register'!$C$5:$C$304,$C57,'12. Requirements Register'!$E$5:$E$304,$J$4:$O$4,'12. Requirements Register'!$L$5:$L$304,"Ready"),_xlpm.reqOK,SUM(--(_xlpm.flag="Yes")*--(_xlpm.total&gt;0)*--(_xlpm.readyCount=_xlpm.total))=COUNTIF(_xlpm.flag,"Yes"),_xlpm.core,AND($H57&lt;&gt;"",$I57&lt;&gt;"",$P57&lt;&gt;"",$Q57&lt;&gt;"",$R57&lt;&gt;"",$V57&lt;&gt;"",$V57&lt;&gt;"Not Created"),IF($S57&lt;&gt;"",IF(AND($S57&lt;=TODAY(),_xlpm.core,_xlpm.reqOK),"Completed","Incomplete"),IF($Q57="","Planned",IF(TODAY()&lt;$Q57,"Planned",IF($R57="","In Progress",IF(TODAY()&lt;=$R57,"In Progress","Overdue")))))))</f>
      </c>
      <c r="U57" s="86">
        <f t="shared" si="1"/>
      </c>
      <c r="V57" s="89" cm="1">
        <f t="array" ref="V57">IF($C57="","",IFERROR(_xlfn.LET(_xlpm.x,_xlfn.UNIQUE(_xlfn._xlws.FILTER('14. Recovery &amp; Response'!$B$5:$B$104,('14. Recovery &amp; Response'!$C$5:$C$104=$C57)*('14. Recovery &amp; Response'!$B$5:$B$104&lt;&gt;""))),_xlfn.TEXTJOIN(",",TRUE,_xlpm.x)),"Not Created"))</f>
      </c>
      <c r="W57" s="97"/>
    </row>
    <row r="58" spans="1:23" ht="15" x14ac:dyDescent="0.35">
      <c r="A58" s="92">
        <v>54</v>
      </c>
      <c r="B58" s="313"/>
      <c r="C58" s="85">
        <f t="shared" si="2"/>
      </c>
      <c r="D58" s="86" cm="1">
        <f t="array" ref="D58">IF($B58="","",IFERROR(_xlfn.XLOOKUP($B58,INDEX(RiskAssessment[],0,2),INDEX(RiskAssessment[],0,5),""),""))</f>
      </c>
      <c r="E58" s="87" cm="1">
        <f t="array" ref="E58">IF($B58="","",IFERROR(_xlfn.XLOOKUP($B58,INDEX(RiskAssessment[],0,2),INDEX(RiskAssessment[],0,7),""),""))</f>
      </c>
      <c r="F58" s="87" cm="1">
        <f t="array" ref="F58">IF($B58="","",IFERROR(_xlfn.XLOOKUP($B58,INDEX(RiskAssessment[],0,2),INDEX(RiskAssessment[],0,8),""),""))</f>
      </c>
      <c r="G58" s="174">
        <f>IF($B58="","",_xlfn.XLOOKUP($B58,'10. Risk Assessment'!$B$5:$B$34,'10. Risk Assessment'!$F$5:$F$34,""))</f>
      </c>
      <c r="H58" s="315"/>
      <c r="I58" s="97"/>
      <c r="J58" s="313"/>
      <c r="K58" s="313"/>
      <c r="L58" s="313"/>
      <c r="M58" s="313"/>
      <c r="N58" s="313"/>
      <c r="O58" s="313"/>
      <c r="P58" s="97"/>
      <c r="Q58" s="182"/>
      <c r="R58" s="182"/>
      <c r="S58" s="182"/>
      <c r="T58" s="86" cm="1">
        <f t="array" aca="1" ref="T58" ca="1">IF($B58="","",_xlfn.LET(_xlpm.flag,$J58:$O58,_xlpm.total,COUNTIFS('12. Requirements Register'!$C$5:$C$304,$C58,'12. Requirements Register'!$E$5:$E$304,$J$4:$O$4),_xlpm.readyCount,COUNTIFS('12. Requirements Register'!$C$5:$C$304,$C58,'12. Requirements Register'!$E$5:$E$304,$J$4:$O$4,'12. Requirements Register'!$L$5:$L$304,"Ready"),_xlpm.reqOK,SUM(--(_xlpm.flag="Yes")*--(_xlpm.total&gt;0)*--(_xlpm.readyCount=_xlpm.total))=COUNTIF(_xlpm.flag,"Yes"),_xlpm.core,AND($H58&lt;&gt;"",$I58&lt;&gt;"",$P58&lt;&gt;"",$Q58&lt;&gt;"",$R58&lt;&gt;"",$V58&lt;&gt;"",$V58&lt;&gt;"Not Created"),IF($S58&lt;&gt;"",IF(AND($S58&lt;=TODAY(),_xlpm.core,_xlpm.reqOK),"Completed","Incomplete"),IF($Q58="","Planned",IF(TODAY()&lt;$Q58,"Planned",IF($R58="","In Progress",IF(TODAY()&lt;=$R58,"In Progress","Overdue")))))))</f>
      </c>
      <c r="U58" s="86">
        <f t="shared" si="1"/>
      </c>
      <c r="V58" s="89" cm="1">
        <f t="array" ref="V58">IF($C58="","",IFERROR(_xlfn.LET(_xlpm.x,_xlfn.UNIQUE(_xlfn._xlws.FILTER('14. Recovery &amp; Response'!$B$5:$B$104,('14. Recovery &amp; Response'!$C$5:$C$104=$C58)*('14. Recovery &amp; Response'!$B$5:$B$104&lt;&gt;""))),_xlfn.TEXTJOIN(",",TRUE,_xlpm.x)),"Not Created"))</f>
      </c>
      <c r="W58" s="97"/>
    </row>
    <row r="59" spans="1:23" ht="15" x14ac:dyDescent="0.35">
      <c r="A59" s="92">
        <v>55</v>
      </c>
      <c r="B59" s="313"/>
      <c r="C59" s="85">
        <f t="shared" si="2"/>
      </c>
      <c r="D59" s="86" cm="1">
        <f t="array" ref="D59">IF($B59="","",IFERROR(_xlfn.XLOOKUP($B59,INDEX(RiskAssessment[],0,2),INDEX(RiskAssessment[],0,5),""),""))</f>
      </c>
      <c r="E59" s="87" cm="1">
        <f t="array" ref="E59">IF($B59="","",IFERROR(_xlfn.XLOOKUP($B59,INDEX(RiskAssessment[],0,2),INDEX(RiskAssessment[],0,7),""),""))</f>
      </c>
      <c r="F59" s="87" cm="1">
        <f t="array" ref="F59">IF($B59="","",IFERROR(_xlfn.XLOOKUP($B59,INDEX(RiskAssessment[],0,2),INDEX(RiskAssessment[],0,8),""),""))</f>
      </c>
      <c r="G59" s="174">
        <f>IF($B59="","",_xlfn.XLOOKUP($B59,'10. Risk Assessment'!$B$5:$B$34,'10. Risk Assessment'!$F$5:$F$34,""))</f>
      </c>
      <c r="H59" s="315"/>
      <c r="I59" s="97"/>
      <c r="J59" s="313"/>
      <c r="K59" s="313"/>
      <c r="L59" s="313"/>
      <c r="M59" s="313"/>
      <c r="N59" s="313"/>
      <c r="O59" s="313"/>
      <c r="P59" s="97"/>
      <c r="Q59" s="182"/>
      <c r="R59" s="182"/>
      <c r="S59" s="182"/>
      <c r="T59" s="86" cm="1">
        <f t="array" aca="1" ref="T59" ca="1">IF($B59="","",_xlfn.LET(_xlpm.flag,$J59:$O59,_xlpm.total,COUNTIFS('12. Requirements Register'!$C$5:$C$304,$C59,'12. Requirements Register'!$E$5:$E$304,$J$4:$O$4),_xlpm.readyCount,COUNTIFS('12. Requirements Register'!$C$5:$C$304,$C59,'12. Requirements Register'!$E$5:$E$304,$J$4:$O$4,'12. Requirements Register'!$L$5:$L$304,"Ready"),_xlpm.reqOK,SUM(--(_xlpm.flag="Yes")*--(_xlpm.total&gt;0)*--(_xlpm.readyCount=_xlpm.total))=COUNTIF(_xlpm.flag,"Yes"),_xlpm.core,AND($H59&lt;&gt;"",$I59&lt;&gt;"",$P59&lt;&gt;"",$Q59&lt;&gt;"",$R59&lt;&gt;"",$V59&lt;&gt;"",$V59&lt;&gt;"Not Created"),IF($S59&lt;&gt;"",IF(AND($S59&lt;=TODAY(),_xlpm.core,_xlpm.reqOK),"Completed","Incomplete"),IF($Q59="","Planned",IF(TODAY()&lt;$Q59,"Planned",IF($R59="","In Progress",IF(TODAY()&lt;=$R59,"In Progress","Overdue")))))))</f>
      </c>
      <c r="U59" s="86">
        <f t="shared" si="1"/>
      </c>
      <c r="V59" s="89" cm="1">
        <f t="array" ref="V59">IF($C59="","",IFERROR(_xlfn.LET(_xlpm.x,_xlfn.UNIQUE(_xlfn._xlws.FILTER('14. Recovery &amp; Response'!$B$5:$B$104,('14. Recovery &amp; Response'!$C$5:$C$104=$C59)*('14. Recovery &amp; Response'!$B$5:$B$104&lt;&gt;""))),_xlfn.TEXTJOIN(",",TRUE,_xlpm.x)),"Not Created"))</f>
      </c>
      <c r="W59" s="97"/>
    </row>
    <row r="60" spans="1:23" ht="15" x14ac:dyDescent="0.35">
      <c r="A60" s="92">
        <v>56</v>
      </c>
      <c r="B60" s="313"/>
      <c r="C60" s="85">
        <f t="shared" si="2"/>
      </c>
      <c r="D60" s="86" cm="1">
        <f t="array" ref="D60">IF($B60="","",IFERROR(_xlfn.XLOOKUP($B60,INDEX(RiskAssessment[],0,2),INDEX(RiskAssessment[],0,5),""),""))</f>
      </c>
      <c r="E60" s="87" cm="1">
        <f t="array" ref="E60">IF($B60="","",IFERROR(_xlfn.XLOOKUP($B60,INDEX(RiskAssessment[],0,2),INDEX(RiskAssessment[],0,7),""),""))</f>
      </c>
      <c r="F60" s="87" cm="1">
        <f t="array" ref="F60">IF($B60="","",IFERROR(_xlfn.XLOOKUP($B60,INDEX(RiskAssessment[],0,2),INDEX(RiskAssessment[],0,8),""),""))</f>
      </c>
      <c r="G60" s="174">
        <f>IF($B60="","",_xlfn.XLOOKUP($B60,'10. Risk Assessment'!$B$5:$B$34,'10. Risk Assessment'!$F$5:$F$34,""))</f>
      </c>
      <c r="H60" s="315"/>
      <c r="I60" s="97"/>
      <c r="J60" s="313"/>
      <c r="K60" s="313"/>
      <c r="L60" s="313"/>
      <c r="M60" s="313"/>
      <c r="N60" s="313"/>
      <c r="O60" s="313"/>
      <c r="P60" s="97"/>
      <c r="Q60" s="182"/>
      <c r="R60" s="182"/>
      <c r="S60" s="182"/>
      <c r="T60" s="86" cm="1">
        <f t="array" aca="1" ref="T60" ca="1">IF($B60="","",_xlfn.LET(_xlpm.flag,$J60:$O60,_xlpm.total,COUNTIFS('12. Requirements Register'!$C$5:$C$304,$C60,'12. Requirements Register'!$E$5:$E$304,$J$4:$O$4),_xlpm.readyCount,COUNTIFS('12. Requirements Register'!$C$5:$C$304,$C60,'12. Requirements Register'!$E$5:$E$304,$J$4:$O$4,'12. Requirements Register'!$L$5:$L$304,"Ready"),_xlpm.reqOK,SUM(--(_xlpm.flag="Yes")*--(_xlpm.total&gt;0)*--(_xlpm.readyCount=_xlpm.total))=COUNTIF(_xlpm.flag,"Yes"),_xlpm.core,AND($H60&lt;&gt;"",$I60&lt;&gt;"",$P60&lt;&gt;"",$Q60&lt;&gt;"",$R60&lt;&gt;"",$V60&lt;&gt;"",$V60&lt;&gt;"Not Created"),IF($S60&lt;&gt;"",IF(AND($S60&lt;=TODAY(),_xlpm.core,_xlpm.reqOK),"Completed","Incomplete"),IF($Q60="","Planned",IF(TODAY()&lt;$Q60,"Planned",IF($R60="","In Progress",IF(TODAY()&lt;=$R60,"In Progress","Overdue")))))))</f>
      </c>
      <c r="U60" s="86">
        <f t="shared" si="1"/>
      </c>
      <c r="V60" s="89" cm="1">
        <f t="array" ref="V60">IF($C60="","",IFERROR(_xlfn.LET(_xlpm.x,_xlfn.UNIQUE(_xlfn._xlws.FILTER('14. Recovery &amp; Response'!$B$5:$B$104,('14. Recovery &amp; Response'!$C$5:$C$104=$C60)*('14. Recovery &amp; Response'!$B$5:$B$104&lt;&gt;""))),_xlfn.TEXTJOIN(",",TRUE,_xlpm.x)),"Not Created"))</f>
      </c>
      <c r="W60" s="97"/>
    </row>
    <row r="61" spans="1:23" ht="15" x14ac:dyDescent="0.35">
      <c r="A61" s="92">
        <v>57</v>
      </c>
      <c r="B61" s="313"/>
      <c r="C61" s="85">
        <f t="shared" si="2"/>
      </c>
      <c r="D61" s="86" cm="1">
        <f t="array" ref="D61">IF($B61="","",IFERROR(_xlfn.XLOOKUP($B61,INDEX(RiskAssessment[],0,2),INDEX(RiskAssessment[],0,5),""),""))</f>
      </c>
      <c r="E61" s="87" cm="1">
        <f t="array" ref="E61">IF($B61="","",IFERROR(_xlfn.XLOOKUP($B61,INDEX(RiskAssessment[],0,2),INDEX(RiskAssessment[],0,7),""),""))</f>
      </c>
      <c r="F61" s="87" cm="1">
        <f t="array" ref="F61">IF($B61="","",IFERROR(_xlfn.XLOOKUP($B61,INDEX(RiskAssessment[],0,2),INDEX(RiskAssessment[],0,8),""),""))</f>
      </c>
      <c r="G61" s="174">
        <f>IF($B61="","",_xlfn.XLOOKUP($B61,'10. Risk Assessment'!$B$5:$B$34,'10. Risk Assessment'!$F$5:$F$34,""))</f>
      </c>
      <c r="H61" s="315"/>
      <c r="I61" s="97"/>
      <c r="J61" s="313"/>
      <c r="K61" s="313"/>
      <c r="L61" s="313"/>
      <c r="M61" s="313"/>
      <c r="N61" s="313"/>
      <c r="O61" s="313"/>
      <c r="P61" s="97"/>
      <c r="Q61" s="182"/>
      <c r="R61" s="182"/>
      <c r="S61" s="182"/>
      <c r="T61" s="86" cm="1">
        <f t="array" aca="1" ref="T61" ca="1">IF($B61="","",_xlfn.LET(_xlpm.flag,$J61:$O61,_xlpm.total,COUNTIFS('12. Requirements Register'!$C$5:$C$304,$C61,'12. Requirements Register'!$E$5:$E$304,$J$4:$O$4),_xlpm.readyCount,COUNTIFS('12. Requirements Register'!$C$5:$C$304,$C61,'12. Requirements Register'!$E$5:$E$304,$J$4:$O$4,'12. Requirements Register'!$L$5:$L$304,"Ready"),_xlpm.reqOK,SUM(--(_xlpm.flag="Yes")*--(_xlpm.total&gt;0)*--(_xlpm.readyCount=_xlpm.total))=COUNTIF(_xlpm.flag,"Yes"),_xlpm.core,AND($H61&lt;&gt;"",$I61&lt;&gt;"",$P61&lt;&gt;"",$Q61&lt;&gt;"",$R61&lt;&gt;"",$V61&lt;&gt;"",$V61&lt;&gt;"Not Created"),IF($S61&lt;&gt;"",IF(AND($S61&lt;=TODAY(),_xlpm.core,_xlpm.reqOK),"Completed","Incomplete"),IF($Q61="","Planned",IF(TODAY()&lt;$Q61,"Planned",IF($R61="","In Progress",IF(TODAY()&lt;=$R61,"In Progress","Overdue")))))))</f>
      </c>
      <c r="U61" s="86">
        <f t="shared" si="1"/>
      </c>
      <c r="V61" s="89" cm="1">
        <f t="array" ref="V61">IF($C61="","",IFERROR(_xlfn.LET(_xlpm.x,_xlfn.UNIQUE(_xlfn._xlws.FILTER('14. Recovery &amp; Response'!$B$5:$B$104,('14. Recovery &amp; Response'!$C$5:$C$104=$C61)*('14. Recovery &amp; Response'!$B$5:$B$104&lt;&gt;""))),_xlfn.TEXTJOIN(",",TRUE,_xlpm.x)),"Not Created"))</f>
      </c>
      <c r="W61" s="97"/>
    </row>
    <row r="62" spans="1:23" ht="15" x14ac:dyDescent="0.35">
      <c r="A62" s="92">
        <v>58</v>
      </c>
      <c r="B62" s="313"/>
      <c r="C62" s="85">
        <f t="shared" si="2"/>
      </c>
      <c r="D62" s="86" cm="1">
        <f t="array" ref="D62">IF($B62="","",IFERROR(_xlfn.XLOOKUP($B62,INDEX(RiskAssessment[],0,2),INDEX(RiskAssessment[],0,5),""),""))</f>
      </c>
      <c r="E62" s="87" cm="1">
        <f t="array" ref="E62">IF($B62="","",IFERROR(_xlfn.XLOOKUP($B62,INDEX(RiskAssessment[],0,2),INDEX(RiskAssessment[],0,7),""),""))</f>
      </c>
      <c r="F62" s="87" cm="1">
        <f t="array" ref="F62">IF($B62="","",IFERROR(_xlfn.XLOOKUP($B62,INDEX(RiskAssessment[],0,2),INDEX(RiskAssessment[],0,8),""),""))</f>
      </c>
      <c r="G62" s="174">
        <f>IF($B62="","",_xlfn.XLOOKUP($B62,'10. Risk Assessment'!$B$5:$B$34,'10. Risk Assessment'!$F$5:$F$34,""))</f>
      </c>
      <c r="H62" s="315"/>
      <c r="I62" s="97"/>
      <c r="J62" s="313"/>
      <c r="K62" s="313"/>
      <c r="L62" s="313"/>
      <c r="M62" s="313"/>
      <c r="N62" s="313"/>
      <c r="O62" s="313"/>
      <c r="P62" s="97"/>
      <c r="Q62" s="182"/>
      <c r="R62" s="182"/>
      <c r="S62" s="182"/>
      <c r="T62" s="86" cm="1">
        <f t="array" aca="1" ref="T62" ca="1">IF($B62="","",_xlfn.LET(_xlpm.flag,$J62:$O62,_xlpm.total,COUNTIFS('12. Requirements Register'!$C$5:$C$304,$C62,'12. Requirements Register'!$E$5:$E$304,$J$4:$O$4),_xlpm.readyCount,COUNTIFS('12. Requirements Register'!$C$5:$C$304,$C62,'12. Requirements Register'!$E$5:$E$304,$J$4:$O$4,'12. Requirements Register'!$L$5:$L$304,"Ready"),_xlpm.reqOK,SUM(--(_xlpm.flag="Yes")*--(_xlpm.total&gt;0)*--(_xlpm.readyCount=_xlpm.total))=COUNTIF(_xlpm.flag,"Yes"),_xlpm.core,AND($H62&lt;&gt;"",$I62&lt;&gt;"",$P62&lt;&gt;"",$Q62&lt;&gt;"",$R62&lt;&gt;"",$V62&lt;&gt;"",$V62&lt;&gt;"Not Created"),IF($S62&lt;&gt;"",IF(AND($S62&lt;=TODAY(),_xlpm.core,_xlpm.reqOK),"Completed","Incomplete"),IF($Q62="","Planned",IF(TODAY()&lt;$Q62,"Planned",IF($R62="","In Progress",IF(TODAY()&lt;=$R62,"In Progress","Overdue")))))))</f>
      </c>
      <c r="U62" s="86">
        <f t="shared" si="1"/>
      </c>
      <c r="V62" s="89" cm="1">
        <f t="array" ref="V62">IF($C62="","",IFERROR(_xlfn.LET(_xlpm.x,_xlfn.UNIQUE(_xlfn._xlws.FILTER('14. Recovery &amp; Response'!$B$5:$B$104,('14. Recovery &amp; Response'!$C$5:$C$104=$C62)*('14. Recovery &amp; Response'!$B$5:$B$104&lt;&gt;""))),_xlfn.TEXTJOIN(",",TRUE,_xlpm.x)),"Not Created"))</f>
      </c>
      <c r="W62" s="97"/>
    </row>
    <row r="63" spans="1:23" ht="15" x14ac:dyDescent="0.35">
      <c r="A63" s="92">
        <v>59</v>
      </c>
      <c r="B63" s="313"/>
      <c r="C63" s="85">
        <f t="shared" si="2"/>
      </c>
      <c r="D63" s="86" cm="1">
        <f t="array" ref="D63">IF($B63="","",IFERROR(_xlfn.XLOOKUP($B63,INDEX(RiskAssessment[],0,2),INDEX(RiskAssessment[],0,5),""),""))</f>
      </c>
      <c r="E63" s="87" cm="1">
        <f t="array" ref="E63">IF($B63="","",IFERROR(_xlfn.XLOOKUP($B63,INDEX(RiskAssessment[],0,2),INDEX(RiskAssessment[],0,7),""),""))</f>
      </c>
      <c r="F63" s="87" cm="1">
        <f t="array" ref="F63">IF($B63="","",IFERROR(_xlfn.XLOOKUP($B63,INDEX(RiskAssessment[],0,2),INDEX(RiskAssessment[],0,8),""),""))</f>
      </c>
      <c r="G63" s="174">
        <f>IF($B63="","",_xlfn.XLOOKUP($B63,'10. Risk Assessment'!$B$5:$B$34,'10. Risk Assessment'!$F$5:$F$34,""))</f>
      </c>
      <c r="H63" s="315"/>
      <c r="I63" s="97"/>
      <c r="J63" s="313"/>
      <c r="K63" s="313"/>
      <c r="L63" s="313"/>
      <c r="M63" s="313"/>
      <c r="N63" s="313"/>
      <c r="O63" s="313"/>
      <c r="P63" s="97"/>
      <c r="Q63" s="182"/>
      <c r="R63" s="182"/>
      <c r="S63" s="182"/>
      <c r="T63" s="86" cm="1">
        <f t="array" aca="1" ref="T63" ca="1">IF($B63="","",_xlfn.LET(_xlpm.flag,$J63:$O63,_xlpm.total,COUNTIFS('12. Requirements Register'!$C$5:$C$304,$C63,'12. Requirements Register'!$E$5:$E$304,$J$4:$O$4),_xlpm.readyCount,COUNTIFS('12. Requirements Register'!$C$5:$C$304,$C63,'12. Requirements Register'!$E$5:$E$304,$J$4:$O$4,'12. Requirements Register'!$L$5:$L$304,"Ready"),_xlpm.reqOK,SUM(--(_xlpm.flag="Yes")*--(_xlpm.total&gt;0)*--(_xlpm.readyCount=_xlpm.total))=COUNTIF(_xlpm.flag,"Yes"),_xlpm.core,AND($H63&lt;&gt;"",$I63&lt;&gt;"",$P63&lt;&gt;"",$Q63&lt;&gt;"",$R63&lt;&gt;"",$V63&lt;&gt;"",$V63&lt;&gt;"Not Created"),IF($S63&lt;&gt;"",IF(AND($S63&lt;=TODAY(),_xlpm.core,_xlpm.reqOK),"Completed","Incomplete"),IF($Q63="","Planned",IF(TODAY()&lt;$Q63,"Planned",IF($R63="","In Progress",IF(TODAY()&lt;=$R63,"In Progress","Overdue")))))))</f>
      </c>
      <c r="U63" s="86">
        <f t="shared" si="1"/>
      </c>
      <c r="V63" s="89" cm="1">
        <f t="array" ref="V63">IF($C63="","",IFERROR(_xlfn.LET(_xlpm.x,_xlfn.UNIQUE(_xlfn._xlws.FILTER('14. Recovery &amp; Response'!$B$5:$B$104,('14. Recovery &amp; Response'!$C$5:$C$104=$C63)*('14. Recovery &amp; Response'!$B$5:$B$104&lt;&gt;""))),_xlfn.TEXTJOIN(",",TRUE,_xlpm.x)),"Not Created"))</f>
      </c>
      <c r="W63" s="97"/>
    </row>
    <row r="64" spans="1:23" ht="15" x14ac:dyDescent="0.35">
      <c r="A64" s="92">
        <v>60</v>
      </c>
      <c r="B64" s="313"/>
      <c r="C64" s="85">
        <f t="shared" si="2"/>
      </c>
      <c r="D64" s="86" cm="1">
        <f t="array" ref="D64">IF($B64="","",IFERROR(_xlfn.XLOOKUP($B64,INDEX(RiskAssessment[],0,2),INDEX(RiskAssessment[],0,5),""),""))</f>
      </c>
      <c r="E64" s="87" cm="1">
        <f t="array" ref="E64">IF($B64="","",IFERROR(_xlfn.XLOOKUP($B64,INDEX(RiskAssessment[],0,2),INDEX(RiskAssessment[],0,7),""),""))</f>
      </c>
      <c r="F64" s="87" cm="1">
        <f t="array" ref="F64">IF($B64="","",IFERROR(_xlfn.XLOOKUP($B64,INDEX(RiskAssessment[],0,2),INDEX(RiskAssessment[],0,8),""),""))</f>
      </c>
      <c r="G64" s="174">
        <f>IF($B64="","",_xlfn.XLOOKUP($B64,'10. Risk Assessment'!$B$5:$B$34,'10. Risk Assessment'!$F$5:$F$34,""))</f>
      </c>
      <c r="H64" s="315"/>
      <c r="I64" s="97"/>
      <c r="J64" s="313"/>
      <c r="K64" s="313"/>
      <c r="L64" s="313"/>
      <c r="M64" s="313"/>
      <c r="N64" s="313"/>
      <c r="O64" s="313"/>
      <c r="P64" s="97"/>
      <c r="Q64" s="182"/>
      <c r="R64" s="182"/>
      <c r="S64" s="182"/>
      <c r="T64" s="86" cm="1">
        <f t="array" aca="1" ref="T64" ca="1">IF($B64="","",_xlfn.LET(_xlpm.flag,$J64:$O64,_xlpm.total,COUNTIFS('12. Requirements Register'!$C$5:$C$304,$C64,'12. Requirements Register'!$E$5:$E$304,$J$4:$O$4),_xlpm.readyCount,COUNTIFS('12. Requirements Register'!$C$5:$C$304,$C64,'12. Requirements Register'!$E$5:$E$304,$J$4:$O$4,'12. Requirements Register'!$L$5:$L$304,"Ready"),_xlpm.reqOK,SUM(--(_xlpm.flag="Yes")*--(_xlpm.total&gt;0)*--(_xlpm.readyCount=_xlpm.total))=COUNTIF(_xlpm.flag,"Yes"),_xlpm.core,AND($H64&lt;&gt;"",$I64&lt;&gt;"",$P64&lt;&gt;"",$Q64&lt;&gt;"",$R64&lt;&gt;"",$V64&lt;&gt;"",$V64&lt;&gt;"Not Created"),IF($S64&lt;&gt;"",IF(AND($S64&lt;=TODAY(),_xlpm.core,_xlpm.reqOK),"Completed","Incomplete"),IF($Q64="","Planned",IF(TODAY()&lt;$Q64,"Planned",IF($R64="","In Progress",IF(TODAY()&lt;=$R64,"In Progress","Overdue")))))))</f>
      </c>
      <c r="U64" s="86">
        <f t="shared" si="1"/>
      </c>
      <c r="V64" s="89" cm="1">
        <f t="array" ref="V64">IF($C64="","",IFERROR(_xlfn.LET(_xlpm.x,_xlfn.UNIQUE(_xlfn._xlws.FILTER('14. Recovery &amp; Response'!$B$5:$B$104,('14. Recovery &amp; Response'!$C$5:$C$104=$C64)*('14. Recovery &amp; Response'!$B$5:$B$104&lt;&gt;""))),_xlfn.TEXTJOIN(",",TRUE,_xlpm.x)),"Not Created"))</f>
      </c>
      <c r="W64" s="97"/>
    </row>
  </sheetData>
  <sheetProtection selectLockedCells="1"/>
  <mergeCells count="2">
    <mergeCell ref="A1:W1"/>
    <mergeCell ref="A2:W2"/>
  </mergeCells>
  <conditionalFormatting sqref="J5:O64">
    <cfRule type="expression" dxfId="250" priority="240">
      <formula>AND(J5="Yes",$C5&lt;&gt;"",COUNTIFS('12. Requirements Register'!$C$5:$C$304,$C5,'12. Requirements Register'!$E$5:$E$304,J$4)=0)</formula>
    </cfRule>
  </conditionalFormatting>
  <conditionalFormatting sqref="S5:T64">
    <cfRule type="expression" dxfId="60" priority="10">
      <formula>AND($C5&lt;&gt;"",OR(AND($S5&lt;&gt;"",$T5&lt;&gt;"Completed"),AND($S5="",$T5="Completed")))</formula>
    </cfRule>
  </conditionalFormatting>
  <conditionalFormatting sqref="T5:T64">
    <cfRule type="cellIs" dxfId="59" priority="2" operator="equal">
      <formula>"Completed"</formula>
    </cfRule>
    <cfRule type="cellIs" dxfId="58" priority="3" operator="equal">
      <formula>"Overdue"</formula>
    </cfRule>
    <cfRule type="cellIs" dxfId="57" priority="4" operator="equal">
      <formula>"In Progress"</formula>
    </cfRule>
    <cfRule type="cellIs" dxfId="56" priority="5" operator="equal">
      <formula>"Planned"</formula>
    </cfRule>
  </conditionalFormatting>
  <conditionalFormatting sqref="U5:U64">
    <cfRule type="cellIs" dxfId="55" priority="6" operator="equal">
      <formula>"DUPLICATE"</formula>
    </cfRule>
  </conditionalFormatting>
  <conditionalFormatting sqref="V5:V64">
    <cfRule type="expression" dxfId="54" priority="12">
      <formula>AND($C5&lt;&gt;"",OR($V5="",$V5="Not Created"))</formula>
    </cfRule>
  </conditionalFormatting>
  <conditionalFormatting sqref="J5:O64">
    <cfRule type="expression" dxfId="251" priority="241">
      <formula>AND(J5="Yes",$C5&lt;&gt;"",COUNTIFS('12. Requirements Register'!$C$5:$C$304,$C5,'12. Requirements Register'!$E$5:$E$304,J$4,'12. Requirements Register'!$L$5:$L$304,"&lt;&gt;Ready")&gt;0)</formula>
    </cfRule>
  </conditionalFormatting>
  <conditionalFormatting sqref="H5:I64 P5:R64">
    <cfRule type="expression" dxfId="250" priority="242">
      <formula>AND($B5&lt;&gt;"",H5="")</formula>
    </cfRule>
  </conditionalFormatting>
  <dataValidations count="3">
    <dataValidation type="list" allowBlank="1" sqref="B5:B64" xr:uid="{00000000-0002-0000-0C00-000000000000}">
      <formula1>RiskIDs</formula1>
      <formula2>0</formula2>
    </dataValidation>
    <dataValidation type="list" allowBlank="1" sqref="H5:H64" xr:uid="{00000000-0002-0000-0C00-000001000000}">
      <formula1>lstStrategy</formula1>
      <formula2>0</formula2>
    </dataValidation>
    <dataValidation type="list" allowBlank="1" sqref="J5:O64" xr:uid="{00000000-0002-0000-0C00-000002000000}">
      <formula1>lstYN</formula1>
      <formula2>0</formula2>
    </dataValidation>
  </dataValidations>
  <pageMargins left="0.75" right="0.75" top="1" bottom="1" header="0.511811023622047" footer="0.51180555555555596"/>
  <pageSetup paperSize="9" orientation="portrait" horizontalDpi="300" verticalDpi="300"/>
  <headerFooter>
    <oddFooter>&amp;L&amp;A&amp;RPage &amp;P of &amp;N</oddFooter>
  </headerFooter>
  <legacy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237" id="{42EB8CFF-76C3-4E9F-81AA-F6106B33378D}">
            <xm:f>AND(J5="Yes",COUNTIFS('12. Requirements Register'!$C$5:$C$304,$C5,'12. Requirements Register'!$E$5:$E$304,J$4)=0)</xm:f>
            <x14:dxf>
              <font>
                <color rgb="FF9C0006"/>
              </font>
              <fill>
                <patternFill patternType="solid">
                  <fgColor indexed="64"/>
                  <bgColor rgb="FFF4CCCC"/>
                </patternFill>
              </fill>
            </x14:dxf>
          </x14:cfRule>
          <x14:cfRule type="expression" priority="238" id="{FECD39C9-AC75-45CE-8F5A-E5202717C874}">
            <xm:f>AND(J5="Yes",COUNTIFS('12. Requirements Register'!$C$5:$C$304,$C5,'12. Requirements Register'!$E$5:$E$304,J$4)&gt;0,COUNTIFS('12. Requirements Register'!$C$5:$C$304,$C5,'12. Requirements Register'!$E$5:$E$304,J$4,'12. Requirements Register'!$L$5:$L$304,"Ready")&lt;COUNTIFS('12. Requirements Register'!$C$5:$C$304,$C5,'12. Requirements Register'!$E$5:$E$304,J$4))</xm:f>
            <x14:dxf>
              <font>
                <color rgb="FF783F04"/>
              </font>
              <fill>
                <patternFill patternType="solid">
                  <fgColor indexed="64"/>
                  <bgColor rgb="FFFCE5CD"/>
                </patternFill>
              </fill>
            </x14:dxf>
          </x14:cfRule>
          <x14:cfRule type="expression" priority="239" id="{9782FBA3-90CF-42FE-A599-A2508BD24219}">
            <xm:f>AND(J5="Yes",COUNTIFS('12. Requirements Register'!$C$5:$C$304,$C5,'12. Requirements Register'!$E$5:$E$304,J$4)&gt;0,COUNTIFS('12. Requirements Register'!$C$5:$C$304,$C5,'12. Requirements Register'!$E$5:$E$304,J$4,'12. Requirements Register'!$L$5:$L$304,"Ready")=COUNTIFS('12. Requirements Register'!$C$5:$C$304,$C5,'12. Requirements Register'!$E$5:$E$304,J$4))</xm:f>
            <x14:dxf>
              <font>
                <color rgb="FF274E13"/>
              </font>
              <fill>
                <patternFill patternType="solid">
                  <fgColor indexed="64"/>
                  <bgColor rgb="FFD9EAD3"/>
                </patternFill>
              </fill>
            </x14:dxf>
          </x14:cfRule>
          <xm:sqref>J5:O64</xm:sqref>
        </x14:conditionalFormatting>
      </x14:conditionalFormatting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9137"/>
  </sheetPr>
  <dimension ref="A1:L304"/>
  <sheetViews>
    <sheetView showGridLines="0" zoomScale="70" zoomScaleNormal="70" workbookViewId="0">
      <pane ySplit="4" topLeftCell="A5" activePane="bottomLeft" state="frozen"/>
      <selection activeCell="D1" sqref="D1"/>
      <selection pane="bottomLeft" sqref="A1:L1"/>
    </sheetView>
  </sheetViews>
  <sheetFormatPr defaultColWidth="6.1796875" defaultRowHeight="14.5" x14ac:dyDescent="0.35"/>
  <cols>
    <col min="1" max="1" width="10.1796875" bestFit="1" customWidth="1"/>
    <col min="2" max="2" width="10.81640625" bestFit="1" customWidth="1"/>
    <col min="3" max="3" width="11.1796875" bestFit="1" customWidth="1"/>
    <col min="4" max="4" width="13.1796875" bestFit="1" customWidth="1"/>
    <col min="5" max="5" width="12.453125" bestFit="1" customWidth="1"/>
    <col min="6" max="6" width="20" bestFit="1" customWidth="1"/>
    <col min="7" max="7" width="18.26953125" bestFit="1" customWidth="1"/>
    <col min="8" max="8" width="14.54296875" bestFit="1" customWidth="1"/>
    <col min="9" max="10" width="16.453125" bestFit="1" customWidth="1"/>
    <col min="11" max="11" width="12.54296875" bestFit="1" customWidth="1"/>
    <col min="12" max="12" width="14.26953125" bestFit="1" customWidth="1"/>
  </cols>
  <sheetData>
    <row r="1" spans="1:12" ht="27.75" customHeight="1" x14ac:dyDescent="0.35">
      <c r="A1" s="236" t="s">
        <v>437</v>
      </c>
      <c r="B1" s="276"/>
      <c r="C1" s="276"/>
      <c r="D1" s="276"/>
      <c r="E1" s="276"/>
      <c r="F1" s="276"/>
      <c r="G1" s="276"/>
      <c r="H1" s="276"/>
      <c r="I1" s="276"/>
      <c r="J1" s="276"/>
      <c r="K1" s="276"/>
      <c r="L1" s="276"/>
    </row>
    <row r="2" spans="1:12" ht="18" customHeight="1" x14ac:dyDescent="0.35">
      <c r="A2" s="237"/>
      <c r="B2" s="276"/>
      <c r="C2" s="276"/>
      <c r="D2" s="276"/>
      <c r="E2" s="276"/>
      <c r="F2" s="276"/>
      <c r="G2" s="276"/>
      <c r="H2" s="276"/>
      <c r="I2" s="276"/>
      <c r="J2" s="276"/>
      <c r="K2" s="276"/>
      <c r="L2" s="276"/>
    </row>
    <row r="4" spans="1:12" ht="36" customHeight="1" x14ac:dyDescent="0.35">
      <c r="A4" s="103" t="s">
        <v>131</v>
      </c>
      <c r="B4" s="104" t="s">
        <v>291</v>
      </c>
      <c r="C4" s="104" t="s">
        <v>277</v>
      </c>
      <c r="D4" s="104" t="s">
        <v>292</v>
      </c>
      <c r="E4" s="104" t="s">
        <v>293</v>
      </c>
      <c r="F4" s="104" t="s">
        <v>294</v>
      </c>
      <c r="G4" s="104" t="s">
        <v>295</v>
      </c>
      <c r="H4" s="104" t="s">
        <v>296</v>
      </c>
      <c r="I4" s="104" t="s">
        <v>297</v>
      </c>
      <c r="J4" s="104" t="s">
        <v>298</v>
      </c>
      <c r="K4" s="104" t="s">
        <v>99</v>
      </c>
      <c r="L4" s="105" t="s">
        <v>299</v>
      </c>
    </row>
    <row r="5" spans="1:12" ht="20.25" customHeight="1" x14ac:dyDescent="0.35">
      <c r="A5" s="101">
        <v>1</v>
      </c>
      <c r="B5" s="69">
        <f t="shared" ref="B5:B68" si="0">IF($F5="","","REQ-"&amp;TEXT($A5,"000"))</f>
      </c>
      <c r="C5" s="316"/>
      <c r="D5" s="70">
        <f>IF($C5="","",IFERROR(IF(INDEX(SS_Risk,MATCH($C5,SS_ID,0))="","",INDEX(SS_Risk,MATCH($C5,SS_ID,0))),""))</f>
      </c>
      <c r="E5" s="316"/>
      <c r="F5" s="61"/>
      <c r="G5" s="61"/>
      <c r="H5" s="61"/>
      <c r="I5" s="61"/>
      <c r="J5" s="61"/>
      <c r="K5" s="61"/>
      <c r="L5" s="319"/>
    </row>
    <row r="6" spans="1:12" x14ac:dyDescent="0.35">
      <c r="A6" s="101">
        <v>2</v>
      </c>
      <c r="B6" s="69">
        <f t="shared" si="0"/>
      </c>
      <c r="C6" s="316"/>
      <c r="D6" s="70">
        <f>IF($C6="","",IFERROR(IF(INDEX(SS_Risk,MATCH($C6,SS_ID,0))="","",INDEX(SS_Risk,MATCH($C6,SS_ID,0))),""))</f>
      </c>
      <c r="E6" s="316"/>
      <c r="F6" s="61"/>
      <c r="G6" s="61"/>
      <c r="H6" s="61"/>
      <c r="I6" s="61"/>
      <c r="J6" s="61"/>
      <c r="K6" s="61"/>
      <c r="L6" s="319"/>
    </row>
    <row r="7" spans="1:12" x14ac:dyDescent="0.35">
      <c r="A7" s="101">
        <v>3</v>
      </c>
      <c r="B7" s="69">
        <f t="shared" si="0"/>
      </c>
      <c r="C7" s="316"/>
      <c r="D7" s="70">
        <f>IF($C7="","",IFERROR(IF(INDEX(SS_Risk,MATCH($C7,SS_ID,0))="","",INDEX(SS_Risk,MATCH($C7,SS_ID,0))),""))</f>
      </c>
      <c r="E7" s="316"/>
      <c r="F7" s="61"/>
      <c r="G7" s="61"/>
      <c r="H7" s="61"/>
      <c r="I7" s="61"/>
      <c r="J7" s="61"/>
      <c r="K7" s="61"/>
      <c r="L7" s="319"/>
    </row>
    <row r="8" spans="1:12" x14ac:dyDescent="0.35">
      <c r="A8" s="101">
        <v>4</v>
      </c>
      <c r="B8" s="69">
        <f t="shared" si="0"/>
      </c>
      <c r="C8" s="316"/>
      <c r="D8" s="70">
        <f>IF($C8="","",IFERROR(IF(INDEX(SS_Risk,MATCH($C8,SS_ID,0))="","",INDEX(SS_Risk,MATCH($C8,SS_ID,0))),""))</f>
      </c>
      <c r="E8" s="316"/>
      <c r="F8" s="61"/>
      <c r="G8" s="61"/>
      <c r="H8" s="61"/>
      <c r="I8" s="61"/>
      <c r="J8" s="61"/>
      <c r="K8" s="61"/>
      <c r="L8" s="319"/>
    </row>
    <row r="9" spans="1:12" ht="20.25" customHeight="1" x14ac:dyDescent="0.35">
      <c r="A9" s="101">
        <v>5</v>
      </c>
      <c r="B9" s="69">
        <f t="shared" si="0"/>
      </c>
      <c r="C9" s="316"/>
      <c r="D9" s="70">
        <f>IF($C9="","",IFERROR(IF(INDEX(SS_Risk,MATCH($C9,SS_ID,0))="","",INDEX(SS_Risk,MATCH($C9,SS_ID,0))),""))</f>
      </c>
      <c r="E9" s="316"/>
      <c r="F9" s="61"/>
      <c r="G9" s="61"/>
      <c r="H9" s="61"/>
      <c r="I9" s="61"/>
      <c r="J9" s="61"/>
      <c r="K9" s="61"/>
      <c r="L9" s="319"/>
    </row>
    <row r="10" spans="1:12" ht="15" customHeight="1" x14ac:dyDescent="0.35">
      <c r="A10" s="101">
        <v>6</v>
      </c>
      <c r="B10" s="69">
        <f t="shared" si="0"/>
      </c>
      <c r="C10" s="316"/>
      <c r="D10" s="70">
        <f>IF($C10="","",IFERROR(IF(INDEX(SS_Risk,MATCH($C10,SS_ID,0))="","",INDEX(SS_Risk,MATCH($C10,SS_ID,0))),""))</f>
      </c>
      <c r="E10" s="316"/>
      <c r="F10" s="61"/>
      <c r="G10" s="61"/>
      <c r="H10" s="61"/>
      <c r="I10" s="61"/>
      <c r="J10" s="61"/>
      <c r="K10" s="61"/>
      <c r="L10" s="319"/>
    </row>
    <row r="11" spans="1:12" ht="20.25" customHeight="1" x14ac:dyDescent="0.35">
      <c r="A11" s="101">
        <v>7</v>
      </c>
      <c r="B11" s="69">
        <f t="shared" si="0"/>
      </c>
      <c r="C11" s="316"/>
      <c r="D11" s="70">
        <f>IF($C11="","",IFERROR(IF(INDEX(SS_Risk,MATCH($C11,SS_ID,0))="","",INDEX(SS_Risk,MATCH($C11,SS_ID,0))),""))</f>
      </c>
      <c r="E11" s="316"/>
      <c r="F11" s="61"/>
      <c r="G11" s="61"/>
      <c r="H11" s="61"/>
      <c r="I11" s="61"/>
      <c r="J11" s="61"/>
      <c r="K11" s="61"/>
      <c r="L11" s="319"/>
    </row>
    <row r="12" spans="1:12" ht="15" customHeight="1" x14ac:dyDescent="0.35">
      <c r="A12" s="101">
        <v>8</v>
      </c>
      <c r="B12" s="69">
        <f t="shared" si="0"/>
      </c>
      <c r="C12" s="316"/>
      <c r="D12" s="70">
        <f>IF($C12="","",IFERROR(IF(INDEX(SS_Risk,MATCH($C12,SS_ID,0))="","",INDEX(SS_Risk,MATCH($C12,SS_ID,0))),""))</f>
      </c>
      <c r="E12" s="316"/>
      <c r="F12" s="61"/>
      <c r="G12" s="61"/>
      <c r="H12" s="61"/>
      <c r="I12" s="61"/>
      <c r="J12" s="61"/>
      <c r="K12" s="61"/>
      <c r="L12" s="319"/>
    </row>
    <row r="13" spans="1:12" ht="15" customHeight="1" x14ac:dyDescent="0.35">
      <c r="A13" s="101">
        <v>9</v>
      </c>
      <c r="B13" s="69">
        <f t="shared" si="0"/>
      </c>
      <c r="C13" s="316"/>
      <c r="D13" s="70">
        <f>IF($C13="","",IFERROR(IF(INDEX(SS_Risk,MATCH($C13,SS_ID,0))="","",INDEX(SS_Risk,MATCH($C13,SS_ID,0))),""))</f>
      </c>
      <c r="E13" s="316"/>
      <c r="F13" s="61"/>
      <c r="G13" s="61"/>
      <c r="H13" s="61"/>
      <c r="I13" s="61"/>
      <c r="J13" s="61"/>
      <c r="K13" s="61"/>
      <c r="L13" s="319"/>
    </row>
    <row r="14" spans="1:12" ht="15" customHeight="1" x14ac:dyDescent="0.35">
      <c r="A14" s="101">
        <v>10</v>
      </c>
      <c r="B14" s="69">
        <f t="shared" si="0"/>
      </c>
      <c r="C14" s="316"/>
      <c r="D14" s="70">
        <f>IF($C14="","",IFERROR(IF(INDEX(SS_Risk,MATCH($C14,SS_ID,0))="","",INDEX(SS_Risk,MATCH($C14,SS_ID,0))),""))</f>
      </c>
      <c r="E14" s="316"/>
      <c r="F14" s="61"/>
      <c r="G14" s="61"/>
      <c r="H14" s="61"/>
      <c r="I14" s="61"/>
      <c r="J14" s="61"/>
      <c r="K14" s="61"/>
      <c r="L14" s="319"/>
    </row>
    <row r="15" spans="1:12" ht="15" customHeight="1" x14ac:dyDescent="0.35">
      <c r="A15" s="101">
        <v>11</v>
      </c>
      <c r="B15" s="69">
        <f t="shared" si="0"/>
      </c>
      <c r="C15" s="316"/>
      <c r="D15" s="70">
        <f>IF($C15="","",IFERROR(IF(INDEX(SS_Risk,MATCH($C15,SS_ID,0))="","",INDEX(SS_Risk,MATCH($C15,SS_ID,0))),""))</f>
      </c>
      <c r="E15" s="316"/>
      <c r="F15" s="61"/>
      <c r="G15" s="61"/>
      <c r="H15" s="61"/>
      <c r="I15" s="61"/>
      <c r="J15" s="61"/>
      <c r="K15" s="61"/>
      <c r="L15" s="319"/>
    </row>
    <row r="16" spans="1:12" ht="15" customHeight="1" x14ac:dyDescent="0.35">
      <c r="A16" s="101">
        <v>12</v>
      </c>
      <c r="B16" s="69">
        <f t="shared" si="0"/>
      </c>
      <c r="C16" s="316"/>
      <c r="D16" s="70">
        <f>IF($C16="","",IFERROR(IF(INDEX(SS_Risk,MATCH($C16,SS_ID,0))="","",INDEX(SS_Risk,MATCH($C16,SS_ID,0))),""))</f>
      </c>
      <c r="E16" s="316"/>
      <c r="F16" s="61"/>
      <c r="G16" s="61"/>
      <c r="H16" s="61"/>
      <c r="I16" s="61"/>
      <c r="J16" s="61"/>
      <c r="K16" s="61"/>
      <c r="L16" s="319"/>
    </row>
    <row r="17" spans="1:12" ht="20.25" customHeight="1" x14ac:dyDescent="0.35">
      <c r="A17" s="101">
        <v>13</v>
      </c>
      <c r="B17" s="69">
        <f t="shared" si="0"/>
      </c>
      <c r="C17" s="316"/>
      <c r="D17" s="70">
        <f>IF($C17="","",IFERROR(IF(INDEX(SS_Risk,MATCH($C17,SS_ID,0))="","",INDEX(SS_Risk,MATCH($C17,SS_ID,0))),""))</f>
      </c>
      <c r="E17" s="316"/>
      <c r="F17" s="61"/>
      <c r="G17" s="61"/>
      <c r="H17" s="61"/>
      <c r="I17" s="61"/>
      <c r="J17" s="61"/>
      <c r="K17" s="61"/>
      <c r="L17" s="319"/>
    </row>
    <row r="18" spans="1:12" ht="15" customHeight="1" x14ac:dyDescent="0.35">
      <c r="A18" s="101">
        <v>14</v>
      </c>
      <c r="B18" s="69">
        <f t="shared" si="0"/>
      </c>
      <c r="C18" s="316"/>
      <c r="D18" s="70">
        <f>IF($C18="","",IFERROR(IF(INDEX(SS_Risk,MATCH($C18,SS_ID,0))="","",INDEX(SS_Risk,MATCH($C18,SS_ID,0))),""))</f>
      </c>
      <c r="E18" s="316"/>
      <c r="F18" s="61"/>
      <c r="G18" s="61"/>
      <c r="H18" s="61"/>
      <c r="I18" s="61"/>
      <c r="J18" s="61"/>
      <c r="K18" s="61"/>
      <c r="L18" s="319"/>
    </row>
    <row r="19" spans="1:12" ht="15" customHeight="1" x14ac:dyDescent="0.35">
      <c r="A19" s="101">
        <v>15</v>
      </c>
      <c r="B19" s="69">
        <f t="shared" si="0"/>
      </c>
      <c r="C19" s="316"/>
      <c r="D19" s="70">
        <f>IF($C19="","",IFERROR(IF(INDEX(SS_Risk,MATCH($C19,SS_ID,0))="","",INDEX(SS_Risk,MATCH($C19,SS_ID,0))),""))</f>
      </c>
      <c r="E19" s="316"/>
      <c r="F19" s="61"/>
      <c r="G19" s="61"/>
      <c r="H19" s="61"/>
      <c r="I19" s="61"/>
      <c r="J19" s="61"/>
      <c r="K19" s="61"/>
      <c r="L19" s="319"/>
    </row>
    <row r="20" spans="1:12" ht="15" customHeight="1" x14ac:dyDescent="0.35">
      <c r="A20" s="101">
        <v>16</v>
      </c>
      <c r="B20" s="69">
        <f t="shared" si="0"/>
      </c>
      <c r="C20" s="316"/>
      <c r="D20" s="70">
        <f>IF($C20="","",IFERROR(IF(INDEX(SS_Risk,MATCH($C20,SS_ID,0))="","",INDEX(SS_Risk,MATCH($C20,SS_ID,0))),""))</f>
      </c>
      <c r="E20" s="316"/>
      <c r="F20" s="61"/>
      <c r="G20" s="61"/>
      <c r="H20" s="61"/>
      <c r="I20" s="61"/>
      <c r="J20" s="61"/>
      <c r="K20" s="61"/>
      <c r="L20" s="319"/>
    </row>
    <row r="21" spans="1:12" ht="15" customHeight="1" x14ac:dyDescent="0.35">
      <c r="A21" s="101">
        <v>17</v>
      </c>
      <c r="B21" s="69">
        <f t="shared" si="0"/>
      </c>
      <c r="C21" s="316"/>
      <c r="D21" s="70">
        <f>IF($C21="","",IFERROR(IF(INDEX(SS_Risk,MATCH($C21,SS_ID,0))="","",INDEX(SS_Risk,MATCH($C21,SS_ID,0))),""))</f>
      </c>
      <c r="E21" s="316"/>
      <c r="F21" s="61"/>
      <c r="G21" s="61"/>
      <c r="H21" s="61"/>
      <c r="I21" s="61"/>
      <c r="J21" s="61"/>
      <c r="K21" s="61"/>
      <c r="L21" s="319"/>
    </row>
    <row r="22" spans="1:12" ht="15" customHeight="1" x14ac:dyDescent="0.35">
      <c r="A22" s="101">
        <v>18</v>
      </c>
      <c r="B22" s="69">
        <f t="shared" si="0"/>
      </c>
      <c r="C22" s="316"/>
      <c r="D22" s="70">
        <f>IF($C22="","",IFERROR(IF(INDEX(SS_Risk,MATCH($C22,SS_ID,0))="","",INDEX(SS_Risk,MATCH($C22,SS_ID,0))),""))</f>
      </c>
      <c r="E22" s="316"/>
      <c r="F22" s="61"/>
      <c r="G22" s="61"/>
      <c r="H22" s="61"/>
      <c r="I22" s="61"/>
      <c r="J22" s="61"/>
      <c r="K22" s="61"/>
      <c r="L22" s="319"/>
    </row>
    <row r="23" spans="1:12" ht="15" customHeight="1" x14ac:dyDescent="0.35">
      <c r="A23" s="101">
        <v>19</v>
      </c>
      <c r="B23" s="69">
        <f t="shared" si="0"/>
      </c>
      <c r="C23" s="316"/>
      <c r="D23" s="70">
        <f>IF($C23="","",IFERROR(IF(INDEX(SS_Risk,MATCH($C23,SS_ID,0))="","",INDEX(SS_Risk,MATCH($C23,SS_ID,0))),""))</f>
      </c>
      <c r="E23" s="316"/>
      <c r="F23" s="61"/>
      <c r="G23" s="61"/>
      <c r="H23" s="61"/>
      <c r="I23" s="61"/>
      <c r="J23" s="61"/>
      <c r="K23" s="61"/>
      <c r="L23" s="319"/>
    </row>
    <row r="24" spans="1:12" ht="15" customHeight="1" x14ac:dyDescent="0.35">
      <c r="A24" s="101">
        <v>20</v>
      </c>
      <c r="B24" s="69">
        <f t="shared" si="0"/>
      </c>
      <c r="C24" s="316"/>
      <c r="D24" s="70">
        <f>IF($C24="","",IFERROR(IF(INDEX(SS_Risk,MATCH($C24,SS_ID,0))="","",INDEX(SS_Risk,MATCH($C24,SS_ID,0))),""))</f>
      </c>
      <c r="E24" s="316"/>
      <c r="F24" s="61"/>
      <c r="G24" s="61"/>
      <c r="H24" s="61"/>
      <c r="I24" s="61"/>
      <c r="J24" s="61"/>
      <c r="K24" s="61"/>
      <c r="L24" s="319"/>
    </row>
    <row r="25" spans="1:12" ht="15" customHeight="1" x14ac:dyDescent="0.35">
      <c r="A25" s="101">
        <v>21</v>
      </c>
      <c r="B25" s="69">
        <f t="shared" si="0"/>
      </c>
      <c r="C25" s="316"/>
      <c r="D25" s="70">
        <f>IF($C25="","",IFERROR(IF(INDEX(SS_Risk,MATCH($C25,SS_ID,0))="","",INDEX(SS_Risk,MATCH($C25,SS_ID,0))),""))</f>
      </c>
      <c r="E25" s="316"/>
      <c r="F25" s="61"/>
      <c r="G25" s="61"/>
      <c r="H25" s="61"/>
      <c r="I25" s="61"/>
      <c r="J25" s="61"/>
      <c r="K25" s="61"/>
      <c r="L25" s="319"/>
    </row>
    <row r="26" spans="1:12" ht="15" customHeight="1" x14ac:dyDescent="0.35">
      <c r="A26" s="101">
        <v>22</v>
      </c>
      <c r="B26" s="69">
        <f t="shared" si="0"/>
      </c>
      <c r="C26" s="316"/>
      <c r="D26" s="70">
        <f>IF($C26="","",IFERROR(IF(INDEX(SS_Risk,MATCH($C26,SS_ID,0))="","",INDEX(SS_Risk,MATCH($C26,SS_ID,0))),""))</f>
      </c>
      <c r="E26" s="316"/>
      <c r="F26" s="61"/>
      <c r="G26" s="61"/>
      <c r="H26" s="61"/>
      <c r="I26" s="61"/>
      <c r="J26" s="61"/>
      <c r="K26" s="61"/>
      <c r="L26" s="319"/>
    </row>
    <row r="27" spans="1:12" ht="15" customHeight="1" x14ac:dyDescent="0.35">
      <c r="A27" s="101">
        <v>23</v>
      </c>
      <c r="B27" s="69">
        <f t="shared" si="0"/>
      </c>
      <c r="C27" s="316"/>
      <c r="D27" s="70">
        <f>IF($C27="","",IFERROR(IF(INDEX(SS_Risk,MATCH($C27,SS_ID,0))="","",INDEX(SS_Risk,MATCH($C27,SS_ID,0))),""))</f>
      </c>
      <c r="E27" s="316"/>
      <c r="F27" s="61"/>
      <c r="G27" s="61"/>
      <c r="H27" s="61"/>
      <c r="I27" s="61"/>
      <c r="J27" s="61"/>
      <c r="K27" s="61"/>
      <c r="L27" s="319"/>
    </row>
    <row r="28" spans="1:12" ht="15" customHeight="1" x14ac:dyDescent="0.35">
      <c r="A28" s="101">
        <v>24</v>
      </c>
      <c r="B28" s="69">
        <f t="shared" si="0"/>
      </c>
      <c r="C28" s="316"/>
      <c r="D28" s="70">
        <f>IF($C28="","",IFERROR(IF(INDEX(SS_Risk,MATCH($C28,SS_ID,0))="","",INDEX(SS_Risk,MATCH($C28,SS_ID,0))),""))</f>
      </c>
      <c r="E28" s="316"/>
      <c r="F28" s="61"/>
      <c r="G28" s="61"/>
      <c r="H28" s="61"/>
      <c r="I28" s="61"/>
      <c r="J28" s="61"/>
      <c r="K28" s="61"/>
      <c r="L28" s="319"/>
    </row>
    <row r="29" spans="1:12" ht="20.25" customHeight="1" x14ac:dyDescent="0.35">
      <c r="A29" s="101">
        <v>25</v>
      </c>
      <c r="B29" s="69">
        <f t="shared" si="0"/>
      </c>
      <c r="C29" s="316"/>
      <c r="D29" s="70">
        <f>IF($C29="","",IFERROR(IF(INDEX(SS_Risk,MATCH($C29,SS_ID,0))="","",INDEX(SS_Risk,MATCH($C29,SS_ID,0))),""))</f>
      </c>
      <c r="E29" s="316"/>
      <c r="F29" s="61"/>
      <c r="G29" s="61"/>
      <c r="H29" s="61"/>
      <c r="I29" s="61"/>
      <c r="J29" s="61"/>
      <c r="K29" s="61"/>
      <c r="L29" s="319"/>
    </row>
    <row r="30" spans="1:12" ht="15" customHeight="1" x14ac:dyDescent="0.35">
      <c r="A30" s="101">
        <v>26</v>
      </c>
      <c r="B30" s="69">
        <f t="shared" si="0"/>
      </c>
      <c r="C30" s="316"/>
      <c r="D30" s="70">
        <f>IF($C30="","",IFERROR(IF(INDEX(SS_Risk,MATCH($C30,SS_ID,0))="","",INDEX(SS_Risk,MATCH($C30,SS_ID,0))),""))</f>
      </c>
      <c r="E30" s="316"/>
      <c r="F30" s="61"/>
      <c r="G30" s="61"/>
      <c r="H30" s="61"/>
      <c r="I30" s="61"/>
      <c r="J30" s="61"/>
      <c r="K30" s="61"/>
      <c r="L30" s="319"/>
    </row>
    <row r="31" spans="1:12" ht="15" customHeight="1" x14ac:dyDescent="0.35">
      <c r="A31" s="101">
        <v>27</v>
      </c>
      <c r="B31" s="69">
        <f t="shared" si="0"/>
      </c>
      <c r="C31" s="316"/>
      <c r="D31" s="70">
        <f>IF($C31="","",IFERROR(IF(INDEX(SS_Risk,MATCH($C31,SS_ID,0))="","",INDEX(SS_Risk,MATCH($C31,SS_ID,0))),""))</f>
      </c>
      <c r="E31" s="316"/>
      <c r="F31" s="61"/>
      <c r="G31" s="61"/>
      <c r="H31" s="61"/>
      <c r="I31" s="61"/>
      <c r="J31" s="61"/>
      <c r="K31" s="61"/>
      <c r="L31" s="319"/>
    </row>
    <row r="32" spans="1:12" ht="15" customHeight="1" x14ac:dyDescent="0.35">
      <c r="A32" s="101">
        <v>28</v>
      </c>
      <c r="B32" s="69">
        <f t="shared" si="0"/>
      </c>
      <c r="C32" s="316"/>
      <c r="D32" s="70">
        <f>IF($C32="","",IFERROR(IF(INDEX(SS_Risk,MATCH($C32,SS_ID,0))="","",INDEX(SS_Risk,MATCH($C32,SS_ID,0))),""))</f>
      </c>
      <c r="E32" s="316"/>
      <c r="F32" s="61"/>
      <c r="G32" s="61"/>
      <c r="H32" s="61"/>
      <c r="I32" s="61"/>
      <c r="J32" s="61"/>
      <c r="K32" s="61"/>
      <c r="L32" s="319"/>
    </row>
    <row r="33" spans="1:12" ht="15" customHeight="1" x14ac:dyDescent="0.35">
      <c r="A33" s="101">
        <v>29</v>
      </c>
      <c r="B33" s="69">
        <f t="shared" si="0"/>
      </c>
      <c r="C33" s="316"/>
      <c r="D33" s="70">
        <f>IF($C33="","",IFERROR(IF(INDEX(SS_Risk,MATCH($C33,SS_ID,0))="","",INDEX(SS_Risk,MATCH($C33,SS_ID,0))),""))</f>
      </c>
      <c r="E33" s="316"/>
      <c r="F33" s="61"/>
      <c r="G33" s="61"/>
      <c r="H33" s="61"/>
      <c r="I33" s="61"/>
      <c r="J33" s="61"/>
      <c r="K33" s="61"/>
      <c r="L33" s="319"/>
    </row>
    <row r="34" spans="1:12" ht="15" customHeight="1" x14ac:dyDescent="0.35">
      <c r="A34" s="101">
        <v>30</v>
      </c>
      <c r="B34" s="69">
        <f t="shared" si="0"/>
      </c>
      <c r="C34" s="316"/>
      <c r="D34" s="70">
        <f>IF($C34="","",IFERROR(IF(INDEX(SS_Risk,MATCH($C34,SS_ID,0))="","",INDEX(SS_Risk,MATCH($C34,SS_ID,0))),""))</f>
      </c>
      <c r="E34" s="316"/>
      <c r="F34" s="61"/>
      <c r="G34" s="61"/>
      <c r="H34" s="61"/>
      <c r="I34" s="61"/>
      <c r="J34" s="61"/>
      <c r="K34" s="61"/>
      <c r="L34" s="319"/>
    </row>
    <row r="35" spans="1:12" ht="15" customHeight="1" x14ac:dyDescent="0.35">
      <c r="A35" s="101">
        <v>31</v>
      </c>
      <c r="B35" s="69">
        <f t="shared" si="0"/>
      </c>
      <c r="C35" s="316"/>
      <c r="D35" s="70">
        <f>IF($C35="","",IFERROR(IF(INDEX(SS_Risk,MATCH($C35,SS_ID,0))="","",INDEX(SS_Risk,MATCH($C35,SS_ID,0))),""))</f>
      </c>
      <c r="E35" s="316"/>
      <c r="F35" s="61"/>
      <c r="G35" s="61"/>
      <c r="H35" s="61"/>
      <c r="I35" s="61"/>
      <c r="J35" s="61"/>
      <c r="K35" s="61"/>
      <c r="L35" s="319"/>
    </row>
    <row r="36" spans="1:12" ht="15" customHeight="1" x14ac:dyDescent="0.35">
      <c r="A36" s="101">
        <v>32</v>
      </c>
      <c r="B36" s="69">
        <f t="shared" si="0"/>
      </c>
      <c r="C36" s="316"/>
      <c r="D36" s="70">
        <f>IF($C36="","",IFERROR(IF(INDEX(SS_Risk,MATCH($C36,SS_ID,0))="","",INDEX(SS_Risk,MATCH($C36,SS_ID,0))),""))</f>
      </c>
      <c r="E36" s="316"/>
      <c r="F36" s="61"/>
      <c r="G36" s="61"/>
      <c r="H36" s="61"/>
      <c r="I36" s="61"/>
      <c r="J36" s="61"/>
      <c r="K36" s="61"/>
      <c r="L36" s="319"/>
    </row>
    <row r="37" spans="1:12" ht="15" customHeight="1" x14ac:dyDescent="0.35">
      <c r="A37" s="101">
        <v>33</v>
      </c>
      <c r="B37" s="69">
        <f t="shared" si="0"/>
      </c>
      <c r="C37" s="316"/>
      <c r="D37" s="70">
        <f>IF($C37="","",IFERROR(IF(INDEX(SS_Risk,MATCH($C37,SS_ID,0))="","",INDEX(SS_Risk,MATCH($C37,SS_ID,0))),""))</f>
      </c>
      <c r="E37" s="316"/>
      <c r="F37" s="61"/>
      <c r="G37" s="61"/>
      <c r="H37" s="61"/>
      <c r="I37" s="61"/>
      <c r="J37" s="61"/>
      <c r="K37" s="61"/>
      <c r="L37" s="319"/>
    </row>
    <row r="38" spans="1:12" ht="15" customHeight="1" x14ac:dyDescent="0.35">
      <c r="A38" s="101">
        <v>34</v>
      </c>
      <c r="B38" s="69">
        <f t="shared" si="0"/>
      </c>
      <c r="C38" s="316"/>
      <c r="D38" s="70">
        <f>IF($C38="","",IFERROR(IF(INDEX(SS_Risk,MATCH($C38,SS_ID,0))="","",INDEX(SS_Risk,MATCH($C38,SS_ID,0))),""))</f>
      </c>
      <c r="E38" s="316"/>
      <c r="F38" s="61"/>
      <c r="G38" s="61"/>
      <c r="H38" s="61"/>
      <c r="I38" s="61"/>
      <c r="J38" s="61"/>
      <c r="K38" s="61"/>
      <c r="L38" s="319"/>
    </row>
    <row r="39" spans="1:12" ht="15" customHeight="1" x14ac:dyDescent="0.35">
      <c r="A39" s="101">
        <v>35</v>
      </c>
      <c r="B39" s="69">
        <f t="shared" si="0"/>
      </c>
      <c r="C39" s="316"/>
      <c r="D39" s="70">
        <f>IF($C39="","",IFERROR(IF(INDEX(SS_Risk,MATCH($C39,SS_ID,0))="","",INDEX(SS_Risk,MATCH($C39,SS_ID,0))),""))</f>
      </c>
      <c r="E39" s="316"/>
      <c r="F39" s="61"/>
      <c r="G39" s="61"/>
      <c r="H39" s="61"/>
      <c r="I39" s="61"/>
      <c r="J39" s="61"/>
      <c r="K39" s="61"/>
      <c r="L39" s="319"/>
    </row>
    <row r="40" spans="1:12" ht="15" customHeight="1" x14ac:dyDescent="0.35">
      <c r="A40" s="101">
        <v>36</v>
      </c>
      <c r="B40" s="69">
        <f t="shared" si="0"/>
      </c>
      <c r="C40" s="316"/>
      <c r="D40" s="70">
        <f>IF($C40="","",IFERROR(IF(INDEX(SS_Risk,MATCH($C40,SS_ID,0))="","",INDEX(SS_Risk,MATCH($C40,SS_ID,0))),""))</f>
      </c>
      <c r="E40" s="316"/>
      <c r="F40" s="61"/>
      <c r="G40" s="61"/>
      <c r="H40" s="61"/>
      <c r="I40" s="61"/>
      <c r="J40" s="61"/>
      <c r="K40" s="61"/>
      <c r="L40" s="319"/>
    </row>
    <row r="41" spans="1:12" ht="15" customHeight="1" x14ac:dyDescent="0.35">
      <c r="A41" s="101">
        <v>37</v>
      </c>
      <c r="B41" s="69">
        <f t="shared" si="0"/>
      </c>
      <c r="C41" s="316"/>
      <c r="D41" s="70">
        <f>IF($C41="","",IFERROR(IF(INDEX(SS_Risk,MATCH($C41,SS_ID,0))="","",INDEX(SS_Risk,MATCH($C41,SS_ID,0))),""))</f>
      </c>
      <c r="E41" s="316"/>
      <c r="F41" s="61"/>
      <c r="G41" s="61"/>
      <c r="H41" s="61"/>
      <c r="I41" s="61"/>
      <c r="J41" s="61"/>
      <c r="K41" s="61"/>
      <c r="L41" s="319"/>
    </row>
    <row r="42" spans="1:12" ht="15" customHeight="1" x14ac:dyDescent="0.35">
      <c r="A42" s="101">
        <v>38</v>
      </c>
      <c r="B42" s="69">
        <f t="shared" si="0"/>
      </c>
      <c r="C42" s="316"/>
      <c r="D42" s="70">
        <f>IF($C42="","",IFERROR(IF(INDEX(SS_Risk,MATCH($C42,SS_ID,0))="","",INDEX(SS_Risk,MATCH($C42,SS_ID,0))),""))</f>
      </c>
      <c r="E42" s="316"/>
      <c r="F42" s="61"/>
      <c r="G42" s="61"/>
      <c r="H42" s="61"/>
      <c r="I42" s="61"/>
      <c r="J42" s="61"/>
      <c r="K42" s="61"/>
      <c r="L42" s="319"/>
    </row>
    <row r="43" spans="1:12" ht="15" customHeight="1" x14ac:dyDescent="0.35">
      <c r="A43" s="101">
        <v>39</v>
      </c>
      <c r="B43" s="69">
        <f t="shared" si="0"/>
      </c>
      <c r="C43" s="316"/>
      <c r="D43" s="70">
        <f>IF($C43="","",IFERROR(IF(INDEX(SS_Risk,MATCH($C43,SS_ID,0))="","",INDEX(SS_Risk,MATCH($C43,SS_ID,0))),""))</f>
      </c>
      <c r="E43" s="316"/>
      <c r="F43" s="61"/>
      <c r="G43" s="61"/>
      <c r="H43" s="61"/>
      <c r="I43" s="61"/>
      <c r="J43" s="61"/>
      <c r="K43" s="61"/>
      <c r="L43" s="319"/>
    </row>
    <row r="44" spans="1:12" ht="15" customHeight="1" x14ac:dyDescent="0.35">
      <c r="A44" s="101">
        <v>40</v>
      </c>
      <c r="B44" s="69">
        <f t="shared" si="0"/>
      </c>
      <c r="C44" s="316"/>
      <c r="D44" s="70">
        <f>IF($C44="","",IFERROR(IF(INDEX(SS_Risk,MATCH($C44,SS_ID,0))="","",INDEX(SS_Risk,MATCH($C44,SS_ID,0))),""))</f>
      </c>
      <c r="E44" s="316"/>
      <c r="F44" s="61"/>
      <c r="G44" s="61"/>
      <c r="H44" s="61"/>
      <c r="I44" s="61"/>
      <c r="J44" s="61"/>
      <c r="K44" s="61"/>
      <c r="L44" s="319"/>
    </row>
    <row r="45" spans="1:12" ht="15" customHeight="1" x14ac:dyDescent="0.35">
      <c r="A45" s="101">
        <v>41</v>
      </c>
      <c r="B45" s="69">
        <f t="shared" si="0"/>
      </c>
      <c r="C45" s="316"/>
      <c r="D45" s="70">
        <f>IF($C45="","",IFERROR(IF(INDEX(SS_Risk,MATCH($C45,SS_ID,0))="","",INDEX(SS_Risk,MATCH($C45,SS_ID,0))),""))</f>
      </c>
      <c r="E45" s="316"/>
      <c r="F45" s="61"/>
      <c r="G45" s="61"/>
      <c r="H45" s="61"/>
      <c r="I45" s="61"/>
      <c r="J45" s="61"/>
      <c r="K45" s="61"/>
      <c r="L45" s="319"/>
    </row>
    <row r="46" spans="1:12" ht="15" customHeight="1" x14ac:dyDescent="0.35">
      <c r="A46" s="101">
        <v>42</v>
      </c>
      <c r="B46" s="69">
        <f t="shared" si="0"/>
      </c>
      <c r="C46" s="316"/>
      <c r="D46" s="70">
        <f>IF($C46="","",IFERROR(IF(INDEX(SS_Risk,MATCH($C46,SS_ID,0))="","",INDEX(SS_Risk,MATCH($C46,SS_ID,0))),""))</f>
      </c>
      <c r="E46" s="316"/>
      <c r="F46" s="61"/>
      <c r="G46" s="61"/>
      <c r="H46" s="61"/>
      <c r="I46" s="61"/>
      <c r="J46" s="61"/>
      <c r="K46" s="61"/>
      <c r="L46" s="319"/>
    </row>
    <row r="47" spans="1:12" ht="15" customHeight="1" x14ac:dyDescent="0.35">
      <c r="A47" s="101">
        <v>43</v>
      </c>
      <c r="B47" s="69">
        <f t="shared" si="0"/>
      </c>
      <c r="C47" s="316"/>
      <c r="D47" s="70">
        <f>IF($C47="","",IFERROR(IF(INDEX(SS_Risk,MATCH($C47,SS_ID,0))="","",INDEX(SS_Risk,MATCH($C47,SS_ID,0))),""))</f>
      </c>
      <c r="E47" s="316"/>
      <c r="F47" s="61"/>
      <c r="G47" s="61"/>
      <c r="H47" s="61"/>
      <c r="I47" s="61"/>
      <c r="J47" s="61"/>
      <c r="K47" s="61"/>
      <c r="L47" s="319"/>
    </row>
    <row r="48" spans="1:12" ht="15" customHeight="1" x14ac:dyDescent="0.35">
      <c r="A48" s="101">
        <v>44</v>
      </c>
      <c r="B48" s="69">
        <f t="shared" si="0"/>
      </c>
      <c r="C48" s="316"/>
      <c r="D48" s="70">
        <f>IF($C48="","",IFERROR(IF(INDEX(SS_Risk,MATCH($C48,SS_ID,0))="","",INDEX(SS_Risk,MATCH($C48,SS_ID,0))),""))</f>
      </c>
      <c r="E48" s="316"/>
      <c r="F48" s="61"/>
      <c r="G48" s="61"/>
      <c r="H48" s="61"/>
      <c r="I48" s="61"/>
      <c r="J48" s="61"/>
      <c r="K48" s="61"/>
      <c r="L48" s="319"/>
    </row>
    <row r="49" spans="1:12" ht="15" customHeight="1" x14ac:dyDescent="0.35">
      <c r="A49" s="101">
        <v>45</v>
      </c>
      <c r="B49" s="69">
        <f t="shared" si="0"/>
      </c>
      <c r="C49" s="316"/>
      <c r="D49" s="70">
        <f>IF($C49="","",IFERROR(IF(INDEX(SS_Risk,MATCH($C49,SS_ID,0))="","",INDEX(SS_Risk,MATCH($C49,SS_ID,0))),""))</f>
      </c>
      <c r="E49" s="316"/>
      <c r="F49" s="61"/>
      <c r="G49" s="61"/>
      <c r="H49" s="61"/>
      <c r="I49" s="61"/>
      <c r="J49" s="61"/>
      <c r="K49" s="61"/>
      <c r="L49" s="319"/>
    </row>
    <row r="50" spans="1:12" ht="15" customHeight="1" x14ac:dyDescent="0.35">
      <c r="A50" s="101">
        <v>46</v>
      </c>
      <c r="B50" s="69">
        <f t="shared" si="0"/>
      </c>
      <c r="C50" s="316"/>
      <c r="D50" s="70">
        <f>IF($C50="","",IFERROR(IF(INDEX(SS_Risk,MATCH($C50,SS_ID,0))="","",INDEX(SS_Risk,MATCH($C50,SS_ID,0))),""))</f>
      </c>
      <c r="E50" s="316"/>
      <c r="F50" s="61"/>
      <c r="G50" s="61"/>
      <c r="H50" s="61"/>
      <c r="I50" s="61"/>
      <c r="J50" s="61"/>
      <c r="K50" s="61"/>
      <c r="L50" s="319"/>
    </row>
    <row r="51" spans="1:12" ht="15" customHeight="1" x14ac:dyDescent="0.35">
      <c r="A51" s="101">
        <v>47</v>
      </c>
      <c r="B51" s="69">
        <f t="shared" si="0"/>
      </c>
      <c r="C51" s="316"/>
      <c r="D51" s="70">
        <f>IF($C51="","",IFERROR(IF(INDEX(SS_Risk,MATCH($C51,SS_ID,0))="","",INDEX(SS_Risk,MATCH($C51,SS_ID,0))),""))</f>
      </c>
      <c r="E51" s="316"/>
      <c r="F51" s="61"/>
      <c r="G51" s="61"/>
      <c r="H51" s="61"/>
      <c r="I51" s="61"/>
      <c r="J51" s="61"/>
      <c r="K51" s="61"/>
      <c r="L51" s="319"/>
    </row>
    <row r="52" spans="1:12" ht="15" customHeight="1" x14ac:dyDescent="0.35">
      <c r="A52" s="101">
        <v>48</v>
      </c>
      <c r="B52" s="69">
        <f t="shared" si="0"/>
      </c>
      <c r="C52" s="316"/>
      <c r="D52" s="70">
        <f>IF($C52="","",IFERROR(IF(INDEX(SS_Risk,MATCH($C52,SS_ID,0))="","",INDEX(SS_Risk,MATCH($C52,SS_ID,0))),""))</f>
      </c>
      <c r="E52" s="316"/>
      <c r="F52" s="61"/>
      <c r="G52" s="61"/>
      <c r="H52" s="61"/>
      <c r="I52" s="61"/>
      <c r="J52" s="61"/>
      <c r="K52" s="61"/>
      <c r="L52" s="319"/>
    </row>
    <row r="53" spans="1:12" ht="15" customHeight="1" x14ac:dyDescent="0.35">
      <c r="A53" s="101">
        <v>49</v>
      </c>
      <c r="B53" s="69">
        <f t="shared" si="0"/>
      </c>
      <c r="C53" s="316"/>
      <c r="D53" s="70">
        <f>IF($C53="","",IFERROR(IF(INDEX(SS_Risk,MATCH($C53,SS_ID,0))="","",INDEX(SS_Risk,MATCH($C53,SS_ID,0))),""))</f>
      </c>
      <c r="E53" s="316"/>
      <c r="F53" s="61"/>
      <c r="G53" s="61"/>
      <c r="H53" s="61"/>
      <c r="I53" s="61"/>
      <c r="J53" s="61"/>
      <c r="K53" s="61"/>
      <c r="L53" s="319"/>
    </row>
    <row r="54" spans="1:12" ht="15" customHeight="1" x14ac:dyDescent="0.35">
      <c r="A54" s="101">
        <v>50</v>
      </c>
      <c r="B54" s="69">
        <f t="shared" si="0"/>
      </c>
      <c r="C54" s="316"/>
      <c r="D54" s="70">
        <f>IF($C54="","",IFERROR(IF(INDEX(SS_Risk,MATCH($C54,SS_ID,0))="","",INDEX(SS_Risk,MATCH($C54,SS_ID,0))),""))</f>
      </c>
      <c r="E54" s="316"/>
      <c r="F54" s="61"/>
      <c r="G54" s="61"/>
      <c r="H54" s="61"/>
      <c r="I54" s="61"/>
      <c r="J54" s="61"/>
      <c r="K54" s="61"/>
      <c r="L54" s="319"/>
    </row>
    <row r="55" spans="1:12" ht="15" customHeight="1" x14ac:dyDescent="0.35">
      <c r="A55" s="101">
        <v>51</v>
      </c>
      <c r="B55" s="69">
        <f t="shared" si="0"/>
      </c>
      <c r="C55" s="316"/>
      <c r="D55" s="70">
        <f>IF($C55="","",IFERROR(IF(INDEX(SS_Risk,MATCH($C55,SS_ID,0))="","",INDEX(SS_Risk,MATCH($C55,SS_ID,0))),""))</f>
      </c>
      <c r="E55" s="316"/>
      <c r="F55" s="61"/>
      <c r="G55" s="61"/>
      <c r="H55" s="61"/>
      <c r="I55" s="61"/>
      <c r="J55" s="61"/>
      <c r="K55" s="61"/>
      <c r="L55" s="319"/>
    </row>
    <row r="56" spans="1:12" ht="15" customHeight="1" x14ac:dyDescent="0.35">
      <c r="A56" s="101">
        <v>52</v>
      </c>
      <c r="B56" s="69">
        <f t="shared" si="0"/>
      </c>
      <c r="C56" s="316"/>
      <c r="D56" s="70">
        <f>IF($C56="","",IFERROR(IF(INDEX(SS_Risk,MATCH($C56,SS_ID,0))="","",INDEX(SS_Risk,MATCH($C56,SS_ID,0))),""))</f>
      </c>
      <c r="E56" s="316"/>
      <c r="F56" s="61"/>
      <c r="G56" s="61"/>
      <c r="H56" s="61"/>
      <c r="I56" s="61"/>
      <c r="J56" s="61"/>
      <c r="K56" s="61"/>
      <c r="L56" s="319"/>
    </row>
    <row r="57" spans="1:12" ht="15" customHeight="1" x14ac:dyDescent="0.35">
      <c r="A57" s="101">
        <v>53</v>
      </c>
      <c r="B57" s="69">
        <f t="shared" si="0"/>
      </c>
      <c r="C57" s="316"/>
      <c r="D57" s="70">
        <f>IF($C57="","",IFERROR(IF(INDEX(SS_Risk,MATCH($C57,SS_ID,0))="","",INDEX(SS_Risk,MATCH($C57,SS_ID,0))),""))</f>
      </c>
      <c r="E57" s="316"/>
      <c r="F57" s="61"/>
      <c r="G57" s="61"/>
      <c r="H57" s="61"/>
      <c r="I57" s="61"/>
      <c r="J57" s="61"/>
      <c r="K57" s="61"/>
      <c r="L57" s="319"/>
    </row>
    <row r="58" spans="1:12" ht="15" customHeight="1" x14ac:dyDescent="0.35">
      <c r="A58" s="101">
        <v>54</v>
      </c>
      <c r="B58" s="69">
        <f t="shared" si="0"/>
      </c>
      <c r="C58" s="316"/>
      <c r="D58" s="70">
        <f>IF($C58="","",IFERROR(IF(INDEX(SS_Risk,MATCH($C58,SS_ID,0))="","",INDEX(SS_Risk,MATCH($C58,SS_ID,0))),""))</f>
      </c>
      <c r="E58" s="316"/>
      <c r="F58" s="61"/>
      <c r="G58" s="61"/>
      <c r="H58" s="61"/>
      <c r="I58" s="61"/>
      <c r="J58" s="61"/>
      <c r="K58" s="61"/>
      <c r="L58" s="319"/>
    </row>
    <row r="59" spans="1:12" ht="15" customHeight="1" x14ac:dyDescent="0.35">
      <c r="A59" s="101">
        <v>55</v>
      </c>
      <c r="B59" s="69">
        <f t="shared" si="0"/>
      </c>
      <c r="C59" s="316"/>
      <c r="D59" s="70">
        <f>IF($C59="","",IFERROR(IF(INDEX(SS_Risk,MATCH($C59,SS_ID,0))="","",INDEX(SS_Risk,MATCH($C59,SS_ID,0))),""))</f>
      </c>
      <c r="E59" s="316"/>
      <c r="F59" s="61"/>
      <c r="G59" s="61"/>
      <c r="H59" s="61"/>
      <c r="I59" s="61"/>
      <c r="J59" s="61"/>
      <c r="K59" s="61"/>
      <c r="L59" s="319"/>
    </row>
    <row r="60" spans="1:12" ht="15" customHeight="1" x14ac:dyDescent="0.35">
      <c r="A60" s="101">
        <v>56</v>
      </c>
      <c r="B60" s="69">
        <f t="shared" si="0"/>
      </c>
      <c r="C60" s="316"/>
      <c r="D60" s="70">
        <f>IF($C60="","",IFERROR(IF(INDEX(SS_Risk,MATCH($C60,SS_ID,0))="","",INDEX(SS_Risk,MATCH($C60,SS_ID,0))),""))</f>
      </c>
      <c r="E60" s="316"/>
      <c r="F60" s="61"/>
      <c r="G60" s="61"/>
      <c r="H60" s="61"/>
      <c r="I60" s="61"/>
      <c r="J60" s="61"/>
      <c r="K60" s="61"/>
      <c r="L60" s="319"/>
    </row>
    <row r="61" spans="1:12" ht="15" customHeight="1" x14ac:dyDescent="0.35">
      <c r="A61" s="101">
        <v>57</v>
      </c>
      <c r="B61" s="69">
        <f t="shared" si="0"/>
      </c>
      <c r="C61" s="316"/>
      <c r="D61" s="70">
        <f>IF($C61="","",IFERROR(IF(INDEX(SS_Risk,MATCH($C61,SS_ID,0))="","",INDEX(SS_Risk,MATCH($C61,SS_ID,0))),""))</f>
      </c>
      <c r="E61" s="316"/>
      <c r="F61" s="61"/>
      <c r="G61" s="61"/>
      <c r="H61" s="61"/>
      <c r="I61" s="61"/>
      <c r="J61" s="61"/>
      <c r="K61" s="61"/>
      <c r="L61" s="319"/>
    </row>
    <row r="62" spans="1:12" ht="15" customHeight="1" x14ac:dyDescent="0.35">
      <c r="A62" s="101">
        <v>58</v>
      </c>
      <c r="B62" s="69">
        <f t="shared" si="0"/>
      </c>
      <c r="C62" s="316"/>
      <c r="D62" s="70">
        <f>IF($C62="","",IFERROR(IF(INDEX(SS_Risk,MATCH($C62,SS_ID,0))="","",INDEX(SS_Risk,MATCH($C62,SS_ID,0))),""))</f>
      </c>
      <c r="E62" s="316"/>
      <c r="F62" s="61"/>
      <c r="G62" s="61"/>
      <c r="H62" s="61"/>
      <c r="I62" s="61"/>
      <c r="J62" s="61"/>
      <c r="K62" s="61"/>
      <c r="L62" s="319"/>
    </row>
    <row r="63" spans="1:12" ht="15" customHeight="1" x14ac:dyDescent="0.35">
      <c r="A63" s="101">
        <v>59</v>
      </c>
      <c r="B63" s="69">
        <f t="shared" si="0"/>
      </c>
      <c r="C63" s="316"/>
      <c r="D63" s="70">
        <f>IF($C63="","",IFERROR(IF(INDEX(SS_Risk,MATCH($C63,SS_ID,0))="","",INDEX(SS_Risk,MATCH($C63,SS_ID,0))),""))</f>
      </c>
      <c r="E63" s="316"/>
      <c r="F63" s="61"/>
      <c r="G63" s="61"/>
      <c r="H63" s="61"/>
      <c r="I63" s="61"/>
      <c r="J63" s="61"/>
      <c r="K63" s="61"/>
      <c r="L63" s="319"/>
    </row>
    <row r="64" spans="1:12" ht="15" customHeight="1" x14ac:dyDescent="0.35">
      <c r="A64" s="101">
        <v>60</v>
      </c>
      <c r="B64" s="69">
        <f t="shared" si="0"/>
      </c>
      <c r="C64" s="316"/>
      <c r="D64" s="70">
        <f>IF($C64="","",IFERROR(IF(INDEX(SS_Risk,MATCH($C64,SS_ID,0))="","",INDEX(SS_Risk,MATCH($C64,SS_ID,0))),""))</f>
      </c>
      <c r="E64" s="316"/>
      <c r="F64" s="61"/>
      <c r="G64" s="61"/>
      <c r="H64" s="61"/>
      <c r="I64" s="61"/>
      <c r="J64" s="61"/>
      <c r="K64" s="61"/>
      <c r="L64" s="319"/>
    </row>
    <row r="65" spans="1:12" ht="15" customHeight="1" x14ac:dyDescent="0.35">
      <c r="A65" s="101">
        <v>61</v>
      </c>
      <c r="B65" s="69">
        <f t="shared" si="0"/>
      </c>
      <c r="C65" s="316"/>
      <c r="D65" s="70">
        <f>IF($C65="","",IFERROR(IF(INDEX(SS_Risk,MATCH($C65,SS_ID,0))="","",INDEX(SS_Risk,MATCH($C65,SS_ID,0))),""))</f>
      </c>
      <c r="E65" s="316"/>
      <c r="F65" s="61"/>
      <c r="G65" s="61"/>
      <c r="H65" s="61"/>
      <c r="I65" s="61"/>
      <c r="J65" s="61"/>
      <c r="K65" s="61"/>
      <c r="L65" s="319"/>
    </row>
    <row r="66" spans="1:12" ht="15" customHeight="1" x14ac:dyDescent="0.35">
      <c r="A66" s="101">
        <v>62</v>
      </c>
      <c r="B66" s="69">
        <f t="shared" si="0"/>
      </c>
      <c r="C66" s="316"/>
      <c r="D66" s="70">
        <f>IF($C66="","",IFERROR(IF(INDEX(SS_Risk,MATCH($C66,SS_ID,0))="","",INDEX(SS_Risk,MATCH($C66,SS_ID,0))),""))</f>
      </c>
      <c r="E66" s="316"/>
      <c r="F66" s="61"/>
      <c r="G66" s="61"/>
      <c r="H66" s="61"/>
      <c r="I66" s="61"/>
      <c r="J66" s="61"/>
      <c r="K66" s="61"/>
      <c r="L66" s="319"/>
    </row>
    <row r="67" spans="1:12" ht="15" customHeight="1" x14ac:dyDescent="0.35">
      <c r="A67" s="101">
        <v>63</v>
      </c>
      <c r="B67" s="69">
        <f t="shared" si="0"/>
      </c>
      <c r="C67" s="316"/>
      <c r="D67" s="70">
        <f>IF($C67="","",IFERROR(IF(INDEX(SS_Risk,MATCH($C67,SS_ID,0))="","",INDEX(SS_Risk,MATCH($C67,SS_ID,0))),""))</f>
      </c>
      <c r="E67" s="316"/>
      <c r="F67" s="61"/>
      <c r="G67" s="61"/>
      <c r="H67" s="61"/>
      <c r="I67" s="61"/>
      <c r="J67" s="61"/>
      <c r="K67" s="61"/>
      <c r="L67" s="319"/>
    </row>
    <row r="68" spans="1:12" ht="15" customHeight="1" x14ac:dyDescent="0.35">
      <c r="A68" s="101">
        <v>64</v>
      </c>
      <c r="B68" s="69">
        <f t="shared" si="0"/>
      </c>
      <c r="C68" s="316"/>
      <c r="D68" s="70">
        <f>IF($C68="","",IFERROR(IF(INDEX(SS_Risk,MATCH($C68,SS_ID,0))="","",INDEX(SS_Risk,MATCH($C68,SS_ID,0))),""))</f>
      </c>
      <c r="E68" s="316"/>
      <c r="F68" s="61"/>
      <c r="G68" s="61"/>
      <c r="H68" s="61"/>
      <c r="I68" s="61"/>
      <c r="J68" s="61"/>
      <c r="K68" s="61"/>
      <c r="L68" s="319"/>
    </row>
    <row r="69" spans="1:12" ht="15" customHeight="1" x14ac:dyDescent="0.35">
      <c r="A69" s="101">
        <v>65</v>
      </c>
      <c r="B69" s="69">
        <f t="shared" ref="B69:B132" si="1">IF($F69="","","REQ-"&amp;TEXT($A69,"000"))</f>
      </c>
      <c r="C69" s="316"/>
      <c r="D69" s="70">
        <f>IF($C69="","",IFERROR(IF(INDEX(SS_Risk,MATCH($C69,SS_ID,0))="","",INDEX(SS_Risk,MATCH($C69,SS_ID,0))),""))</f>
      </c>
      <c r="E69" s="316"/>
      <c r="F69" s="61"/>
      <c r="G69" s="61"/>
      <c r="H69" s="61"/>
      <c r="I69" s="61"/>
      <c r="J69" s="61"/>
      <c r="K69" s="61"/>
      <c r="L69" s="319"/>
    </row>
    <row r="70" spans="1:12" ht="15" customHeight="1" x14ac:dyDescent="0.35">
      <c r="A70" s="101">
        <v>66</v>
      </c>
      <c r="B70" s="69">
        <f t="shared" si="1"/>
      </c>
      <c r="C70" s="316"/>
      <c r="D70" s="70">
        <f>IF($C70="","",IFERROR(IF(INDEX(SS_Risk,MATCH($C70,SS_ID,0))="","",INDEX(SS_Risk,MATCH($C70,SS_ID,0))),""))</f>
      </c>
      <c r="E70" s="316"/>
      <c r="F70" s="61"/>
      <c r="G70" s="61"/>
      <c r="H70" s="61"/>
      <c r="I70" s="61"/>
      <c r="J70" s="61"/>
      <c r="K70" s="61"/>
      <c r="L70" s="319"/>
    </row>
    <row r="71" spans="1:12" ht="15" customHeight="1" x14ac:dyDescent="0.35">
      <c r="A71" s="101">
        <v>67</v>
      </c>
      <c r="B71" s="69">
        <f t="shared" si="1"/>
      </c>
      <c r="C71" s="316"/>
      <c r="D71" s="70">
        <f>IF($C71="","",IFERROR(IF(INDEX(SS_Risk,MATCH($C71,SS_ID,0))="","",INDEX(SS_Risk,MATCH($C71,SS_ID,0))),""))</f>
      </c>
      <c r="E71" s="316"/>
      <c r="F71" s="61"/>
      <c r="G71" s="61"/>
      <c r="H71" s="61"/>
      <c r="I71" s="61"/>
      <c r="J71" s="61"/>
      <c r="K71" s="61"/>
      <c r="L71" s="319"/>
    </row>
    <row r="72" spans="1:12" ht="15" customHeight="1" x14ac:dyDescent="0.35">
      <c r="A72" s="101">
        <v>68</v>
      </c>
      <c r="B72" s="69">
        <f t="shared" si="1"/>
      </c>
      <c r="C72" s="316"/>
      <c r="D72" s="70">
        <f>IF($C72="","",IFERROR(IF(INDEX(SS_Risk,MATCH($C72,SS_ID,0))="","",INDEX(SS_Risk,MATCH($C72,SS_ID,0))),""))</f>
      </c>
      <c r="E72" s="316"/>
      <c r="F72" s="61"/>
      <c r="G72" s="61"/>
      <c r="H72" s="61"/>
      <c r="I72" s="61"/>
      <c r="J72" s="61"/>
      <c r="K72" s="61"/>
      <c r="L72" s="319"/>
    </row>
    <row r="73" spans="1:12" ht="15" customHeight="1" x14ac:dyDescent="0.35">
      <c r="A73" s="101">
        <v>69</v>
      </c>
      <c r="B73" s="69">
        <f t="shared" si="1"/>
      </c>
      <c r="C73" s="316"/>
      <c r="D73" s="70">
        <f>IF($C73="","",IFERROR(IF(INDEX(SS_Risk,MATCH($C73,SS_ID,0))="","",INDEX(SS_Risk,MATCH($C73,SS_ID,0))),""))</f>
      </c>
      <c r="E73" s="316"/>
      <c r="F73" s="61"/>
      <c r="G73" s="61"/>
      <c r="H73" s="61"/>
      <c r="I73" s="61"/>
      <c r="J73" s="61"/>
      <c r="K73" s="61"/>
      <c r="L73" s="319"/>
    </row>
    <row r="74" spans="1:12" ht="15" customHeight="1" x14ac:dyDescent="0.35">
      <c r="A74" s="101">
        <v>70</v>
      </c>
      <c r="B74" s="69">
        <f t="shared" si="1"/>
      </c>
      <c r="C74" s="316"/>
      <c r="D74" s="70">
        <f>IF($C74="","",IFERROR(IF(INDEX(SS_Risk,MATCH($C74,SS_ID,0))="","",INDEX(SS_Risk,MATCH($C74,SS_ID,0))),""))</f>
      </c>
      <c r="E74" s="316"/>
      <c r="F74" s="61"/>
      <c r="G74" s="61"/>
      <c r="H74" s="61"/>
      <c r="I74" s="61"/>
      <c r="J74" s="61"/>
      <c r="K74" s="61"/>
      <c r="L74" s="319"/>
    </row>
    <row r="75" spans="1:12" ht="15" customHeight="1" x14ac:dyDescent="0.35">
      <c r="A75" s="101">
        <v>71</v>
      </c>
      <c r="B75" s="69">
        <f t="shared" si="1"/>
      </c>
      <c r="C75" s="316"/>
      <c r="D75" s="70">
        <f>IF($C75="","",IFERROR(IF(INDEX(SS_Risk,MATCH($C75,SS_ID,0))="","",INDEX(SS_Risk,MATCH($C75,SS_ID,0))),""))</f>
      </c>
      <c r="E75" s="316"/>
      <c r="F75" s="61"/>
      <c r="G75" s="61"/>
      <c r="H75" s="61"/>
      <c r="I75" s="61"/>
      <c r="J75" s="61"/>
      <c r="K75" s="61"/>
      <c r="L75" s="319"/>
    </row>
    <row r="76" spans="1:12" ht="15" customHeight="1" x14ac:dyDescent="0.35">
      <c r="A76" s="101">
        <v>72</v>
      </c>
      <c r="B76" s="69">
        <f t="shared" si="1"/>
      </c>
      <c r="C76" s="316"/>
      <c r="D76" s="70">
        <f>IF($C76="","",IFERROR(IF(INDEX(SS_Risk,MATCH($C76,SS_ID,0))="","",INDEX(SS_Risk,MATCH($C76,SS_ID,0))),""))</f>
      </c>
      <c r="E76" s="316"/>
      <c r="F76" s="61"/>
      <c r="G76" s="61"/>
      <c r="H76" s="61"/>
      <c r="I76" s="61"/>
      <c r="J76" s="61"/>
      <c r="K76" s="61"/>
      <c r="L76" s="319"/>
    </row>
    <row r="77" spans="1:12" ht="15" customHeight="1" x14ac:dyDescent="0.35">
      <c r="A77" s="101">
        <v>73</v>
      </c>
      <c r="B77" s="69">
        <f t="shared" si="1"/>
      </c>
      <c r="C77" s="316"/>
      <c r="D77" s="70">
        <f>IF($C77="","",IFERROR(IF(INDEX(SS_Risk,MATCH($C77,SS_ID,0))="","",INDEX(SS_Risk,MATCH($C77,SS_ID,0))),""))</f>
      </c>
      <c r="E77" s="316"/>
      <c r="F77" s="61"/>
      <c r="G77" s="61"/>
      <c r="H77" s="61"/>
      <c r="I77" s="61"/>
      <c r="J77" s="61"/>
      <c r="K77" s="61"/>
      <c r="L77" s="319"/>
    </row>
    <row r="78" spans="1:12" ht="15" customHeight="1" x14ac:dyDescent="0.35">
      <c r="A78" s="101">
        <v>74</v>
      </c>
      <c r="B78" s="69">
        <f t="shared" si="1"/>
      </c>
      <c r="C78" s="317"/>
      <c r="D78" s="70">
        <f>IF($C78="","",IFERROR(IF(INDEX(SS_Risk,MATCH($C78,SS_ID,0))="","",INDEX(SS_Risk,MATCH($C78,SS_ID,0))),""))</f>
      </c>
      <c r="E78" s="317"/>
      <c r="F78" s="61"/>
      <c r="G78" s="61"/>
      <c r="H78" s="61"/>
      <c r="I78" s="61"/>
      <c r="J78" s="61"/>
      <c r="K78" s="61"/>
      <c r="L78" s="319"/>
    </row>
    <row r="79" spans="1:12" ht="15" customHeight="1" x14ac:dyDescent="0.35">
      <c r="A79" s="101">
        <v>75</v>
      </c>
      <c r="B79" s="69">
        <f t="shared" si="1"/>
      </c>
      <c r="C79" s="317"/>
      <c r="D79" s="70">
        <f>IF($C79="","",IFERROR(IF(INDEX(SS_Risk,MATCH($C79,SS_ID,0))="","",INDEX(SS_Risk,MATCH($C79,SS_ID,0))),""))</f>
      </c>
      <c r="E79" s="317"/>
      <c r="F79" s="61"/>
      <c r="G79" s="61"/>
      <c r="H79" s="61"/>
      <c r="I79" s="61"/>
      <c r="J79" s="61"/>
      <c r="K79" s="61"/>
      <c r="L79" s="319"/>
    </row>
    <row r="80" spans="1:12" ht="15" customHeight="1" x14ac:dyDescent="0.35">
      <c r="A80" s="101">
        <v>76</v>
      </c>
      <c r="B80" s="69">
        <f t="shared" si="1"/>
      </c>
      <c r="C80" s="317"/>
      <c r="D80" s="70">
        <f>IF($C80="","",IFERROR(IF(INDEX(SS_Risk,MATCH($C80,SS_ID,0))="","",INDEX(SS_Risk,MATCH($C80,SS_ID,0))),""))</f>
      </c>
      <c r="E80" s="317"/>
      <c r="F80" s="61"/>
      <c r="G80" s="61"/>
      <c r="H80" s="61"/>
      <c r="I80" s="61"/>
      <c r="J80" s="61"/>
      <c r="K80" s="61"/>
      <c r="L80" s="319"/>
    </row>
    <row r="81" spans="1:12" ht="15" customHeight="1" x14ac:dyDescent="0.35">
      <c r="A81" s="101">
        <v>77</v>
      </c>
      <c r="B81" s="69">
        <f t="shared" si="1"/>
      </c>
      <c r="C81" s="317"/>
      <c r="D81" s="70">
        <f>IF($C81="","",IFERROR(IF(INDEX(SS_Risk,MATCH($C81,SS_ID,0))="","",INDEX(SS_Risk,MATCH($C81,SS_ID,0))),""))</f>
      </c>
      <c r="E81" s="317"/>
      <c r="F81" s="61"/>
      <c r="G81" s="61"/>
      <c r="H81" s="61"/>
      <c r="I81" s="61"/>
      <c r="J81" s="61"/>
      <c r="K81" s="61"/>
      <c r="L81" s="319"/>
    </row>
    <row r="82" spans="1:12" ht="15" customHeight="1" x14ac:dyDescent="0.35">
      <c r="A82" s="101">
        <v>78</v>
      </c>
      <c r="B82" s="69">
        <f t="shared" si="1"/>
      </c>
      <c r="C82" s="317"/>
      <c r="D82" s="70">
        <f>IF($C82="","",IFERROR(IF(INDEX(SS_Risk,MATCH($C82,SS_ID,0))="","",INDEX(SS_Risk,MATCH($C82,SS_ID,0))),""))</f>
      </c>
      <c r="E82" s="317"/>
      <c r="F82" s="61"/>
      <c r="G82" s="61"/>
      <c r="H82" s="61"/>
      <c r="I82" s="61"/>
      <c r="J82" s="61"/>
      <c r="K82" s="61"/>
      <c r="L82" s="319"/>
    </row>
    <row r="83" spans="1:12" ht="15" customHeight="1" x14ac:dyDescent="0.35">
      <c r="A83" s="101">
        <v>79</v>
      </c>
      <c r="B83" s="69">
        <f t="shared" si="1"/>
      </c>
      <c r="C83" s="317"/>
      <c r="D83" s="70">
        <f>IF($C83="","",IFERROR(IF(INDEX(SS_Risk,MATCH($C83,SS_ID,0))="","",INDEX(SS_Risk,MATCH($C83,SS_ID,0))),""))</f>
      </c>
      <c r="E83" s="317"/>
      <c r="F83" s="61"/>
      <c r="G83" s="61"/>
      <c r="H83" s="61"/>
      <c r="I83" s="61"/>
      <c r="J83" s="61"/>
      <c r="K83" s="61"/>
      <c r="L83" s="319"/>
    </row>
    <row r="84" spans="1:12" ht="15" customHeight="1" x14ac:dyDescent="0.35">
      <c r="A84" s="101">
        <v>80</v>
      </c>
      <c r="B84" s="69">
        <f t="shared" si="1"/>
      </c>
      <c r="C84" s="317"/>
      <c r="D84" s="70">
        <f>IF($C84="","",IFERROR(IF(INDEX(SS_Risk,MATCH($C84,SS_ID,0))="","",INDEX(SS_Risk,MATCH($C84,SS_ID,0))),""))</f>
      </c>
      <c r="E84" s="317"/>
      <c r="F84" s="61"/>
      <c r="G84" s="61"/>
      <c r="H84" s="61"/>
      <c r="I84" s="61"/>
      <c r="J84" s="61"/>
      <c r="K84" s="61"/>
      <c r="L84" s="319"/>
    </row>
    <row r="85" spans="1:12" ht="15" customHeight="1" x14ac:dyDescent="0.35">
      <c r="A85" s="101">
        <v>81</v>
      </c>
      <c r="B85" s="69">
        <f t="shared" si="1"/>
      </c>
      <c r="C85" s="317"/>
      <c r="D85" s="70">
        <f>IF($C85="","",IFERROR(IF(INDEX(SS_Risk,MATCH($C85,SS_ID,0))="","",INDEX(SS_Risk,MATCH($C85,SS_ID,0))),""))</f>
      </c>
      <c r="E85" s="317"/>
      <c r="F85" s="61"/>
      <c r="G85" s="61"/>
      <c r="H85" s="61"/>
      <c r="I85" s="61"/>
      <c r="J85" s="61"/>
      <c r="K85" s="61"/>
      <c r="L85" s="319"/>
    </row>
    <row r="86" spans="1:12" ht="15" customHeight="1" x14ac:dyDescent="0.35">
      <c r="A86" s="101">
        <v>82</v>
      </c>
      <c r="B86" s="69">
        <f t="shared" si="1"/>
      </c>
      <c r="C86" s="317"/>
      <c r="D86" s="70">
        <f>IF($C86="","",IFERROR(IF(INDEX(SS_Risk,MATCH($C86,SS_ID,0))="","",INDEX(SS_Risk,MATCH($C86,SS_ID,0))),""))</f>
      </c>
      <c r="E86" s="317"/>
      <c r="F86" s="61"/>
      <c r="G86" s="61"/>
      <c r="H86" s="61"/>
      <c r="I86" s="61"/>
      <c r="J86" s="61"/>
      <c r="K86" s="61"/>
      <c r="L86" s="319"/>
    </row>
    <row r="87" spans="1:12" ht="15" customHeight="1" x14ac:dyDescent="0.35">
      <c r="A87" s="101">
        <v>83</v>
      </c>
      <c r="B87" s="69">
        <f t="shared" si="1"/>
      </c>
      <c r="C87" s="317"/>
      <c r="D87" s="70">
        <f>IF($C87="","",IFERROR(IF(INDEX(SS_Risk,MATCH($C87,SS_ID,0))="","",INDEX(SS_Risk,MATCH($C87,SS_ID,0))),""))</f>
      </c>
      <c r="E87" s="317"/>
      <c r="F87" s="61"/>
      <c r="G87" s="61"/>
      <c r="H87" s="61"/>
      <c r="I87" s="61"/>
      <c r="J87" s="61"/>
      <c r="K87" s="61"/>
      <c r="L87" s="319"/>
    </row>
    <row r="88" spans="1:12" ht="15" customHeight="1" x14ac:dyDescent="0.35">
      <c r="A88" s="101">
        <v>84</v>
      </c>
      <c r="B88" s="69">
        <f t="shared" si="1"/>
      </c>
      <c r="C88" s="317"/>
      <c r="D88" s="70">
        <f>IF($C88="","",IFERROR(IF(INDEX(SS_Risk,MATCH($C88,SS_ID,0))="","",INDEX(SS_Risk,MATCH($C88,SS_ID,0))),""))</f>
      </c>
      <c r="E88" s="317"/>
      <c r="F88" s="61"/>
      <c r="G88" s="61"/>
      <c r="H88" s="61"/>
      <c r="I88" s="61"/>
      <c r="J88" s="61"/>
      <c r="K88" s="61"/>
      <c r="L88" s="319"/>
    </row>
    <row r="89" spans="1:12" ht="15" customHeight="1" x14ac:dyDescent="0.35">
      <c r="A89" s="101">
        <v>85</v>
      </c>
      <c r="B89" s="69">
        <f t="shared" si="1"/>
      </c>
      <c r="C89" s="317"/>
      <c r="D89" s="70">
        <f>IF($C89="","",IFERROR(IF(INDEX(SS_Risk,MATCH($C89,SS_ID,0))="","",INDEX(SS_Risk,MATCH($C89,SS_ID,0))),""))</f>
      </c>
      <c r="E89" s="317"/>
      <c r="F89" s="61"/>
      <c r="G89" s="61"/>
      <c r="H89" s="61"/>
      <c r="I89" s="61"/>
      <c r="J89" s="61"/>
      <c r="K89" s="61"/>
      <c r="L89" s="319"/>
    </row>
    <row r="90" spans="1:12" ht="15" customHeight="1" x14ac:dyDescent="0.35">
      <c r="A90" s="101">
        <v>86</v>
      </c>
      <c r="B90" s="69">
        <f t="shared" si="1"/>
      </c>
      <c r="C90" s="317"/>
      <c r="D90" s="70">
        <f>IF($C90="","",IFERROR(IF(INDEX(SS_Risk,MATCH($C90,SS_ID,0))="","",INDEX(SS_Risk,MATCH($C90,SS_ID,0))),""))</f>
      </c>
      <c r="E90" s="317"/>
      <c r="F90" s="61"/>
      <c r="G90" s="61"/>
      <c r="H90" s="61"/>
      <c r="I90" s="61"/>
      <c r="J90" s="61"/>
      <c r="K90" s="61"/>
      <c r="L90" s="319"/>
    </row>
    <row r="91" spans="1:12" ht="15" customHeight="1" x14ac:dyDescent="0.35">
      <c r="A91" s="101">
        <v>87</v>
      </c>
      <c r="B91" s="69">
        <f t="shared" si="1"/>
      </c>
      <c r="C91" s="317"/>
      <c r="D91" s="70">
        <f>IF($C91="","",IFERROR(IF(INDEX(SS_Risk,MATCH($C91,SS_ID,0))="","",INDEX(SS_Risk,MATCH($C91,SS_ID,0))),""))</f>
      </c>
      <c r="E91" s="317"/>
      <c r="F91" s="61"/>
      <c r="G91" s="61"/>
      <c r="H91" s="61"/>
      <c r="I91" s="61"/>
      <c r="J91" s="61"/>
      <c r="K91" s="61"/>
      <c r="L91" s="319"/>
    </row>
    <row r="92" spans="1:12" ht="15" customHeight="1" x14ac:dyDescent="0.35">
      <c r="A92" s="101">
        <v>88</v>
      </c>
      <c r="B92" s="69">
        <f t="shared" si="1"/>
      </c>
      <c r="C92" s="317"/>
      <c r="D92" s="70">
        <f>IF($C92="","",IFERROR(IF(INDEX(SS_Risk,MATCH($C92,SS_ID,0))="","",INDEX(SS_Risk,MATCH($C92,SS_ID,0))),""))</f>
      </c>
      <c r="E92" s="317"/>
      <c r="F92" s="61"/>
      <c r="G92" s="61"/>
      <c r="H92" s="61"/>
      <c r="I92" s="61"/>
      <c r="J92" s="61"/>
      <c r="K92" s="61"/>
      <c r="L92" s="319"/>
    </row>
    <row r="93" spans="1:12" ht="15" customHeight="1" x14ac:dyDescent="0.35">
      <c r="A93" s="101">
        <v>89</v>
      </c>
      <c r="B93" s="69">
        <f t="shared" si="1"/>
      </c>
      <c r="C93" s="317"/>
      <c r="D93" s="70">
        <f>IF($C93="","",IFERROR(IF(INDEX(SS_Risk,MATCH($C93,SS_ID,0))="","",INDEX(SS_Risk,MATCH($C93,SS_ID,0))),""))</f>
      </c>
      <c r="E93" s="317"/>
      <c r="F93" s="61"/>
      <c r="G93" s="61"/>
      <c r="H93" s="61"/>
      <c r="I93" s="61"/>
      <c r="J93" s="61"/>
      <c r="K93" s="61"/>
      <c r="L93" s="319"/>
    </row>
    <row r="94" spans="1:12" ht="15" customHeight="1" x14ac:dyDescent="0.35">
      <c r="A94" s="101">
        <v>90</v>
      </c>
      <c r="B94" s="69">
        <f t="shared" si="1"/>
      </c>
      <c r="C94" s="317"/>
      <c r="D94" s="70">
        <f>IF($C94="","",IFERROR(IF(INDEX(SS_Risk,MATCH($C94,SS_ID,0))="","",INDEX(SS_Risk,MATCH($C94,SS_ID,0))),""))</f>
      </c>
      <c r="E94" s="317"/>
      <c r="F94" s="61"/>
      <c r="G94" s="61"/>
      <c r="H94" s="61"/>
      <c r="I94" s="61"/>
      <c r="J94" s="61"/>
      <c r="K94" s="61"/>
      <c r="L94" s="319"/>
    </row>
    <row r="95" spans="1:12" ht="15" customHeight="1" x14ac:dyDescent="0.35">
      <c r="A95" s="101">
        <v>91</v>
      </c>
      <c r="B95" s="69">
        <f t="shared" si="1"/>
      </c>
      <c r="C95" s="317"/>
      <c r="D95" s="70">
        <f>IF($C95="","",IFERROR(IF(INDEX(SS_Risk,MATCH($C95,SS_ID,0))="","",INDEX(SS_Risk,MATCH($C95,SS_ID,0))),""))</f>
      </c>
      <c r="E95" s="317"/>
      <c r="F95" s="61"/>
      <c r="G95" s="61"/>
      <c r="H95" s="61"/>
      <c r="I95" s="61"/>
      <c r="J95" s="61"/>
      <c r="K95" s="61"/>
      <c r="L95" s="319"/>
    </row>
    <row r="96" spans="1:12" ht="15" customHeight="1" x14ac:dyDescent="0.35">
      <c r="A96" s="101">
        <v>92</v>
      </c>
      <c r="B96" s="69">
        <f t="shared" si="1"/>
      </c>
      <c r="C96" s="317"/>
      <c r="D96" s="70">
        <f>IF($C96="","",IFERROR(IF(INDEX(SS_Risk,MATCH($C96,SS_ID,0))="","",INDEX(SS_Risk,MATCH($C96,SS_ID,0))),""))</f>
      </c>
      <c r="E96" s="317"/>
      <c r="F96" s="61"/>
      <c r="G96" s="61"/>
      <c r="H96" s="61"/>
      <c r="I96" s="61"/>
      <c r="J96" s="61"/>
      <c r="K96" s="61"/>
      <c r="L96" s="319"/>
    </row>
    <row r="97" spans="1:12" ht="15" customHeight="1" x14ac:dyDescent="0.35">
      <c r="A97" s="101">
        <v>93</v>
      </c>
      <c r="B97" s="69">
        <f t="shared" si="1"/>
      </c>
      <c r="C97" s="317"/>
      <c r="D97" s="70">
        <f>IF($C97="","",IFERROR(IF(INDEX(SS_Risk,MATCH($C97,SS_ID,0))="","",INDEX(SS_Risk,MATCH($C97,SS_ID,0))),""))</f>
      </c>
      <c r="E97" s="317"/>
      <c r="F97" s="61"/>
      <c r="G97" s="61"/>
      <c r="H97" s="61"/>
      <c r="I97" s="61"/>
      <c r="J97" s="61"/>
      <c r="K97" s="61"/>
      <c r="L97" s="319"/>
    </row>
    <row r="98" spans="1:12" ht="15" customHeight="1" x14ac:dyDescent="0.35">
      <c r="A98" s="101">
        <v>94</v>
      </c>
      <c r="B98" s="69">
        <f t="shared" si="1"/>
      </c>
      <c r="C98" s="317"/>
      <c r="D98" s="70">
        <f>IF($C98="","",IFERROR(IF(INDEX(SS_Risk,MATCH($C98,SS_ID,0))="","",INDEX(SS_Risk,MATCH($C98,SS_ID,0))),""))</f>
      </c>
      <c r="E98" s="317"/>
      <c r="F98" s="61"/>
      <c r="G98" s="61"/>
      <c r="H98" s="61"/>
      <c r="I98" s="61"/>
      <c r="J98" s="61"/>
      <c r="K98" s="61"/>
      <c r="L98" s="319"/>
    </row>
    <row r="99" spans="1:12" ht="15" customHeight="1" x14ac:dyDescent="0.35">
      <c r="A99" s="101">
        <v>95</v>
      </c>
      <c r="B99" s="69">
        <f t="shared" si="1"/>
      </c>
      <c r="C99" s="317"/>
      <c r="D99" s="70">
        <f>IF($C99="","",IFERROR(IF(INDEX(SS_Risk,MATCH($C99,SS_ID,0))="","",INDEX(SS_Risk,MATCH($C99,SS_ID,0))),""))</f>
      </c>
      <c r="E99" s="317"/>
      <c r="F99" s="61"/>
      <c r="G99" s="61"/>
      <c r="H99" s="61"/>
      <c r="I99" s="61"/>
      <c r="J99" s="61"/>
      <c r="K99" s="61"/>
      <c r="L99" s="319"/>
    </row>
    <row r="100" spans="1:12" ht="15" customHeight="1" x14ac:dyDescent="0.35">
      <c r="A100" s="101">
        <v>96</v>
      </c>
      <c r="B100" s="69">
        <f t="shared" si="1"/>
      </c>
      <c r="C100" s="317"/>
      <c r="D100" s="70">
        <f>IF($C100="","",IFERROR(IF(INDEX(SS_Risk,MATCH($C100,SS_ID,0))="","",INDEX(SS_Risk,MATCH($C100,SS_ID,0))),""))</f>
      </c>
      <c r="E100" s="317"/>
      <c r="F100" s="61"/>
      <c r="G100" s="61"/>
      <c r="H100" s="61"/>
      <c r="I100" s="61"/>
      <c r="J100" s="61"/>
      <c r="K100" s="61"/>
      <c r="L100" s="319"/>
    </row>
    <row r="101" spans="1:12" ht="15" customHeight="1" x14ac:dyDescent="0.35">
      <c r="A101" s="101">
        <v>97</v>
      </c>
      <c r="B101" s="69">
        <f t="shared" si="1"/>
      </c>
      <c r="C101" s="317"/>
      <c r="D101" s="70">
        <f>IF($C101="","",IFERROR(IF(INDEX(SS_Risk,MATCH($C101,SS_ID,0))="","",INDEX(SS_Risk,MATCH($C101,SS_ID,0))),""))</f>
      </c>
      <c r="E101" s="317"/>
      <c r="F101" s="61"/>
      <c r="G101" s="61"/>
      <c r="H101" s="61"/>
      <c r="I101" s="61"/>
      <c r="J101" s="61"/>
      <c r="K101" s="61"/>
      <c r="L101" s="319"/>
    </row>
    <row r="102" spans="1:12" ht="15" customHeight="1" x14ac:dyDescent="0.35">
      <c r="A102" s="101">
        <v>98</v>
      </c>
      <c r="B102" s="69">
        <f t="shared" si="1"/>
      </c>
      <c r="C102" s="317"/>
      <c r="D102" s="70">
        <f>IF($C102="","",IFERROR(IF(INDEX(SS_Risk,MATCH($C102,SS_ID,0))="","",INDEX(SS_Risk,MATCH($C102,SS_ID,0))),""))</f>
      </c>
      <c r="E102" s="317"/>
      <c r="F102" s="61"/>
      <c r="G102" s="61"/>
      <c r="H102" s="61"/>
      <c r="I102" s="61"/>
      <c r="J102" s="61"/>
      <c r="K102" s="61"/>
      <c r="L102" s="319"/>
    </row>
    <row r="103" spans="1:12" ht="15" customHeight="1" x14ac:dyDescent="0.35">
      <c r="A103" s="101">
        <v>99</v>
      </c>
      <c r="B103" s="69">
        <f t="shared" si="1"/>
      </c>
      <c r="C103" s="317"/>
      <c r="D103" s="70">
        <f>IF($C103="","",IFERROR(IF(INDEX(SS_Risk,MATCH($C103,SS_ID,0))="","",INDEX(SS_Risk,MATCH($C103,SS_ID,0))),""))</f>
      </c>
      <c r="E103" s="317"/>
      <c r="F103" s="61"/>
      <c r="G103" s="61"/>
      <c r="H103" s="61"/>
      <c r="I103" s="61"/>
      <c r="J103" s="61"/>
      <c r="K103" s="61"/>
      <c r="L103" s="319"/>
    </row>
    <row r="104" spans="1:12" ht="15" customHeight="1" x14ac:dyDescent="0.35">
      <c r="A104" s="101">
        <v>100</v>
      </c>
      <c r="B104" s="69">
        <f t="shared" si="1"/>
      </c>
      <c r="C104" s="317"/>
      <c r="D104" s="70">
        <f>IF($C104="","",IFERROR(IF(INDEX(SS_Risk,MATCH($C104,SS_ID,0))="","",INDEX(SS_Risk,MATCH($C104,SS_ID,0))),""))</f>
      </c>
      <c r="E104" s="317"/>
      <c r="F104" s="61"/>
      <c r="G104" s="61"/>
      <c r="H104" s="61"/>
      <c r="I104" s="61"/>
      <c r="J104" s="61"/>
      <c r="K104" s="61"/>
      <c r="L104" s="319"/>
    </row>
    <row r="105" spans="1:12" ht="15" customHeight="1" x14ac:dyDescent="0.35">
      <c r="A105" s="101">
        <v>101</v>
      </c>
      <c r="B105" s="69">
        <f t="shared" si="1"/>
      </c>
      <c r="C105" s="317"/>
      <c r="D105" s="70">
        <f>IF($C105="","",IFERROR(IF(INDEX(SS_Risk,MATCH($C105,SS_ID,0))="","",INDEX(SS_Risk,MATCH($C105,SS_ID,0))),""))</f>
      </c>
      <c r="E105" s="317"/>
      <c r="F105" s="61"/>
      <c r="G105" s="61"/>
      <c r="H105" s="61"/>
      <c r="I105" s="61"/>
      <c r="J105" s="61"/>
      <c r="K105" s="61"/>
      <c r="L105" s="319"/>
    </row>
    <row r="106" spans="1:12" ht="15" customHeight="1" x14ac:dyDescent="0.35">
      <c r="A106" s="101">
        <v>102</v>
      </c>
      <c r="B106" s="69">
        <f t="shared" si="1"/>
      </c>
      <c r="C106" s="317"/>
      <c r="D106" s="70">
        <f>IF($C106="","",IFERROR(IF(INDEX(SS_Risk,MATCH($C106,SS_ID,0))="","",INDEX(SS_Risk,MATCH($C106,SS_ID,0))),""))</f>
      </c>
      <c r="E106" s="317"/>
      <c r="F106" s="61"/>
      <c r="G106" s="61"/>
      <c r="H106" s="61"/>
      <c r="I106" s="61"/>
      <c r="J106" s="61"/>
      <c r="K106" s="61"/>
      <c r="L106" s="319"/>
    </row>
    <row r="107" spans="1:12" ht="15" customHeight="1" x14ac:dyDescent="0.35">
      <c r="A107" s="101">
        <v>103</v>
      </c>
      <c r="B107" s="69">
        <f t="shared" si="1"/>
      </c>
      <c r="C107" s="317"/>
      <c r="D107" s="70">
        <f>IF($C107="","",IFERROR(IF(INDEX(SS_Risk,MATCH($C107,SS_ID,0))="","",INDEX(SS_Risk,MATCH($C107,SS_ID,0))),""))</f>
      </c>
      <c r="E107" s="317"/>
      <c r="F107" s="61"/>
      <c r="G107" s="61"/>
      <c r="H107" s="61"/>
      <c r="I107" s="61"/>
      <c r="J107" s="61"/>
      <c r="K107" s="61"/>
      <c r="L107" s="319"/>
    </row>
    <row r="108" spans="1:12" ht="15" customHeight="1" x14ac:dyDescent="0.35">
      <c r="A108" s="101">
        <v>104</v>
      </c>
      <c r="B108" s="69">
        <f t="shared" si="1"/>
      </c>
      <c r="C108" s="317"/>
      <c r="D108" s="70">
        <f>IF($C108="","",IFERROR(IF(INDEX(SS_Risk,MATCH($C108,SS_ID,0))="","",INDEX(SS_Risk,MATCH($C108,SS_ID,0))),""))</f>
      </c>
      <c r="E108" s="317"/>
      <c r="F108" s="61"/>
      <c r="G108" s="61"/>
      <c r="H108" s="61"/>
      <c r="I108" s="61"/>
      <c r="J108" s="61"/>
      <c r="K108" s="61"/>
      <c r="L108" s="319"/>
    </row>
    <row r="109" spans="1:12" ht="15" customHeight="1" x14ac:dyDescent="0.35">
      <c r="A109" s="101">
        <v>105</v>
      </c>
      <c r="B109" s="69">
        <f t="shared" si="1"/>
      </c>
      <c r="C109" s="317"/>
      <c r="D109" s="70">
        <f>IF($C109="","",IFERROR(IF(INDEX(SS_Risk,MATCH($C109,SS_ID,0))="","",INDEX(SS_Risk,MATCH($C109,SS_ID,0))),""))</f>
      </c>
      <c r="E109" s="317"/>
      <c r="F109" s="61"/>
      <c r="G109" s="61"/>
      <c r="H109" s="61"/>
      <c r="I109" s="61"/>
      <c r="J109" s="61"/>
      <c r="K109" s="61"/>
      <c r="L109" s="319"/>
    </row>
    <row r="110" spans="1:12" ht="15" customHeight="1" x14ac:dyDescent="0.35">
      <c r="A110" s="101">
        <v>106</v>
      </c>
      <c r="B110" s="69">
        <f t="shared" si="1"/>
      </c>
      <c r="C110" s="317"/>
      <c r="D110" s="70">
        <f>IF($C110="","",IFERROR(IF(INDEX(SS_Risk,MATCH($C110,SS_ID,0))="","",INDEX(SS_Risk,MATCH($C110,SS_ID,0))),""))</f>
      </c>
      <c r="E110" s="317"/>
      <c r="F110" s="61"/>
      <c r="G110" s="61"/>
      <c r="H110" s="61"/>
      <c r="I110" s="61"/>
      <c r="J110" s="61"/>
      <c r="K110" s="61"/>
      <c r="L110" s="319"/>
    </row>
    <row r="111" spans="1:12" ht="15" customHeight="1" x14ac:dyDescent="0.35">
      <c r="A111" s="101">
        <v>107</v>
      </c>
      <c r="B111" s="69">
        <f t="shared" si="1"/>
      </c>
      <c r="C111" s="317"/>
      <c r="D111" s="70">
        <f>IF($C111="","",IFERROR(IF(INDEX(SS_Risk,MATCH($C111,SS_ID,0))="","",INDEX(SS_Risk,MATCH($C111,SS_ID,0))),""))</f>
      </c>
      <c r="E111" s="317"/>
      <c r="F111" s="61"/>
      <c r="G111" s="61"/>
      <c r="H111" s="61"/>
      <c r="I111" s="61"/>
      <c r="J111" s="61"/>
      <c r="K111" s="61"/>
      <c r="L111" s="319"/>
    </row>
    <row r="112" spans="1:12" ht="15" customHeight="1" x14ac:dyDescent="0.35">
      <c r="A112" s="101">
        <v>108</v>
      </c>
      <c r="B112" s="69">
        <f t="shared" si="1"/>
      </c>
      <c r="C112" s="317"/>
      <c r="D112" s="70">
        <f>IF($C112="","",IFERROR(IF(INDEX(SS_Risk,MATCH($C112,SS_ID,0))="","",INDEX(SS_Risk,MATCH($C112,SS_ID,0))),""))</f>
      </c>
      <c r="E112" s="317"/>
      <c r="F112" s="61"/>
      <c r="G112" s="61"/>
      <c r="H112" s="61"/>
      <c r="I112" s="61"/>
      <c r="J112" s="61"/>
      <c r="K112" s="61"/>
      <c r="L112" s="319"/>
    </row>
    <row r="113" spans="1:12" ht="15" customHeight="1" x14ac:dyDescent="0.35">
      <c r="A113" s="101">
        <v>109</v>
      </c>
      <c r="B113" s="69">
        <f t="shared" si="1"/>
      </c>
      <c r="C113" s="317"/>
      <c r="D113" s="70">
        <f>IF($C113="","",IFERROR(IF(INDEX(SS_Risk,MATCH($C113,SS_ID,0))="","",INDEX(SS_Risk,MATCH($C113,SS_ID,0))),""))</f>
      </c>
      <c r="E113" s="317"/>
      <c r="F113" s="61"/>
      <c r="G113" s="61"/>
      <c r="H113" s="61"/>
      <c r="I113" s="61"/>
      <c r="J113" s="61"/>
      <c r="K113" s="61"/>
      <c r="L113" s="319"/>
    </row>
    <row r="114" spans="1:12" ht="15" customHeight="1" x14ac:dyDescent="0.35">
      <c r="A114" s="101">
        <v>110</v>
      </c>
      <c r="B114" s="69">
        <f t="shared" si="1"/>
      </c>
      <c r="C114" s="317"/>
      <c r="D114" s="70">
        <f>IF($C114="","",IFERROR(IF(INDEX(SS_Risk,MATCH($C114,SS_ID,0))="","",INDEX(SS_Risk,MATCH($C114,SS_ID,0))),""))</f>
      </c>
      <c r="E114" s="317"/>
      <c r="F114" s="61"/>
      <c r="G114" s="61"/>
      <c r="H114" s="61"/>
      <c r="I114" s="61"/>
      <c r="J114" s="61"/>
      <c r="K114" s="61"/>
      <c r="L114" s="319"/>
    </row>
    <row r="115" spans="1:12" ht="15" customHeight="1" x14ac:dyDescent="0.35">
      <c r="A115" s="101">
        <v>111</v>
      </c>
      <c r="B115" s="69">
        <f t="shared" si="1"/>
      </c>
      <c r="C115" s="317"/>
      <c r="D115" s="70">
        <f>IF($C115="","",IFERROR(IF(INDEX(SS_Risk,MATCH($C115,SS_ID,0))="","",INDEX(SS_Risk,MATCH($C115,SS_ID,0))),""))</f>
      </c>
      <c r="E115" s="317"/>
      <c r="F115" s="61"/>
      <c r="G115" s="61"/>
      <c r="H115" s="61"/>
      <c r="I115" s="61"/>
      <c r="J115" s="61"/>
      <c r="K115" s="61"/>
      <c r="L115" s="319"/>
    </row>
    <row r="116" spans="1:12" ht="15" customHeight="1" x14ac:dyDescent="0.35">
      <c r="A116" s="101">
        <v>112</v>
      </c>
      <c r="B116" s="69">
        <f t="shared" si="1"/>
      </c>
      <c r="C116" s="317"/>
      <c r="D116" s="70">
        <f>IF($C116="","",IFERROR(IF(INDEX(SS_Risk,MATCH($C116,SS_ID,0))="","",INDEX(SS_Risk,MATCH($C116,SS_ID,0))),""))</f>
      </c>
      <c r="E116" s="317"/>
      <c r="F116" s="61"/>
      <c r="G116" s="61"/>
      <c r="H116" s="61"/>
      <c r="I116" s="61"/>
      <c r="J116" s="61"/>
      <c r="K116" s="61"/>
      <c r="L116" s="319"/>
    </row>
    <row r="117" spans="1:12" ht="15" customHeight="1" x14ac:dyDescent="0.35">
      <c r="A117" s="101">
        <v>113</v>
      </c>
      <c r="B117" s="69">
        <f t="shared" si="1"/>
      </c>
      <c r="C117" s="317"/>
      <c r="D117" s="70">
        <f>IF($C117="","",IFERROR(IF(INDEX(SS_Risk,MATCH($C117,SS_ID,0))="","",INDEX(SS_Risk,MATCH($C117,SS_ID,0))),""))</f>
      </c>
      <c r="E117" s="317"/>
      <c r="F117" s="61"/>
      <c r="G117" s="61"/>
      <c r="H117" s="61"/>
      <c r="I117" s="61"/>
      <c r="J117" s="61"/>
      <c r="K117" s="61"/>
      <c r="L117" s="319"/>
    </row>
    <row r="118" spans="1:12" ht="15" customHeight="1" x14ac:dyDescent="0.35">
      <c r="A118" s="101">
        <v>114</v>
      </c>
      <c r="B118" s="69">
        <f t="shared" si="1"/>
      </c>
      <c r="C118" s="317"/>
      <c r="D118" s="70">
        <f>IF($C118="","",IFERROR(IF(INDEX(SS_Risk,MATCH($C118,SS_ID,0))="","",INDEX(SS_Risk,MATCH($C118,SS_ID,0))),""))</f>
      </c>
      <c r="E118" s="317"/>
      <c r="F118" s="61"/>
      <c r="G118" s="61"/>
      <c r="H118" s="61"/>
      <c r="I118" s="61"/>
      <c r="J118" s="61"/>
      <c r="K118" s="61"/>
      <c r="L118" s="319"/>
    </row>
    <row r="119" spans="1:12" ht="15" customHeight="1" x14ac:dyDescent="0.35">
      <c r="A119" s="101">
        <v>115</v>
      </c>
      <c r="B119" s="69">
        <f t="shared" si="1"/>
      </c>
      <c r="C119" s="317"/>
      <c r="D119" s="70">
        <f>IF($C119="","",IFERROR(IF(INDEX(SS_Risk,MATCH($C119,SS_ID,0))="","",INDEX(SS_Risk,MATCH($C119,SS_ID,0))),""))</f>
      </c>
      <c r="E119" s="317"/>
      <c r="F119" s="61"/>
      <c r="G119" s="61"/>
      <c r="H119" s="61"/>
      <c r="I119" s="61"/>
      <c r="J119" s="61"/>
      <c r="K119" s="61"/>
      <c r="L119" s="319"/>
    </row>
    <row r="120" spans="1:12" ht="15" customHeight="1" x14ac:dyDescent="0.35">
      <c r="A120" s="101">
        <v>116</v>
      </c>
      <c r="B120" s="69">
        <f t="shared" si="1"/>
      </c>
      <c r="C120" s="317"/>
      <c r="D120" s="70">
        <f>IF($C120="","",IFERROR(IF(INDEX(SS_Risk,MATCH($C120,SS_ID,0))="","",INDEX(SS_Risk,MATCH($C120,SS_ID,0))),""))</f>
      </c>
      <c r="E120" s="317"/>
      <c r="F120" s="61"/>
      <c r="G120" s="61"/>
      <c r="H120" s="61"/>
      <c r="I120" s="61"/>
      <c r="J120" s="61"/>
      <c r="K120" s="61"/>
      <c r="L120" s="319"/>
    </row>
    <row r="121" spans="1:12" ht="15" customHeight="1" x14ac:dyDescent="0.35">
      <c r="A121" s="101">
        <v>117</v>
      </c>
      <c r="B121" s="69">
        <f t="shared" si="1"/>
      </c>
      <c r="C121" s="317"/>
      <c r="D121" s="70">
        <f>IF($C121="","",IFERROR(IF(INDEX(SS_Risk,MATCH($C121,SS_ID,0))="","",INDEX(SS_Risk,MATCH($C121,SS_ID,0))),""))</f>
      </c>
      <c r="E121" s="317"/>
      <c r="F121" s="61"/>
      <c r="G121" s="61"/>
      <c r="H121" s="61"/>
      <c r="I121" s="61"/>
      <c r="J121" s="61"/>
      <c r="K121" s="61"/>
      <c r="L121" s="319"/>
    </row>
    <row r="122" spans="1:12" ht="15" customHeight="1" x14ac:dyDescent="0.35">
      <c r="A122" s="101">
        <v>118</v>
      </c>
      <c r="B122" s="69">
        <f t="shared" si="1"/>
      </c>
      <c r="C122" s="317"/>
      <c r="D122" s="70">
        <f>IF($C122="","",IFERROR(IF(INDEX(SS_Risk,MATCH($C122,SS_ID,0))="","",INDEX(SS_Risk,MATCH($C122,SS_ID,0))),""))</f>
      </c>
      <c r="E122" s="317"/>
      <c r="F122" s="61"/>
      <c r="G122" s="61"/>
      <c r="H122" s="61"/>
      <c r="I122" s="61"/>
      <c r="J122" s="61"/>
      <c r="K122" s="61"/>
      <c r="L122" s="319"/>
    </row>
    <row r="123" spans="1:12" ht="15" customHeight="1" x14ac:dyDescent="0.35">
      <c r="A123" s="101">
        <v>119</v>
      </c>
      <c r="B123" s="69">
        <f t="shared" si="1"/>
      </c>
      <c r="C123" s="317"/>
      <c r="D123" s="70">
        <f>IF($C123="","",IFERROR(IF(INDEX(SS_Risk,MATCH($C123,SS_ID,0))="","",INDEX(SS_Risk,MATCH($C123,SS_ID,0))),""))</f>
      </c>
      <c r="E123" s="317"/>
      <c r="F123" s="61"/>
      <c r="G123" s="61"/>
      <c r="H123" s="61"/>
      <c r="I123" s="61"/>
      <c r="J123" s="61"/>
      <c r="K123" s="61"/>
      <c r="L123" s="319"/>
    </row>
    <row r="124" spans="1:12" ht="15" customHeight="1" x14ac:dyDescent="0.35">
      <c r="A124" s="101">
        <v>120</v>
      </c>
      <c r="B124" s="69">
        <f t="shared" si="1"/>
      </c>
      <c r="C124" s="317"/>
      <c r="D124" s="70">
        <f>IF($C124="","",IFERROR(IF(INDEX(SS_Risk,MATCH($C124,SS_ID,0))="","",INDEX(SS_Risk,MATCH($C124,SS_ID,0))),""))</f>
      </c>
      <c r="E124" s="317"/>
      <c r="F124" s="61"/>
      <c r="G124" s="61"/>
      <c r="H124" s="61"/>
      <c r="I124" s="61"/>
      <c r="J124" s="61"/>
      <c r="K124" s="61"/>
      <c r="L124" s="319"/>
    </row>
    <row r="125" spans="1:12" ht="15" customHeight="1" x14ac:dyDescent="0.35">
      <c r="A125" s="101">
        <v>121</v>
      </c>
      <c r="B125" s="69">
        <f t="shared" si="1"/>
      </c>
      <c r="C125" s="317"/>
      <c r="D125" s="70">
        <f>IF($C125="","",IFERROR(IF(INDEX(SS_Risk,MATCH($C125,SS_ID,0))="","",INDEX(SS_Risk,MATCH($C125,SS_ID,0))),""))</f>
      </c>
      <c r="E125" s="317"/>
      <c r="F125" s="61"/>
      <c r="G125" s="61"/>
      <c r="H125" s="61"/>
      <c r="I125" s="61"/>
      <c r="J125" s="61"/>
      <c r="K125" s="61"/>
      <c r="L125" s="319"/>
    </row>
    <row r="126" spans="1:12" ht="15" customHeight="1" x14ac:dyDescent="0.35">
      <c r="A126" s="101">
        <v>122</v>
      </c>
      <c r="B126" s="69">
        <f t="shared" si="1"/>
      </c>
      <c r="C126" s="317"/>
      <c r="D126" s="70">
        <f>IF($C126="","",IFERROR(IF(INDEX(SS_Risk,MATCH($C126,SS_ID,0))="","",INDEX(SS_Risk,MATCH($C126,SS_ID,0))),""))</f>
      </c>
      <c r="E126" s="317"/>
      <c r="F126" s="61"/>
      <c r="G126" s="61"/>
      <c r="H126" s="61"/>
      <c r="I126" s="61"/>
      <c r="J126" s="61"/>
      <c r="K126" s="61"/>
      <c r="L126" s="319"/>
    </row>
    <row r="127" spans="1:12" ht="15" customHeight="1" x14ac:dyDescent="0.35">
      <c r="A127" s="101">
        <v>123</v>
      </c>
      <c r="B127" s="69">
        <f t="shared" si="1"/>
      </c>
      <c r="C127" s="317"/>
      <c r="D127" s="70">
        <f>IF($C127="","",IFERROR(IF(INDEX(SS_Risk,MATCH($C127,SS_ID,0))="","",INDEX(SS_Risk,MATCH($C127,SS_ID,0))),""))</f>
      </c>
      <c r="E127" s="317"/>
      <c r="F127" s="61"/>
      <c r="G127" s="61"/>
      <c r="H127" s="61"/>
      <c r="I127" s="61"/>
      <c r="J127" s="61"/>
      <c r="K127" s="61"/>
      <c r="L127" s="319"/>
    </row>
    <row r="128" spans="1:12" ht="15" customHeight="1" x14ac:dyDescent="0.35">
      <c r="A128" s="101">
        <v>124</v>
      </c>
      <c r="B128" s="69">
        <f t="shared" si="1"/>
      </c>
      <c r="C128" s="317"/>
      <c r="D128" s="70">
        <f>IF($C128="","",IFERROR(IF(INDEX(SS_Risk,MATCH($C128,SS_ID,0))="","",INDEX(SS_Risk,MATCH($C128,SS_ID,0))),""))</f>
      </c>
      <c r="E128" s="317"/>
      <c r="F128" s="61"/>
      <c r="G128" s="61"/>
      <c r="H128" s="61"/>
      <c r="I128" s="61"/>
      <c r="J128" s="61"/>
      <c r="K128" s="61"/>
      <c r="L128" s="319"/>
    </row>
    <row r="129" spans="1:12" ht="15" customHeight="1" x14ac:dyDescent="0.35">
      <c r="A129" s="101">
        <v>125</v>
      </c>
      <c r="B129" s="69">
        <f t="shared" si="1"/>
      </c>
      <c r="C129" s="317"/>
      <c r="D129" s="70">
        <f>IF($C129="","",IFERROR(IF(INDEX(SS_Risk,MATCH($C129,SS_ID,0))="","",INDEX(SS_Risk,MATCH($C129,SS_ID,0))),""))</f>
      </c>
      <c r="E129" s="317"/>
      <c r="F129" s="61"/>
      <c r="G129" s="61"/>
      <c r="H129" s="61"/>
      <c r="I129" s="61"/>
      <c r="J129" s="61"/>
      <c r="K129" s="61"/>
      <c r="L129" s="319"/>
    </row>
    <row r="130" spans="1:12" ht="15" customHeight="1" x14ac:dyDescent="0.35">
      <c r="A130" s="101">
        <v>126</v>
      </c>
      <c r="B130" s="69">
        <f t="shared" si="1"/>
      </c>
      <c r="C130" s="317"/>
      <c r="D130" s="70">
        <f>IF($C130="","",IFERROR(IF(INDEX(SS_Risk,MATCH($C130,SS_ID,0))="","",INDEX(SS_Risk,MATCH($C130,SS_ID,0))),""))</f>
      </c>
      <c r="E130" s="317"/>
      <c r="F130" s="61"/>
      <c r="G130" s="61"/>
      <c r="H130" s="61"/>
      <c r="I130" s="61"/>
      <c r="J130" s="61"/>
      <c r="K130" s="61"/>
      <c r="L130" s="319"/>
    </row>
    <row r="131" spans="1:12" ht="15" customHeight="1" x14ac:dyDescent="0.35">
      <c r="A131" s="101">
        <v>127</v>
      </c>
      <c r="B131" s="69">
        <f t="shared" si="1"/>
      </c>
      <c r="C131" s="317"/>
      <c r="D131" s="70">
        <f>IF($C131="","",IFERROR(IF(INDEX(SS_Risk,MATCH($C131,SS_ID,0))="","",INDEX(SS_Risk,MATCH($C131,SS_ID,0))),""))</f>
      </c>
      <c r="E131" s="317"/>
      <c r="F131" s="61"/>
      <c r="G131" s="61"/>
      <c r="H131" s="61"/>
      <c r="I131" s="61"/>
      <c r="J131" s="61"/>
      <c r="K131" s="61"/>
      <c r="L131" s="319"/>
    </row>
    <row r="132" spans="1:12" ht="15" customHeight="1" x14ac:dyDescent="0.35">
      <c r="A132" s="101">
        <v>128</v>
      </c>
      <c r="B132" s="69">
        <f t="shared" si="1"/>
      </c>
      <c r="C132" s="317"/>
      <c r="D132" s="70">
        <f>IF($C132="","",IFERROR(IF(INDEX(SS_Risk,MATCH($C132,SS_ID,0))="","",INDEX(SS_Risk,MATCH($C132,SS_ID,0))),""))</f>
      </c>
      <c r="E132" s="317"/>
      <c r="F132" s="61"/>
      <c r="G132" s="61"/>
      <c r="H132" s="61"/>
      <c r="I132" s="61"/>
      <c r="J132" s="61"/>
      <c r="K132" s="61"/>
      <c r="L132" s="319"/>
    </row>
    <row r="133" spans="1:12" ht="15" customHeight="1" x14ac:dyDescent="0.35">
      <c r="A133" s="101">
        <v>129</v>
      </c>
      <c r="B133" s="69">
        <f t="shared" ref="B133:B196" si="2">IF($F133="","","REQ-"&amp;TEXT($A133,"000"))</f>
      </c>
      <c r="C133" s="317"/>
      <c r="D133" s="70">
        <f>IF($C133="","",IFERROR(IF(INDEX(SS_Risk,MATCH($C133,SS_ID,0))="","",INDEX(SS_Risk,MATCH($C133,SS_ID,0))),""))</f>
      </c>
      <c r="E133" s="317"/>
      <c r="F133" s="61"/>
      <c r="G133" s="61"/>
      <c r="H133" s="61"/>
      <c r="I133" s="61"/>
      <c r="J133" s="61"/>
      <c r="K133" s="61"/>
      <c r="L133" s="319"/>
    </row>
    <row r="134" spans="1:12" ht="15" customHeight="1" x14ac:dyDescent="0.35">
      <c r="A134" s="101">
        <v>130</v>
      </c>
      <c r="B134" s="69">
        <f t="shared" si="2"/>
      </c>
      <c r="C134" s="317"/>
      <c r="D134" s="70">
        <f>IF($C134="","",IFERROR(IF(INDEX(SS_Risk,MATCH($C134,SS_ID,0))="","",INDEX(SS_Risk,MATCH($C134,SS_ID,0))),""))</f>
      </c>
      <c r="E134" s="317"/>
      <c r="F134" s="61"/>
      <c r="G134" s="61"/>
      <c r="H134" s="61"/>
      <c r="I134" s="61"/>
      <c r="J134" s="61"/>
      <c r="K134" s="61"/>
      <c r="L134" s="319"/>
    </row>
    <row r="135" spans="1:12" ht="15" customHeight="1" x14ac:dyDescent="0.35">
      <c r="A135" s="101">
        <v>131</v>
      </c>
      <c r="B135" s="69">
        <f t="shared" si="2"/>
      </c>
      <c r="C135" s="317"/>
      <c r="D135" s="70">
        <f>IF($C135="","",IFERROR(IF(INDEX(SS_Risk,MATCH($C135,SS_ID,0))="","",INDEX(SS_Risk,MATCH($C135,SS_ID,0))),""))</f>
      </c>
      <c r="E135" s="317"/>
      <c r="F135" s="61"/>
      <c r="G135" s="61"/>
      <c r="H135" s="61"/>
      <c r="I135" s="61"/>
      <c r="J135" s="61"/>
      <c r="K135" s="61"/>
      <c r="L135" s="319"/>
    </row>
    <row r="136" spans="1:12" ht="15" customHeight="1" x14ac:dyDescent="0.35">
      <c r="A136" s="101">
        <v>132</v>
      </c>
      <c r="B136" s="69">
        <f t="shared" si="2"/>
      </c>
      <c r="C136" s="317"/>
      <c r="D136" s="70">
        <f>IF($C136="","",IFERROR(IF(INDEX(SS_Risk,MATCH($C136,SS_ID,0))="","",INDEX(SS_Risk,MATCH($C136,SS_ID,0))),""))</f>
      </c>
      <c r="E136" s="317"/>
      <c r="F136" s="61"/>
      <c r="G136" s="61"/>
      <c r="H136" s="61"/>
      <c r="I136" s="61"/>
      <c r="J136" s="61"/>
      <c r="K136" s="61"/>
      <c r="L136" s="319"/>
    </row>
    <row r="137" spans="1:12" ht="15" customHeight="1" x14ac:dyDescent="0.35">
      <c r="A137" s="101">
        <v>133</v>
      </c>
      <c r="B137" s="69">
        <f t="shared" si="2"/>
      </c>
      <c r="C137" s="317"/>
      <c r="D137" s="70">
        <f>IF($C137="","",IFERROR(IF(INDEX(SS_Risk,MATCH($C137,SS_ID,0))="","",INDEX(SS_Risk,MATCH($C137,SS_ID,0))),""))</f>
      </c>
      <c r="E137" s="317"/>
      <c r="F137" s="61"/>
      <c r="G137" s="61"/>
      <c r="H137" s="61"/>
      <c r="I137" s="61"/>
      <c r="J137" s="61"/>
      <c r="K137" s="61"/>
      <c r="L137" s="319"/>
    </row>
    <row r="138" spans="1:12" ht="15" customHeight="1" x14ac:dyDescent="0.35">
      <c r="A138" s="101">
        <v>134</v>
      </c>
      <c r="B138" s="69">
        <f t="shared" si="2"/>
      </c>
      <c r="C138" s="317"/>
      <c r="D138" s="70">
        <f>IF($C138="","",IFERROR(IF(INDEX(SS_Risk,MATCH($C138,SS_ID,0))="","",INDEX(SS_Risk,MATCH($C138,SS_ID,0))),""))</f>
      </c>
      <c r="E138" s="317"/>
      <c r="F138" s="61"/>
      <c r="G138" s="61"/>
      <c r="H138" s="61"/>
      <c r="I138" s="61"/>
      <c r="J138" s="61"/>
      <c r="K138" s="61"/>
      <c r="L138" s="319"/>
    </row>
    <row r="139" spans="1:12" ht="15" customHeight="1" x14ac:dyDescent="0.35">
      <c r="A139" s="101">
        <v>135</v>
      </c>
      <c r="B139" s="69">
        <f t="shared" si="2"/>
      </c>
      <c r="C139" s="317"/>
      <c r="D139" s="70">
        <f>IF($C139="","",IFERROR(IF(INDEX(SS_Risk,MATCH($C139,SS_ID,0))="","",INDEX(SS_Risk,MATCH($C139,SS_ID,0))),""))</f>
      </c>
      <c r="E139" s="317"/>
      <c r="F139" s="61"/>
      <c r="G139" s="61"/>
      <c r="H139" s="61"/>
      <c r="I139" s="61"/>
      <c r="J139" s="61"/>
      <c r="K139" s="61"/>
      <c r="L139" s="319"/>
    </row>
    <row r="140" spans="1:12" ht="15" customHeight="1" x14ac:dyDescent="0.35">
      <c r="A140" s="101">
        <v>136</v>
      </c>
      <c r="B140" s="69">
        <f t="shared" si="2"/>
      </c>
      <c r="C140" s="317"/>
      <c r="D140" s="70">
        <f>IF($C140="","",IFERROR(IF(INDEX(SS_Risk,MATCH($C140,SS_ID,0))="","",INDEX(SS_Risk,MATCH($C140,SS_ID,0))),""))</f>
      </c>
      <c r="E140" s="317"/>
      <c r="F140" s="61"/>
      <c r="G140" s="61"/>
      <c r="H140" s="61"/>
      <c r="I140" s="61"/>
      <c r="J140" s="61"/>
      <c r="K140" s="61"/>
      <c r="L140" s="319"/>
    </row>
    <row r="141" spans="1:12" ht="15" customHeight="1" x14ac:dyDescent="0.35">
      <c r="A141" s="101">
        <v>137</v>
      </c>
      <c r="B141" s="69">
        <f t="shared" si="2"/>
      </c>
      <c r="C141" s="317"/>
      <c r="D141" s="70">
        <f>IF($C141="","",IFERROR(IF(INDEX(SS_Risk,MATCH($C141,SS_ID,0))="","",INDEX(SS_Risk,MATCH($C141,SS_ID,0))),""))</f>
      </c>
      <c r="E141" s="317"/>
      <c r="F141" s="61"/>
      <c r="G141" s="61"/>
      <c r="H141" s="61"/>
      <c r="I141" s="61"/>
      <c r="J141" s="61"/>
      <c r="K141" s="61"/>
      <c r="L141" s="319"/>
    </row>
    <row r="142" spans="1:12" ht="15" customHeight="1" x14ac:dyDescent="0.35">
      <c r="A142" s="101">
        <v>138</v>
      </c>
      <c r="B142" s="69">
        <f t="shared" si="2"/>
      </c>
      <c r="C142" s="317"/>
      <c r="D142" s="70">
        <f>IF($C142="","",IFERROR(IF(INDEX(SS_Risk,MATCH($C142,SS_ID,0))="","",INDEX(SS_Risk,MATCH($C142,SS_ID,0))),""))</f>
      </c>
      <c r="E142" s="317"/>
      <c r="F142" s="61"/>
      <c r="G142" s="61"/>
      <c r="H142" s="61"/>
      <c r="I142" s="61"/>
      <c r="J142" s="61"/>
      <c r="K142" s="61"/>
      <c r="L142" s="319"/>
    </row>
    <row r="143" spans="1:12" ht="15" customHeight="1" x14ac:dyDescent="0.35">
      <c r="A143" s="101">
        <v>139</v>
      </c>
      <c r="B143" s="69">
        <f t="shared" si="2"/>
      </c>
      <c r="C143" s="317"/>
      <c r="D143" s="70">
        <f>IF($C143="","",IFERROR(IF(INDEX(SS_Risk,MATCH($C143,SS_ID,0))="","",INDEX(SS_Risk,MATCH($C143,SS_ID,0))),""))</f>
      </c>
      <c r="E143" s="317"/>
      <c r="F143" s="61"/>
      <c r="G143" s="61"/>
      <c r="H143" s="61"/>
      <c r="I143" s="61"/>
      <c r="J143" s="61"/>
      <c r="K143" s="61"/>
      <c r="L143" s="319"/>
    </row>
    <row r="144" spans="1:12" ht="15" customHeight="1" x14ac:dyDescent="0.35">
      <c r="A144" s="101">
        <v>140</v>
      </c>
      <c r="B144" s="69">
        <f t="shared" si="2"/>
      </c>
      <c r="C144" s="317"/>
      <c r="D144" s="70">
        <f>IF($C144="","",IFERROR(IF(INDEX(SS_Risk,MATCH($C144,SS_ID,0))="","",INDEX(SS_Risk,MATCH($C144,SS_ID,0))),""))</f>
      </c>
      <c r="E144" s="317"/>
      <c r="F144" s="61"/>
      <c r="G144" s="61"/>
      <c r="H144" s="61"/>
      <c r="I144" s="61"/>
      <c r="J144" s="61"/>
      <c r="K144" s="61"/>
      <c r="L144" s="319"/>
    </row>
    <row r="145" spans="1:12" ht="15" customHeight="1" x14ac:dyDescent="0.35">
      <c r="A145" s="101">
        <v>141</v>
      </c>
      <c r="B145" s="69">
        <f t="shared" si="2"/>
      </c>
      <c r="C145" s="317"/>
      <c r="D145" s="70">
        <f>IF($C145="","",IFERROR(IF(INDEX(SS_Risk,MATCH($C145,SS_ID,0))="","",INDEX(SS_Risk,MATCH($C145,SS_ID,0))),""))</f>
      </c>
      <c r="E145" s="317"/>
      <c r="F145" s="61"/>
      <c r="G145" s="61"/>
      <c r="H145" s="61"/>
      <c r="I145" s="61"/>
      <c r="J145" s="61"/>
      <c r="K145" s="61"/>
      <c r="L145" s="319"/>
    </row>
    <row r="146" spans="1:12" ht="15" customHeight="1" x14ac:dyDescent="0.35">
      <c r="A146" s="101">
        <v>142</v>
      </c>
      <c r="B146" s="69">
        <f t="shared" si="2"/>
      </c>
      <c r="C146" s="317"/>
      <c r="D146" s="70">
        <f>IF($C146="","",IFERROR(IF(INDEX(SS_Risk,MATCH($C146,SS_ID,0))="","",INDEX(SS_Risk,MATCH($C146,SS_ID,0))),""))</f>
      </c>
      <c r="E146" s="317"/>
      <c r="F146" s="61"/>
      <c r="G146" s="61"/>
      <c r="H146" s="61"/>
      <c r="I146" s="61"/>
      <c r="J146" s="61"/>
      <c r="K146" s="61"/>
      <c r="L146" s="319"/>
    </row>
    <row r="147" spans="1:12" ht="15" customHeight="1" x14ac:dyDescent="0.35">
      <c r="A147" s="101">
        <v>143</v>
      </c>
      <c r="B147" s="69">
        <f t="shared" si="2"/>
      </c>
      <c r="C147" s="317"/>
      <c r="D147" s="70">
        <f>IF($C147="","",IFERROR(IF(INDEX(SS_Risk,MATCH($C147,SS_ID,0))="","",INDEX(SS_Risk,MATCH($C147,SS_ID,0))),""))</f>
      </c>
      <c r="E147" s="317"/>
      <c r="F147" s="61"/>
      <c r="G147" s="61"/>
      <c r="H147" s="61"/>
      <c r="I147" s="61"/>
      <c r="J147" s="61"/>
      <c r="K147" s="61"/>
      <c r="L147" s="319"/>
    </row>
    <row r="148" spans="1:12" ht="15" customHeight="1" x14ac:dyDescent="0.35">
      <c r="A148" s="101">
        <v>144</v>
      </c>
      <c r="B148" s="69">
        <f t="shared" si="2"/>
      </c>
      <c r="C148" s="317"/>
      <c r="D148" s="70">
        <f>IF($C148="","",IFERROR(IF(INDEX(SS_Risk,MATCH($C148,SS_ID,0))="","",INDEX(SS_Risk,MATCH($C148,SS_ID,0))),""))</f>
      </c>
      <c r="E148" s="317"/>
      <c r="F148" s="61"/>
      <c r="G148" s="61"/>
      <c r="H148" s="61"/>
      <c r="I148" s="61"/>
      <c r="J148" s="61"/>
      <c r="K148" s="61"/>
      <c r="L148" s="319"/>
    </row>
    <row r="149" spans="1:12" ht="15" customHeight="1" x14ac:dyDescent="0.35">
      <c r="A149" s="101">
        <v>145</v>
      </c>
      <c r="B149" s="69">
        <f t="shared" si="2"/>
      </c>
      <c r="C149" s="317"/>
      <c r="D149" s="70">
        <f>IF($C149="","",IFERROR(IF(INDEX(SS_Risk,MATCH($C149,SS_ID,0))="","",INDEX(SS_Risk,MATCH($C149,SS_ID,0))),""))</f>
      </c>
      <c r="E149" s="317"/>
      <c r="F149" s="61"/>
      <c r="G149" s="61"/>
      <c r="H149" s="61"/>
      <c r="I149" s="61"/>
      <c r="J149" s="61"/>
      <c r="K149" s="61"/>
      <c r="L149" s="319"/>
    </row>
    <row r="150" spans="1:12" ht="15" customHeight="1" x14ac:dyDescent="0.35">
      <c r="A150" s="101">
        <v>146</v>
      </c>
      <c r="B150" s="69">
        <f t="shared" si="2"/>
      </c>
      <c r="C150" s="317"/>
      <c r="D150" s="70">
        <f>IF($C150="","",IFERROR(IF(INDEX(SS_Risk,MATCH($C150,SS_ID,0))="","",INDEX(SS_Risk,MATCH($C150,SS_ID,0))),""))</f>
      </c>
      <c r="E150" s="317"/>
      <c r="F150" s="61"/>
      <c r="G150" s="61"/>
      <c r="H150" s="61"/>
      <c r="I150" s="61"/>
      <c r="J150" s="61"/>
      <c r="K150" s="61"/>
      <c r="L150" s="319"/>
    </row>
    <row r="151" spans="1:12" ht="15" customHeight="1" x14ac:dyDescent="0.35">
      <c r="A151" s="101">
        <v>147</v>
      </c>
      <c r="B151" s="69">
        <f t="shared" si="2"/>
      </c>
      <c r="C151" s="317"/>
      <c r="D151" s="70">
        <f>IF($C151="","",IFERROR(IF(INDEX(SS_Risk,MATCH($C151,SS_ID,0))="","",INDEX(SS_Risk,MATCH($C151,SS_ID,0))),""))</f>
      </c>
      <c r="E151" s="317"/>
      <c r="F151" s="61"/>
      <c r="G151" s="61"/>
      <c r="H151" s="61"/>
      <c r="I151" s="61"/>
      <c r="J151" s="61"/>
      <c r="K151" s="61"/>
      <c r="L151" s="319"/>
    </row>
    <row r="152" spans="1:12" ht="15" customHeight="1" x14ac:dyDescent="0.35">
      <c r="A152" s="101">
        <v>148</v>
      </c>
      <c r="B152" s="69">
        <f t="shared" si="2"/>
      </c>
      <c r="C152" s="317"/>
      <c r="D152" s="70">
        <f>IF($C152="","",IFERROR(IF(INDEX(SS_Risk,MATCH($C152,SS_ID,0))="","",INDEX(SS_Risk,MATCH($C152,SS_ID,0))),""))</f>
      </c>
      <c r="E152" s="317"/>
      <c r="F152" s="61"/>
      <c r="G152" s="61"/>
      <c r="H152" s="61"/>
      <c r="I152" s="61"/>
      <c r="J152" s="61"/>
      <c r="K152" s="61"/>
      <c r="L152" s="319"/>
    </row>
    <row r="153" spans="1:12" ht="15" customHeight="1" x14ac:dyDescent="0.35">
      <c r="A153" s="101">
        <v>149</v>
      </c>
      <c r="B153" s="69">
        <f t="shared" si="2"/>
      </c>
      <c r="C153" s="317"/>
      <c r="D153" s="70">
        <f>IF($C153="","",IFERROR(IF(INDEX(SS_Risk,MATCH($C153,SS_ID,0))="","",INDEX(SS_Risk,MATCH($C153,SS_ID,0))),""))</f>
      </c>
      <c r="E153" s="317"/>
      <c r="F153" s="61"/>
      <c r="G153" s="61"/>
      <c r="H153" s="61"/>
      <c r="I153" s="61"/>
      <c r="J153" s="61"/>
      <c r="K153" s="61"/>
      <c r="L153" s="319"/>
    </row>
    <row r="154" spans="1:12" ht="15" customHeight="1" x14ac:dyDescent="0.35">
      <c r="A154" s="101">
        <v>150</v>
      </c>
      <c r="B154" s="69">
        <f t="shared" si="2"/>
      </c>
      <c r="C154" s="317"/>
      <c r="D154" s="70">
        <f>IF($C154="","",IFERROR(IF(INDEX(SS_Risk,MATCH($C154,SS_ID,0))="","",INDEX(SS_Risk,MATCH($C154,SS_ID,0))),""))</f>
      </c>
      <c r="E154" s="317"/>
      <c r="F154" s="61"/>
      <c r="G154" s="61"/>
      <c r="H154" s="61"/>
      <c r="I154" s="61"/>
      <c r="J154" s="61"/>
      <c r="K154" s="61"/>
      <c r="L154" s="319"/>
    </row>
    <row r="155" spans="1:12" ht="15" customHeight="1" x14ac:dyDescent="0.35">
      <c r="A155" s="101">
        <v>151</v>
      </c>
      <c r="B155" s="69">
        <f t="shared" si="2"/>
      </c>
      <c r="C155" s="317"/>
      <c r="D155" s="70">
        <f>IF($C155="","",IFERROR(IF(INDEX(SS_Risk,MATCH($C155,SS_ID,0))="","",INDEX(SS_Risk,MATCH($C155,SS_ID,0))),""))</f>
      </c>
      <c r="E155" s="317"/>
      <c r="F155" s="61"/>
      <c r="G155" s="61"/>
      <c r="H155" s="61"/>
      <c r="I155" s="61"/>
      <c r="J155" s="61"/>
      <c r="K155" s="61"/>
      <c r="L155" s="319"/>
    </row>
    <row r="156" spans="1:12" ht="15" customHeight="1" x14ac:dyDescent="0.35">
      <c r="A156" s="101">
        <v>152</v>
      </c>
      <c r="B156" s="69">
        <f t="shared" si="2"/>
      </c>
      <c r="C156" s="317"/>
      <c r="D156" s="70">
        <f>IF($C156="","",IFERROR(IF(INDEX(SS_Risk,MATCH($C156,SS_ID,0))="","",INDEX(SS_Risk,MATCH($C156,SS_ID,0))),""))</f>
      </c>
      <c r="E156" s="317"/>
      <c r="F156" s="61"/>
      <c r="G156" s="61"/>
      <c r="H156" s="61"/>
      <c r="I156" s="61"/>
      <c r="J156" s="61"/>
      <c r="K156" s="61"/>
      <c r="L156" s="319"/>
    </row>
    <row r="157" spans="1:12" ht="15" customHeight="1" x14ac:dyDescent="0.35">
      <c r="A157" s="101">
        <v>153</v>
      </c>
      <c r="B157" s="69">
        <f t="shared" si="2"/>
      </c>
      <c r="C157" s="317"/>
      <c r="D157" s="70">
        <f>IF($C157="","",IFERROR(IF(INDEX(SS_Risk,MATCH($C157,SS_ID,0))="","",INDEX(SS_Risk,MATCH($C157,SS_ID,0))),""))</f>
      </c>
      <c r="E157" s="317"/>
      <c r="F157" s="61"/>
      <c r="G157" s="61"/>
      <c r="H157" s="61"/>
      <c r="I157" s="61"/>
      <c r="J157" s="61"/>
      <c r="K157" s="61"/>
      <c r="L157" s="319"/>
    </row>
    <row r="158" spans="1:12" ht="15" customHeight="1" x14ac:dyDescent="0.35">
      <c r="A158" s="101">
        <v>154</v>
      </c>
      <c r="B158" s="69">
        <f t="shared" si="2"/>
      </c>
      <c r="C158" s="317"/>
      <c r="D158" s="70">
        <f>IF($C158="","",IFERROR(IF(INDEX(SS_Risk,MATCH($C158,SS_ID,0))="","",INDEX(SS_Risk,MATCH($C158,SS_ID,0))),""))</f>
      </c>
      <c r="E158" s="317"/>
      <c r="F158" s="61"/>
      <c r="G158" s="61"/>
      <c r="H158" s="61"/>
      <c r="I158" s="61"/>
      <c r="J158" s="61"/>
      <c r="K158" s="61"/>
      <c r="L158" s="319"/>
    </row>
    <row r="159" spans="1:12" ht="15" customHeight="1" x14ac:dyDescent="0.35">
      <c r="A159" s="101">
        <v>155</v>
      </c>
      <c r="B159" s="69">
        <f t="shared" si="2"/>
      </c>
      <c r="C159" s="317"/>
      <c r="D159" s="70">
        <f>IF($C159="","",IFERROR(IF(INDEX(SS_Risk,MATCH($C159,SS_ID,0))="","",INDEX(SS_Risk,MATCH($C159,SS_ID,0))),""))</f>
      </c>
      <c r="E159" s="317"/>
      <c r="F159" s="61"/>
      <c r="G159" s="61"/>
      <c r="H159" s="61"/>
      <c r="I159" s="61"/>
      <c r="J159" s="61"/>
      <c r="K159" s="61"/>
      <c r="L159" s="319"/>
    </row>
    <row r="160" spans="1:12" ht="15" customHeight="1" x14ac:dyDescent="0.35">
      <c r="A160" s="101">
        <v>156</v>
      </c>
      <c r="B160" s="69">
        <f t="shared" si="2"/>
      </c>
      <c r="C160" s="317"/>
      <c r="D160" s="70">
        <f>IF($C160="","",IFERROR(IF(INDEX(SS_Risk,MATCH($C160,SS_ID,0))="","",INDEX(SS_Risk,MATCH($C160,SS_ID,0))),""))</f>
      </c>
      <c r="E160" s="317"/>
      <c r="F160" s="61"/>
      <c r="G160" s="61"/>
      <c r="H160" s="61"/>
      <c r="I160" s="61"/>
      <c r="J160" s="61"/>
      <c r="K160" s="61"/>
      <c r="L160" s="319"/>
    </row>
    <row r="161" spans="1:12" ht="15" customHeight="1" x14ac:dyDescent="0.35">
      <c r="A161" s="101">
        <v>157</v>
      </c>
      <c r="B161" s="69">
        <f t="shared" si="2"/>
      </c>
      <c r="C161" s="317"/>
      <c r="D161" s="70">
        <f>IF($C161="","",IFERROR(IF(INDEX(SS_Risk,MATCH($C161,SS_ID,0))="","",INDEX(SS_Risk,MATCH($C161,SS_ID,0))),""))</f>
      </c>
      <c r="E161" s="317"/>
      <c r="F161" s="61"/>
      <c r="G161" s="61"/>
      <c r="H161" s="61"/>
      <c r="I161" s="61"/>
      <c r="J161" s="61"/>
      <c r="K161" s="61"/>
      <c r="L161" s="319"/>
    </row>
    <row r="162" spans="1:12" ht="15" customHeight="1" x14ac:dyDescent="0.35">
      <c r="A162" s="101">
        <v>158</v>
      </c>
      <c r="B162" s="69">
        <f t="shared" si="2"/>
      </c>
      <c r="C162" s="317"/>
      <c r="D162" s="70">
        <f>IF($C162="","",IFERROR(IF(INDEX(SS_Risk,MATCH($C162,SS_ID,0))="","",INDEX(SS_Risk,MATCH($C162,SS_ID,0))),""))</f>
      </c>
      <c r="E162" s="317"/>
      <c r="F162" s="61"/>
      <c r="G162" s="61"/>
      <c r="H162" s="61"/>
      <c r="I162" s="61"/>
      <c r="J162" s="61"/>
      <c r="K162" s="61"/>
      <c r="L162" s="319"/>
    </row>
    <row r="163" spans="1:12" ht="15" customHeight="1" x14ac:dyDescent="0.35">
      <c r="A163" s="101">
        <v>159</v>
      </c>
      <c r="B163" s="69">
        <f t="shared" si="2"/>
      </c>
      <c r="C163" s="317"/>
      <c r="D163" s="70">
        <f>IF($C163="","",IFERROR(IF(INDEX(SS_Risk,MATCH($C163,SS_ID,0))="","",INDEX(SS_Risk,MATCH($C163,SS_ID,0))),""))</f>
      </c>
      <c r="E163" s="317"/>
      <c r="F163" s="61"/>
      <c r="G163" s="61"/>
      <c r="H163" s="61"/>
      <c r="I163" s="61"/>
      <c r="J163" s="61"/>
      <c r="K163" s="61"/>
      <c r="L163" s="319"/>
    </row>
    <row r="164" spans="1:12" ht="15" customHeight="1" x14ac:dyDescent="0.35">
      <c r="A164" s="101">
        <v>160</v>
      </c>
      <c r="B164" s="69">
        <f t="shared" si="2"/>
      </c>
      <c r="C164" s="317"/>
      <c r="D164" s="70">
        <f>IF($C164="","",IFERROR(IF(INDEX(SS_Risk,MATCH($C164,SS_ID,0))="","",INDEX(SS_Risk,MATCH($C164,SS_ID,0))),""))</f>
      </c>
      <c r="E164" s="317"/>
      <c r="F164" s="61"/>
      <c r="G164" s="61"/>
      <c r="H164" s="61"/>
      <c r="I164" s="61"/>
      <c r="J164" s="61"/>
      <c r="K164" s="61"/>
      <c r="L164" s="319"/>
    </row>
    <row r="165" spans="1:12" ht="15" customHeight="1" x14ac:dyDescent="0.35">
      <c r="A165" s="101">
        <v>161</v>
      </c>
      <c r="B165" s="69">
        <f t="shared" si="2"/>
      </c>
      <c r="C165" s="317"/>
      <c r="D165" s="70">
        <f>IF($C165="","",IFERROR(IF(INDEX(SS_Risk,MATCH($C165,SS_ID,0))="","",INDEX(SS_Risk,MATCH($C165,SS_ID,0))),""))</f>
      </c>
      <c r="E165" s="317"/>
      <c r="F165" s="61"/>
      <c r="G165" s="61"/>
      <c r="H165" s="61"/>
      <c r="I165" s="61"/>
      <c r="J165" s="61"/>
      <c r="K165" s="61"/>
      <c r="L165" s="319"/>
    </row>
    <row r="166" spans="1:12" ht="15" customHeight="1" x14ac:dyDescent="0.35">
      <c r="A166" s="101">
        <v>162</v>
      </c>
      <c r="B166" s="69">
        <f t="shared" si="2"/>
      </c>
      <c r="C166" s="317"/>
      <c r="D166" s="70">
        <f>IF($C166="","",IFERROR(IF(INDEX(SS_Risk,MATCH($C166,SS_ID,0))="","",INDEX(SS_Risk,MATCH($C166,SS_ID,0))),""))</f>
      </c>
      <c r="E166" s="317"/>
      <c r="F166" s="61"/>
      <c r="G166" s="61"/>
      <c r="H166" s="61"/>
      <c r="I166" s="61"/>
      <c r="J166" s="61"/>
      <c r="K166" s="61"/>
      <c r="L166" s="319"/>
    </row>
    <row r="167" spans="1:12" ht="15" customHeight="1" x14ac:dyDescent="0.35">
      <c r="A167" s="101">
        <v>163</v>
      </c>
      <c r="B167" s="69">
        <f t="shared" si="2"/>
      </c>
      <c r="C167" s="317"/>
      <c r="D167" s="70">
        <f>IF($C167="","",IFERROR(IF(INDEX(SS_Risk,MATCH($C167,SS_ID,0))="","",INDEX(SS_Risk,MATCH($C167,SS_ID,0))),""))</f>
      </c>
      <c r="E167" s="317"/>
      <c r="F167" s="61"/>
      <c r="G167" s="61"/>
      <c r="H167" s="61"/>
      <c r="I167" s="61"/>
      <c r="J167" s="61"/>
      <c r="K167" s="61"/>
      <c r="L167" s="319"/>
    </row>
    <row r="168" spans="1:12" ht="15" customHeight="1" x14ac:dyDescent="0.35">
      <c r="A168" s="101">
        <v>164</v>
      </c>
      <c r="B168" s="69">
        <f t="shared" si="2"/>
      </c>
      <c r="C168" s="317"/>
      <c r="D168" s="70">
        <f>IF($C168="","",IFERROR(IF(INDEX(SS_Risk,MATCH($C168,SS_ID,0))="","",INDEX(SS_Risk,MATCH($C168,SS_ID,0))),""))</f>
      </c>
      <c r="E168" s="317"/>
      <c r="F168" s="61"/>
      <c r="G168" s="61"/>
      <c r="H168" s="61"/>
      <c r="I168" s="61"/>
      <c r="J168" s="61"/>
      <c r="K168" s="61"/>
      <c r="L168" s="319"/>
    </row>
    <row r="169" spans="1:12" ht="15" customHeight="1" x14ac:dyDescent="0.35">
      <c r="A169" s="101">
        <v>165</v>
      </c>
      <c r="B169" s="69">
        <f t="shared" si="2"/>
      </c>
      <c r="C169" s="317"/>
      <c r="D169" s="70">
        <f>IF($C169="","",IFERROR(IF(INDEX(SS_Risk,MATCH($C169,SS_ID,0))="","",INDEX(SS_Risk,MATCH($C169,SS_ID,0))),""))</f>
      </c>
      <c r="E169" s="317"/>
      <c r="F169" s="61"/>
      <c r="G169" s="61"/>
      <c r="H169" s="61"/>
      <c r="I169" s="61"/>
      <c r="J169" s="61"/>
      <c r="K169" s="61"/>
      <c r="L169" s="319"/>
    </row>
    <row r="170" spans="1:12" ht="15" customHeight="1" x14ac:dyDescent="0.35">
      <c r="A170" s="101">
        <v>166</v>
      </c>
      <c r="B170" s="69">
        <f t="shared" si="2"/>
      </c>
      <c r="C170" s="317"/>
      <c r="D170" s="70">
        <f>IF($C170="","",IFERROR(IF(INDEX(SS_Risk,MATCH($C170,SS_ID,0))="","",INDEX(SS_Risk,MATCH($C170,SS_ID,0))),""))</f>
      </c>
      <c r="E170" s="317"/>
      <c r="F170" s="61"/>
      <c r="G170" s="61"/>
      <c r="H170" s="61"/>
      <c r="I170" s="61"/>
      <c r="J170" s="61"/>
      <c r="K170" s="61"/>
      <c r="L170" s="319"/>
    </row>
    <row r="171" spans="1:12" ht="15" customHeight="1" x14ac:dyDescent="0.35">
      <c r="A171" s="101">
        <v>167</v>
      </c>
      <c r="B171" s="69">
        <f t="shared" si="2"/>
      </c>
      <c r="C171" s="317"/>
      <c r="D171" s="70">
        <f>IF($C171="","",IFERROR(IF(INDEX(SS_Risk,MATCH($C171,SS_ID,0))="","",INDEX(SS_Risk,MATCH($C171,SS_ID,0))),""))</f>
      </c>
      <c r="E171" s="317"/>
      <c r="F171" s="61"/>
      <c r="G171" s="61"/>
      <c r="H171" s="61"/>
      <c r="I171" s="61"/>
      <c r="J171" s="61"/>
      <c r="K171" s="61"/>
      <c r="L171" s="319"/>
    </row>
    <row r="172" spans="1:12" ht="15" customHeight="1" x14ac:dyDescent="0.35">
      <c r="A172" s="101">
        <v>168</v>
      </c>
      <c r="B172" s="69">
        <f t="shared" si="2"/>
      </c>
      <c r="C172" s="317"/>
      <c r="D172" s="70">
        <f>IF($C172="","",IFERROR(IF(INDEX(SS_Risk,MATCH($C172,SS_ID,0))="","",INDEX(SS_Risk,MATCH($C172,SS_ID,0))),""))</f>
      </c>
      <c r="E172" s="317"/>
      <c r="F172" s="61"/>
      <c r="G172" s="61"/>
      <c r="H172" s="61"/>
      <c r="I172" s="61"/>
      <c r="J172" s="61"/>
      <c r="K172" s="61"/>
      <c r="L172" s="319"/>
    </row>
    <row r="173" spans="1:12" ht="15" customHeight="1" x14ac:dyDescent="0.35">
      <c r="A173" s="101">
        <v>169</v>
      </c>
      <c r="B173" s="69">
        <f t="shared" si="2"/>
      </c>
      <c r="C173" s="317"/>
      <c r="D173" s="70">
        <f>IF($C173="","",IFERROR(IF(INDEX(SS_Risk,MATCH($C173,SS_ID,0))="","",INDEX(SS_Risk,MATCH($C173,SS_ID,0))),""))</f>
      </c>
      <c r="E173" s="317"/>
      <c r="F173" s="61"/>
      <c r="G173" s="61"/>
      <c r="H173" s="61"/>
      <c r="I173" s="61"/>
      <c r="J173" s="61"/>
      <c r="K173" s="61"/>
      <c r="L173" s="319"/>
    </row>
    <row r="174" spans="1:12" ht="15" customHeight="1" x14ac:dyDescent="0.35">
      <c r="A174" s="101">
        <v>170</v>
      </c>
      <c r="B174" s="69">
        <f t="shared" si="2"/>
      </c>
      <c r="C174" s="317"/>
      <c r="D174" s="70">
        <f>IF($C174="","",IFERROR(IF(INDEX(SS_Risk,MATCH($C174,SS_ID,0))="","",INDEX(SS_Risk,MATCH($C174,SS_ID,0))),""))</f>
      </c>
      <c r="E174" s="317"/>
      <c r="F174" s="61"/>
      <c r="G174" s="61"/>
      <c r="H174" s="61"/>
      <c r="I174" s="61"/>
      <c r="J174" s="61"/>
      <c r="K174" s="61"/>
      <c r="L174" s="319"/>
    </row>
    <row r="175" spans="1:12" ht="15" customHeight="1" x14ac:dyDescent="0.35">
      <c r="A175" s="101">
        <v>171</v>
      </c>
      <c r="B175" s="69">
        <f t="shared" si="2"/>
      </c>
      <c r="C175" s="317"/>
      <c r="D175" s="70">
        <f>IF($C175="","",IFERROR(IF(INDEX(SS_Risk,MATCH($C175,SS_ID,0))="","",INDEX(SS_Risk,MATCH($C175,SS_ID,0))),""))</f>
      </c>
      <c r="E175" s="317"/>
      <c r="F175" s="61"/>
      <c r="G175" s="61"/>
      <c r="H175" s="61"/>
      <c r="I175" s="61"/>
      <c r="J175" s="61"/>
      <c r="K175" s="61"/>
      <c r="L175" s="319"/>
    </row>
    <row r="176" spans="1:12" ht="15" customHeight="1" x14ac:dyDescent="0.35">
      <c r="A176" s="101">
        <v>172</v>
      </c>
      <c r="B176" s="69">
        <f t="shared" si="2"/>
      </c>
      <c r="C176" s="317"/>
      <c r="D176" s="70">
        <f>IF($C176="","",IFERROR(IF(INDEX(SS_Risk,MATCH($C176,SS_ID,0))="","",INDEX(SS_Risk,MATCH($C176,SS_ID,0))),""))</f>
      </c>
      <c r="E176" s="317"/>
      <c r="F176" s="61"/>
      <c r="G176" s="61"/>
      <c r="H176" s="61"/>
      <c r="I176" s="61"/>
      <c r="J176" s="61"/>
      <c r="K176" s="61"/>
      <c r="L176" s="319"/>
    </row>
    <row r="177" spans="1:12" ht="15" customHeight="1" x14ac:dyDescent="0.35">
      <c r="A177" s="101">
        <v>173</v>
      </c>
      <c r="B177" s="69">
        <f t="shared" si="2"/>
      </c>
      <c r="C177" s="317"/>
      <c r="D177" s="70">
        <f>IF($C177="","",IFERROR(IF(INDEX(SS_Risk,MATCH($C177,SS_ID,0))="","",INDEX(SS_Risk,MATCH($C177,SS_ID,0))),""))</f>
      </c>
      <c r="E177" s="317"/>
      <c r="F177" s="61"/>
      <c r="G177" s="61"/>
      <c r="H177" s="61"/>
      <c r="I177" s="61"/>
      <c r="J177" s="61"/>
      <c r="K177" s="61"/>
      <c r="L177" s="319"/>
    </row>
    <row r="178" spans="1:12" ht="15" customHeight="1" x14ac:dyDescent="0.35">
      <c r="A178" s="101">
        <v>174</v>
      </c>
      <c r="B178" s="69">
        <f t="shared" si="2"/>
      </c>
      <c r="C178" s="317"/>
      <c r="D178" s="70">
        <f>IF($C178="","",IFERROR(IF(INDEX(SS_Risk,MATCH($C178,SS_ID,0))="","",INDEX(SS_Risk,MATCH($C178,SS_ID,0))),""))</f>
      </c>
      <c r="E178" s="317"/>
      <c r="F178" s="61"/>
      <c r="G178" s="61"/>
      <c r="H178" s="61"/>
      <c r="I178" s="61"/>
      <c r="J178" s="61"/>
      <c r="K178" s="61"/>
      <c r="L178" s="319"/>
    </row>
    <row r="179" spans="1:12" ht="15" customHeight="1" x14ac:dyDescent="0.35">
      <c r="A179" s="101">
        <v>175</v>
      </c>
      <c r="B179" s="69">
        <f t="shared" si="2"/>
      </c>
      <c r="C179" s="317"/>
      <c r="D179" s="70">
        <f>IF($C179="","",IFERROR(IF(INDEX(SS_Risk,MATCH($C179,SS_ID,0))="","",INDEX(SS_Risk,MATCH($C179,SS_ID,0))),""))</f>
      </c>
      <c r="E179" s="317"/>
      <c r="F179" s="61"/>
      <c r="G179" s="61"/>
      <c r="H179" s="61"/>
      <c r="I179" s="61"/>
      <c r="J179" s="61"/>
      <c r="K179" s="61"/>
      <c r="L179" s="319"/>
    </row>
    <row r="180" spans="1:12" ht="15" customHeight="1" x14ac:dyDescent="0.35">
      <c r="A180" s="101">
        <v>176</v>
      </c>
      <c r="B180" s="69">
        <f t="shared" si="2"/>
      </c>
      <c r="C180" s="317"/>
      <c r="D180" s="70">
        <f>IF($C180="","",IFERROR(IF(INDEX(SS_Risk,MATCH($C180,SS_ID,0))="","",INDEX(SS_Risk,MATCH($C180,SS_ID,0))),""))</f>
      </c>
      <c r="E180" s="317"/>
      <c r="F180" s="61"/>
      <c r="G180" s="61"/>
      <c r="H180" s="61"/>
      <c r="I180" s="61"/>
      <c r="J180" s="61"/>
      <c r="K180" s="61"/>
      <c r="L180" s="319"/>
    </row>
    <row r="181" spans="1:12" ht="15" customHeight="1" x14ac:dyDescent="0.35">
      <c r="A181" s="101">
        <v>177</v>
      </c>
      <c r="B181" s="69">
        <f t="shared" si="2"/>
      </c>
      <c r="C181" s="317"/>
      <c r="D181" s="70">
        <f>IF($C181="","",IFERROR(IF(INDEX(SS_Risk,MATCH($C181,SS_ID,0))="","",INDEX(SS_Risk,MATCH($C181,SS_ID,0))),""))</f>
      </c>
      <c r="E181" s="317"/>
      <c r="F181" s="61"/>
      <c r="G181" s="61"/>
      <c r="H181" s="61"/>
      <c r="I181" s="61"/>
      <c r="J181" s="61"/>
      <c r="K181" s="61"/>
      <c r="L181" s="319"/>
    </row>
    <row r="182" spans="1:12" ht="15" customHeight="1" x14ac:dyDescent="0.35">
      <c r="A182" s="101">
        <v>178</v>
      </c>
      <c r="B182" s="69">
        <f t="shared" si="2"/>
      </c>
      <c r="C182" s="317"/>
      <c r="D182" s="70">
        <f>IF($C182="","",IFERROR(IF(INDEX(SS_Risk,MATCH($C182,SS_ID,0))="","",INDEX(SS_Risk,MATCH($C182,SS_ID,0))),""))</f>
      </c>
      <c r="E182" s="317"/>
      <c r="F182" s="61"/>
      <c r="G182" s="61"/>
      <c r="H182" s="61"/>
      <c r="I182" s="61"/>
      <c r="J182" s="61"/>
      <c r="K182" s="61"/>
      <c r="L182" s="319"/>
    </row>
    <row r="183" spans="1:12" ht="15" customHeight="1" x14ac:dyDescent="0.35">
      <c r="A183" s="101">
        <v>179</v>
      </c>
      <c r="B183" s="69">
        <f t="shared" si="2"/>
      </c>
      <c r="C183" s="317"/>
      <c r="D183" s="70">
        <f>IF($C183="","",IFERROR(IF(INDEX(SS_Risk,MATCH($C183,SS_ID,0))="","",INDEX(SS_Risk,MATCH($C183,SS_ID,0))),""))</f>
      </c>
      <c r="E183" s="317"/>
      <c r="F183" s="61"/>
      <c r="G183" s="61"/>
      <c r="H183" s="61"/>
      <c r="I183" s="61"/>
      <c r="J183" s="61"/>
      <c r="K183" s="61"/>
      <c r="L183" s="319"/>
    </row>
    <row r="184" spans="1:12" ht="15" customHeight="1" x14ac:dyDescent="0.35">
      <c r="A184" s="101">
        <v>180</v>
      </c>
      <c r="B184" s="69">
        <f t="shared" si="2"/>
      </c>
      <c r="C184" s="317"/>
      <c r="D184" s="70">
        <f>IF($C184="","",IFERROR(IF(INDEX(SS_Risk,MATCH($C184,SS_ID,0))="","",INDEX(SS_Risk,MATCH($C184,SS_ID,0))),""))</f>
      </c>
      <c r="E184" s="317"/>
      <c r="F184" s="61"/>
      <c r="G184" s="61"/>
      <c r="H184" s="61"/>
      <c r="I184" s="61"/>
      <c r="J184" s="61"/>
      <c r="K184" s="61"/>
      <c r="L184" s="319"/>
    </row>
    <row r="185" spans="1:12" ht="15" customHeight="1" x14ac:dyDescent="0.35">
      <c r="A185" s="101">
        <v>181</v>
      </c>
      <c r="B185" s="69">
        <f t="shared" si="2"/>
      </c>
      <c r="C185" s="317"/>
      <c r="D185" s="70">
        <f>IF($C185="","",IFERROR(IF(INDEX(SS_Risk,MATCH($C185,SS_ID,0))="","",INDEX(SS_Risk,MATCH($C185,SS_ID,0))),""))</f>
      </c>
      <c r="E185" s="317"/>
      <c r="F185" s="61"/>
      <c r="G185" s="61"/>
      <c r="H185" s="61"/>
      <c r="I185" s="61"/>
      <c r="J185" s="61"/>
      <c r="K185" s="61"/>
      <c r="L185" s="319"/>
    </row>
    <row r="186" spans="1:12" ht="15" customHeight="1" x14ac:dyDescent="0.35">
      <c r="A186" s="101">
        <v>182</v>
      </c>
      <c r="B186" s="69">
        <f t="shared" si="2"/>
      </c>
      <c r="C186" s="317"/>
      <c r="D186" s="70">
        <f>IF($C186="","",IFERROR(IF(INDEX(SS_Risk,MATCH($C186,SS_ID,0))="","",INDEX(SS_Risk,MATCH($C186,SS_ID,0))),""))</f>
      </c>
      <c r="E186" s="317"/>
      <c r="F186" s="61"/>
      <c r="G186" s="61"/>
      <c r="H186" s="61"/>
      <c r="I186" s="61"/>
      <c r="J186" s="61"/>
      <c r="K186" s="61"/>
      <c r="L186" s="319"/>
    </row>
    <row r="187" spans="1:12" ht="15" customHeight="1" x14ac:dyDescent="0.35">
      <c r="A187" s="101">
        <v>183</v>
      </c>
      <c r="B187" s="69">
        <f t="shared" si="2"/>
      </c>
      <c r="C187" s="317"/>
      <c r="D187" s="70">
        <f>IF($C187="","",IFERROR(IF(INDEX(SS_Risk,MATCH($C187,SS_ID,0))="","",INDEX(SS_Risk,MATCH($C187,SS_ID,0))),""))</f>
      </c>
      <c r="E187" s="317"/>
      <c r="F187" s="61"/>
      <c r="G187" s="61"/>
      <c r="H187" s="61"/>
      <c r="I187" s="61"/>
      <c r="J187" s="61"/>
      <c r="K187" s="61"/>
      <c r="L187" s="319"/>
    </row>
    <row r="188" spans="1:12" ht="15" customHeight="1" x14ac:dyDescent="0.35">
      <c r="A188" s="101">
        <v>184</v>
      </c>
      <c r="B188" s="69">
        <f t="shared" si="2"/>
      </c>
      <c r="C188" s="317"/>
      <c r="D188" s="70">
        <f>IF($C188="","",IFERROR(IF(INDEX(SS_Risk,MATCH($C188,SS_ID,0))="","",INDEX(SS_Risk,MATCH($C188,SS_ID,0))),""))</f>
      </c>
      <c r="E188" s="317"/>
      <c r="F188" s="61"/>
      <c r="G188" s="61"/>
      <c r="H188" s="61"/>
      <c r="I188" s="61"/>
      <c r="J188" s="61"/>
      <c r="K188" s="61"/>
      <c r="L188" s="319"/>
    </row>
    <row r="189" spans="1:12" ht="15" customHeight="1" x14ac:dyDescent="0.35">
      <c r="A189" s="101">
        <v>185</v>
      </c>
      <c r="B189" s="69">
        <f t="shared" si="2"/>
      </c>
      <c r="C189" s="317"/>
      <c r="D189" s="70">
        <f>IF($C189="","",IFERROR(IF(INDEX(SS_Risk,MATCH($C189,SS_ID,0))="","",INDEX(SS_Risk,MATCH($C189,SS_ID,0))),""))</f>
      </c>
      <c r="E189" s="317"/>
      <c r="F189" s="61"/>
      <c r="G189" s="61"/>
      <c r="H189" s="61"/>
      <c r="I189" s="61"/>
      <c r="J189" s="61"/>
      <c r="K189" s="61"/>
      <c r="L189" s="319"/>
    </row>
    <row r="190" spans="1:12" ht="15" customHeight="1" x14ac:dyDescent="0.35">
      <c r="A190" s="101">
        <v>186</v>
      </c>
      <c r="B190" s="69">
        <f t="shared" si="2"/>
      </c>
      <c r="C190" s="317"/>
      <c r="D190" s="70">
        <f>IF($C190="","",IFERROR(IF(INDEX(SS_Risk,MATCH($C190,SS_ID,0))="","",INDEX(SS_Risk,MATCH($C190,SS_ID,0))),""))</f>
      </c>
      <c r="E190" s="317"/>
      <c r="F190" s="61"/>
      <c r="G190" s="61"/>
      <c r="H190" s="61"/>
      <c r="I190" s="61"/>
      <c r="J190" s="61"/>
      <c r="K190" s="61"/>
      <c r="L190" s="319"/>
    </row>
    <row r="191" spans="1:12" ht="15" customHeight="1" x14ac:dyDescent="0.35">
      <c r="A191" s="101">
        <v>187</v>
      </c>
      <c r="B191" s="69">
        <f t="shared" si="2"/>
      </c>
      <c r="C191" s="317"/>
      <c r="D191" s="70">
        <f>IF($C191="","",IFERROR(IF(INDEX(SS_Risk,MATCH($C191,SS_ID,0))="","",INDEX(SS_Risk,MATCH($C191,SS_ID,0))),""))</f>
      </c>
      <c r="E191" s="317"/>
      <c r="F191" s="61"/>
      <c r="G191" s="61"/>
      <c r="H191" s="61"/>
      <c r="I191" s="61"/>
      <c r="J191" s="61"/>
      <c r="K191" s="61"/>
      <c r="L191" s="319"/>
    </row>
    <row r="192" spans="1:12" ht="15" customHeight="1" x14ac:dyDescent="0.35">
      <c r="A192" s="101">
        <v>188</v>
      </c>
      <c r="B192" s="69">
        <f t="shared" si="2"/>
      </c>
      <c r="C192" s="317"/>
      <c r="D192" s="70">
        <f>IF($C192="","",IFERROR(IF(INDEX(SS_Risk,MATCH($C192,SS_ID,0))="","",INDEX(SS_Risk,MATCH($C192,SS_ID,0))),""))</f>
      </c>
      <c r="E192" s="317"/>
      <c r="F192" s="61"/>
      <c r="G192" s="61"/>
      <c r="H192" s="61"/>
      <c r="I192" s="61"/>
      <c r="J192" s="61"/>
      <c r="K192" s="61"/>
      <c r="L192" s="319"/>
    </row>
    <row r="193" spans="1:12" ht="15" customHeight="1" x14ac:dyDescent="0.35">
      <c r="A193" s="101">
        <v>189</v>
      </c>
      <c r="B193" s="69">
        <f t="shared" si="2"/>
      </c>
      <c r="C193" s="317"/>
      <c r="D193" s="70">
        <f>IF($C193="","",IFERROR(IF(INDEX(SS_Risk,MATCH($C193,SS_ID,0))="","",INDEX(SS_Risk,MATCH($C193,SS_ID,0))),""))</f>
      </c>
      <c r="E193" s="317"/>
      <c r="F193" s="61"/>
      <c r="G193" s="61"/>
      <c r="H193" s="61"/>
      <c r="I193" s="61"/>
      <c r="J193" s="61"/>
      <c r="K193" s="61"/>
      <c r="L193" s="319"/>
    </row>
    <row r="194" spans="1:12" ht="15" customHeight="1" x14ac:dyDescent="0.35">
      <c r="A194" s="101">
        <v>190</v>
      </c>
      <c r="B194" s="69">
        <f t="shared" si="2"/>
      </c>
      <c r="C194" s="317"/>
      <c r="D194" s="70">
        <f>IF($C194="","",IFERROR(IF(INDEX(SS_Risk,MATCH($C194,SS_ID,0))="","",INDEX(SS_Risk,MATCH($C194,SS_ID,0))),""))</f>
      </c>
      <c r="E194" s="317"/>
      <c r="F194" s="61"/>
      <c r="G194" s="61"/>
      <c r="H194" s="61"/>
      <c r="I194" s="61"/>
      <c r="J194" s="61"/>
      <c r="K194" s="61"/>
      <c r="L194" s="319"/>
    </row>
    <row r="195" spans="1:12" ht="15" customHeight="1" x14ac:dyDescent="0.35">
      <c r="A195" s="101">
        <v>191</v>
      </c>
      <c r="B195" s="69">
        <f t="shared" si="2"/>
      </c>
      <c r="C195" s="317"/>
      <c r="D195" s="70">
        <f>IF($C195="","",IFERROR(IF(INDEX(SS_Risk,MATCH($C195,SS_ID,0))="","",INDEX(SS_Risk,MATCH($C195,SS_ID,0))),""))</f>
      </c>
      <c r="E195" s="317"/>
      <c r="F195" s="61"/>
      <c r="G195" s="61"/>
      <c r="H195" s="61"/>
      <c r="I195" s="61"/>
      <c r="J195" s="61"/>
      <c r="K195" s="61"/>
      <c r="L195" s="319"/>
    </row>
    <row r="196" spans="1:12" ht="15" customHeight="1" x14ac:dyDescent="0.35">
      <c r="A196" s="101">
        <v>192</v>
      </c>
      <c r="B196" s="69">
        <f t="shared" si="2"/>
      </c>
      <c r="C196" s="317"/>
      <c r="D196" s="70">
        <f>IF($C196="","",IFERROR(IF(INDEX(SS_Risk,MATCH($C196,SS_ID,0))="","",INDEX(SS_Risk,MATCH($C196,SS_ID,0))),""))</f>
      </c>
      <c r="E196" s="317"/>
      <c r="F196" s="61"/>
      <c r="G196" s="61"/>
      <c r="H196" s="61"/>
      <c r="I196" s="61"/>
      <c r="J196" s="61"/>
      <c r="K196" s="61"/>
      <c r="L196" s="319"/>
    </row>
    <row r="197" spans="1:12" ht="15" customHeight="1" x14ac:dyDescent="0.35">
      <c r="A197" s="101">
        <v>193</v>
      </c>
      <c r="B197" s="69">
        <f t="shared" ref="B197:B260" si="3">IF($F197="","","REQ-"&amp;TEXT($A197,"000"))</f>
      </c>
      <c r="C197" s="317"/>
      <c r="D197" s="70">
        <f>IF($C197="","",IFERROR(IF(INDEX(SS_Risk,MATCH($C197,SS_ID,0))="","",INDEX(SS_Risk,MATCH($C197,SS_ID,0))),""))</f>
      </c>
      <c r="E197" s="317"/>
      <c r="F197" s="61"/>
      <c r="G197" s="61"/>
      <c r="H197" s="61"/>
      <c r="I197" s="61"/>
      <c r="J197" s="61"/>
      <c r="K197" s="61"/>
      <c r="L197" s="319"/>
    </row>
    <row r="198" spans="1:12" ht="15" customHeight="1" x14ac:dyDescent="0.35">
      <c r="A198" s="101">
        <v>194</v>
      </c>
      <c r="B198" s="69">
        <f t="shared" si="3"/>
      </c>
      <c r="C198" s="317"/>
      <c r="D198" s="70">
        <f>IF($C198="","",IFERROR(IF(INDEX(SS_Risk,MATCH($C198,SS_ID,0))="","",INDEX(SS_Risk,MATCH($C198,SS_ID,0))),""))</f>
      </c>
      <c r="E198" s="317"/>
      <c r="F198" s="61"/>
      <c r="G198" s="61"/>
      <c r="H198" s="61"/>
      <c r="I198" s="61"/>
      <c r="J198" s="61"/>
      <c r="K198" s="61"/>
      <c r="L198" s="319"/>
    </row>
    <row r="199" spans="1:12" ht="15" customHeight="1" x14ac:dyDescent="0.35">
      <c r="A199" s="101">
        <v>195</v>
      </c>
      <c r="B199" s="69">
        <f t="shared" si="3"/>
      </c>
      <c r="C199" s="317"/>
      <c r="D199" s="70">
        <f>IF($C199="","",IFERROR(IF(INDEX(SS_Risk,MATCH($C199,SS_ID,0))="","",INDEX(SS_Risk,MATCH($C199,SS_ID,0))),""))</f>
      </c>
      <c r="E199" s="317"/>
      <c r="F199" s="61"/>
      <c r="G199" s="61"/>
      <c r="H199" s="61"/>
      <c r="I199" s="61"/>
      <c r="J199" s="61"/>
      <c r="K199" s="61"/>
      <c r="L199" s="319"/>
    </row>
    <row r="200" spans="1:12" ht="15" customHeight="1" x14ac:dyDescent="0.35">
      <c r="A200" s="101">
        <v>196</v>
      </c>
      <c r="B200" s="69">
        <f t="shared" si="3"/>
      </c>
      <c r="C200" s="317"/>
      <c r="D200" s="70">
        <f>IF($C200="","",IFERROR(IF(INDEX(SS_Risk,MATCH($C200,SS_ID,0))="","",INDEX(SS_Risk,MATCH($C200,SS_ID,0))),""))</f>
      </c>
      <c r="E200" s="317"/>
      <c r="F200" s="61"/>
      <c r="G200" s="61"/>
      <c r="H200" s="61"/>
      <c r="I200" s="61"/>
      <c r="J200" s="61"/>
      <c r="K200" s="61"/>
      <c r="L200" s="319"/>
    </row>
    <row r="201" spans="1:12" ht="15" customHeight="1" x14ac:dyDescent="0.35">
      <c r="A201" s="101">
        <v>197</v>
      </c>
      <c r="B201" s="69">
        <f t="shared" si="3"/>
      </c>
      <c r="C201" s="317"/>
      <c r="D201" s="70">
        <f>IF($C201="","",IFERROR(IF(INDEX(SS_Risk,MATCH($C201,SS_ID,0))="","",INDEX(SS_Risk,MATCH($C201,SS_ID,0))),""))</f>
      </c>
      <c r="E201" s="317"/>
      <c r="F201" s="61"/>
      <c r="G201" s="61"/>
      <c r="H201" s="61"/>
      <c r="I201" s="61"/>
      <c r="J201" s="61"/>
      <c r="K201" s="61"/>
      <c r="L201" s="319"/>
    </row>
    <row r="202" spans="1:12" ht="15" customHeight="1" x14ac:dyDescent="0.35">
      <c r="A202" s="101">
        <v>198</v>
      </c>
      <c r="B202" s="69">
        <f t="shared" si="3"/>
      </c>
      <c r="C202" s="317"/>
      <c r="D202" s="70">
        <f>IF($C202="","",IFERROR(IF(INDEX(SS_Risk,MATCH($C202,SS_ID,0))="","",INDEX(SS_Risk,MATCH($C202,SS_ID,0))),""))</f>
      </c>
      <c r="E202" s="317"/>
      <c r="F202" s="61"/>
      <c r="G202" s="61"/>
      <c r="H202" s="61"/>
      <c r="I202" s="61"/>
      <c r="J202" s="61"/>
      <c r="K202" s="61"/>
      <c r="L202" s="319"/>
    </row>
    <row r="203" spans="1:12" ht="15" customHeight="1" x14ac:dyDescent="0.35">
      <c r="A203" s="101">
        <v>199</v>
      </c>
      <c r="B203" s="69">
        <f t="shared" si="3"/>
      </c>
      <c r="C203" s="317"/>
      <c r="D203" s="70">
        <f>IF($C203="","",IFERROR(IF(INDEX(SS_Risk,MATCH($C203,SS_ID,0))="","",INDEX(SS_Risk,MATCH($C203,SS_ID,0))),""))</f>
      </c>
      <c r="E203" s="317"/>
      <c r="F203" s="61"/>
      <c r="G203" s="61"/>
      <c r="H203" s="61"/>
      <c r="I203" s="61"/>
      <c r="J203" s="61"/>
      <c r="K203" s="61"/>
      <c r="L203" s="319"/>
    </row>
    <row r="204" spans="1:12" ht="15" customHeight="1" x14ac:dyDescent="0.35">
      <c r="A204" s="101">
        <v>200</v>
      </c>
      <c r="B204" s="69">
        <f t="shared" si="3"/>
      </c>
      <c r="C204" s="317"/>
      <c r="D204" s="70">
        <f>IF($C204="","",IFERROR(IF(INDEX(SS_Risk,MATCH($C204,SS_ID,0))="","",INDEX(SS_Risk,MATCH($C204,SS_ID,0))),""))</f>
      </c>
      <c r="E204" s="317"/>
      <c r="F204" s="61"/>
      <c r="G204" s="61"/>
      <c r="H204" s="61"/>
      <c r="I204" s="61"/>
      <c r="J204" s="61"/>
      <c r="K204" s="61"/>
      <c r="L204" s="319"/>
    </row>
    <row r="205" spans="1:12" ht="15" customHeight="1" x14ac:dyDescent="0.35">
      <c r="A205" s="101">
        <v>201</v>
      </c>
      <c r="B205" s="69">
        <f t="shared" si="3"/>
      </c>
      <c r="C205" s="317"/>
      <c r="D205" s="70">
        <f>IF($C205="","",IFERROR(IF(INDEX(SS_Risk,MATCH($C205,SS_ID,0))="","",INDEX(SS_Risk,MATCH($C205,SS_ID,0))),""))</f>
      </c>
      <c r="E205" s="317"/>
      <c r="F205" s="61"/>
      <c r="G205" s="61"/>
      <c r="H205" s="61"/>
      <c r="I205" s="61"/>
      <c r="J205" s="61"/>
      <c r="K205" s="61"/>
      <c r="L205" s="319"/>
    </row>
    <row r="206" spans="1:12" ht="15" customHeight="1" x14ac:dyDescent="0.35">
      <c r="A206" s="101">
        <v>202</v>
      </c>
      <c r="B206" s="69">
        <f t="shared" si="3"/>
      </c>
      <c r="C206" s="317"/>
      <c r="D206" s="70">
        <f>IF($C206="","",IFERROR(IF(INDEX(SS_Risk,MATCH($C206,SS_ID,0))="","",INDEX(SS_Risk,MATCH($C206,SS_ID,0))),""))</f>
      </c>
      <c r="E206" s="317"/>
      <c r="F206" s="61"/>
      <c r="G206" s="61"/>
      <c r="H206" s="61"/>
      <c r="I206" s="61"/>
      <c r="J206" s="61"/>
      <c r="K206" s="61"/>
      <c r="L206" s="319"/>
    </row>
    <row r="207" spans="1:12" ht="15" customHeight="1" x14ac:dyDescent="0.35">
      <c r="A207" s="101">
        <v>203</v>
      </c>
      <c r="B207" s="69">
        <f t="shared" si="3"/>
      </c>
      <c r="C207" s="317"/>
      <c r="D207" s="70">
        <f>IF($C207="","",IFERROR(IF(INDEX(SS_Risk,MATCH($C207,SS_ID,0))="","",INDEX(SS_Risk,MATCH($C207,SS_ID,0))),""))</f>
      </c>
      <c r="E207" s="317"/>
      <c r="F207" s="61"/>
      <c r="G207" s="61"/>
      <c r="H207" s="61"/>
      <c r="I207" s="61"/>
      <c r="J207" s="61"/>
      <c r="K207" s="61"/>
      <c r="L207" s="319"/>
    </row>
    <row r="208" spans="1:12" ht="15" customHeight="1" x14ac:dyDescent="0.35">
      <c r="A208" s="101">
        <v>204</v>
      </c>
      <c r="B208" s="69">
        <f t="shared" si="3"/>
      </c>
      <c r="C208" s="317"/>
      <c r="D208" s="70">
        <f>IF($C208="","",IFERROR(IF(INDEX(SS_Risk,MATCH($C208,SS_ID,0))="","",INDEX(SS_Risk,MATCH($C208,SS_ID,0))),""))</f>
      </c>
      <c r="E208" s="317"/>
      <c r="F208" s="61"/>
      <c r="G208" s="61"/>
      <c r="H208" s="61"/>
      <c r="I208" s="61"/>
      <c r="J208" s="61"/>
      <c r="K208" s="61"/>
      <c r="L208" s="319"/>
    </row>
    <row r="209" spans="1:12" ht="15" customHeight="1" x14ac:dyDescent="0.35">
      <c r="A209" s="101">
        <v>205</v>
      </c>
      <c r="B209" s="69">
        <f t="shared" si="3"/>
      </c>
      <c r="C209" s="317"/>
      <c r="D209" s="70">
        <f>IF($C209="","",IFERROR(IF(INDEX(SS_Risk,MATCH($C209,SS_ID,0))="","",INDEX(SS_Risk,MATCH($C209,SS_ID,0))),""))</f>
      </c>
      <c r="E209" s="317"/>
      <c r="F209" s="61"/>
      <c r="G209" s="61"/>
      <c r="H209" s="61"/>
      <c r="I209" s="61"/>
      <c r="J209" s="61"/>
      <c r="K209" s="61"/>
      <c r="L209" s="319"/>
    </row>
    <row r="210" spans="1:12" ht="15" customHeight="1" x14ac:dyDescent="0.35">
      <c r="A210" s="101">
        <v>206</v>
      </c>
      <c r="B210" s="69">
        <f t="shared" si="3"/>
      </c>
      <c r="C210" s="317"/>
      <c r="D210" s="70">
        <f>IF($C210="","",IFERROR(IF(INDEX(SS_Risk,MATCH($C210,SS_ID,0))="","",INDEX(SS_Risk,MATCH($C210,SS_ID,0))),""))</f>
      </c>
      <c r="E210" s="317"/>
      <c r="F210" s="61"/>
      <c r="G210" s="61"/>
      <c r="H210" s="61"/>
      <c r="I210" s="61"/>
      <c r="J210" s="61"/>
      <c r="K210" s="61"/>
      <c r="L210" s="319"/>
    </row>
    <row r="211" spans="1:12" ht="15" customHeight="1" x14ac:dyDescent="0.35">
      <c r="A211" s="101">
        <v>207</v>
      </c>
      <c r="B211" s="69">
        <f t="shared" si="3"/>
      </c>
      <c r="C211" s="317"/>
      <c r="D211" s="70">
        <f>IF($C211="","",IFERROR(IF(INDEX(SS_Risk,MATCH($C211,SS_ID,0))="","",INDEX(SS_Risk,MATCH($C211,SS_ID,0))),""))</f>
      </c>
      <c r="E211" s="317"/>
      <c r="F211" s="61"/>
      <c r="G211" s="61"/>
      <c r="H211" s="61"/>
      <c r="I211" s="61"/>
      <c r="J211" s="61"/>
      <c r="K211" s="61"/>
      <c r="L211" s="319"/>
    </row>
    <row r="212" spans="1:12" ht="15" customHeight="1" x14ac:dyDescent="0.35">
      <c r="A212" s="101">
        <v>208</v>
      </c>
      <c r="B212" s="69">
        <f t="shared" si="3"/>
      </c>
      <c r="C212" s="317"/>
      <c r="D212" s="70">
        <f>IF($C212="","",IFERROR(IF(INDEX(SS_Risk,MATCH($C212,SS_ID,0))="","",INDEX(SS_Risk,MATCH($C212,SS_ID,0))),""))</f>
      </c>
      <c r="E212" s="317"/>
      <c r="F212" s="61"/>
      <c r="G212" s="61"/>
      <c r="H212" s="61"/>
      <c r="I212" s="61"/>
      <c r="J212" s="61"/>
      <c r="K212" s="61"/>
      <c r="L212" s="319"/>
    </row>
    <row r="213" spans="1:12" ht="15" customHeight="1" x14ac:dyDescent="0.35">
      <c r="A213" s="101">
        <v>209</v>
      </c>
      <c r="B213" s="69">
        <f t="shared" si="3"/>
      </c>
      <c r="C213" s="317"/>
      <c r="D213" s="70">
        <f>IF($C213="","",IFERROR(IF(INDEX(SS_Risk,MATCH($C213,SS_ID,0))="","",INDEX(SS_Risk,MATCH($C213,SS_ID,0))),""))</f>
      </c>
      <c r="E213" s="317"/>
      <c r="F213" s="61"/>
      <c r="G213" s="61"/>
      <c r="H213" s="61"/>
      <c r="I213" s="61"/>
      <c r="J213" s="61"/>
      <c r="K213" s="61"/>
      <c r="L213" s="319"/>
    </row>
    <row r="214" spans="1:12" ht="15" customHeight="1" x14ac:dyDescent="0.35">
      <c r="A214" s="101">
        <v>210</v>
      </c>
      <c r="B214" s="69">
        <f t="shared" si="3"/>
      </c>
      <c r="C214" s="317"/>
      <c r="D214" s="70">
        <f>IF($C214="","",IFERROR(IF(INDEX(SS_Risk,MATCH($C214,SS_ID,0))="","",INDEX(SS_Risk,MATCH($C214,SS_ID,0))),""))</f>
      </c>
      <c r="E214" s="317"/>
      <c r="F214" s="61"/>
      <c r="G214" s="61"/>
      <c r="H214" s="61"/>
      <c r="I214" s="61"/>
      <c r="J214" s="61"/>
      <c r="K214" s="61"/>
      <c r="L214" s="319"/>
    </row>
    <row r="215" spans="1:12" ht="15" customHeight="1" x14ac:dyDescent="0.35">
      <c r="A215" s="101">
        <v>211</v>
      </c>
      <c r="B215" s="69">
        <f t="shared" si="3"/>
      </c>
      <c r="C215" s="317"/>
      <c r="D215" s="70">
        <f>IF($C215="","",IFERROR(IF(INDEX(SS_Risk,MATCH($C215,SS_ID,0))="","",INDEX(SS_Risk,MATCH($C215,SS_ID,0))),""))</f>
      </c>
      <c r="E215" s="317"/>
      <c r="F215" s="61"/>
      <c r="G215" s="61"/>
      <c r="H215" s="61"/>
      <c r="I215" s="61"/>
      <c r="J215" s="61"/>
      <c r="K215" s="61"/>
      <c r="L215" s="319"/>
    </row>
    <row r="216" spans="1:12" ht="15" customHeight="1" x14ac:dyDescent="0.35">
      <c r="A216" s="101">
        <v>212</v>
      </c>
      <c r="B216" s="69">
        <f t="shared" si="3"/>
      </c>
      <c r="C216" s="317"/>
      <c r="D216" s="70">
        <f>IF($C216="","",IFERROR(IF(INDEX(SS_Risk,MATCH($C216,SS_ID,0))="","",INDEX(SS_Risk,MATCH($C216,SS_ID,0))),""))</f>
      </c>
      <c r="E216" s="317"/>
      <c r="F216" s="61"/>
      <c r="G216" s="61"/>
      <c r="H216" s="61"/>
      <c r="I216" s="61"/>
      <c r="J216" s="61"/>
      <c r="K216" s="61"/>
      <c r="L216" s="319"/>
    </row>
    <row r="217" spans="1:12" ht="15" customHeight="1" x14ac:dyDescent="0.35">
      <c r="A217" s="101">
        <v>213</v>
      </c>
      <c r="B217" s="69">
        <f t="shared" si="3"/>
      </c>
      <c r="C217" s="317"/>
      <c r="D217" s="70">
        <f>IF($C217="","",IFERROR(IF(INDEX(SS_Risk,MATCH($C217,SS_ID,0))="","",INDEX(SS_Risk,MATCH($C217,SS_ID,0))),""))</f>
      </c>
      <c r="E217" s="317"/>
      <c r="F217" s="61"/>
      <c r="G217" s="61"/>
      <c r="H217" s="61"/>
      <c r="I217" s="61"/>
      <c r="J217" s="61"/>
      <c r="K217" s="61"/>
      <c r="L217" s="319"/>
    </row>
    <row r="218" spans="1:12" ht="15" customHeight="1" x14ac:dyDescent="0.35">
      <c r="A218" s="101">
        <v>214</v>
      </c>
      <c r="B218" s="69">
        <f t="shared" si="3"/>
      </c>
      <c r="C218" s="317"/>
      <c r="D218" s="70">
        <f>IF($C218="","",IFERROR(IF(INDEX(SS_Risk,MATCH($C218,SS_ID,0))="","",INDEX(SS_Risk,MATCH($C218,SS_ID,0))),""))</f>
      </c>
      <c r="E218" s="317"/>
      <c r="F218" s="61"/>
      <c r="G218" s="61"/>
      <c r="H218" s="61"/>
      <c r="I218" s="61"/>
      <c r="J218" s="61"/>
      <c r="K218" s="61"/>
      <c r="L218" s="319"/>
    </row>
    <row r="219" spans="1:12" ht="15" customHeight="1" x14ac:dyDescent="0.35">
      <c r="A219" s="101">
        <v>215</v>
      </c>
      <c r="B219" s="69">
        <f t="shared" si="3"/>
      </c>
      <c r="C219" s="317"/>
      <c r="D219" s="70">
        <f>IF($C219="","",IFERROR(IF(INDEX(SS_Risk,MATCH($C219,SS_ID,0))="","",INDEX(SS_Risk,MATCH($C219,SS_ID,0))),""))</f>
      </c>
      <c r="E219" s="317"/>
      <c r="F219" s="61"/>
      <c r="G219" s="61"/>
      <c r="H219" s="61"/>
      <c r="I219" s="61"/>
      <c r="J219" s="61"/>
      <c r="K219" s="61"/>
      <c r="L219" s="319"/>
    </row>
    <row r="220" spans="1:12" ht="15" customHeight="1" x14ac:dyDescent="0.35">
      <c r="A220" s="101">
        <v>216</v>
      </c>
      <c r="B220" s="69">
        <f t="shared" si="3"/>
      </c>
      <c r="C220" s="317"/>
      <c r="D220" s="70">
        <f>IF($C220="","",IFERROR(IF(INDEX(SS_Risk,MATCH($C220,SS_ID,0))="","",INDEX(SS_Risk,MATCH($C220,SS_ID,0))),""))</f>
      </c>
      <c r="E220" s="317"/>
      <c r="F220" s="61"/>
      <c r="G220" s="61"/>
      <c r="H220" s="61"/>
      <c r="I220" s="61"/>
      <c r="J220" s="61"/>
      <c r="K220" s="61"/>
      <c r="L220" s="319"/>
    </row>
    <row r="221" spans="1:12" ht="15" customHeight="1" x14ac:dyDescent="0.35">
      <c r="A221" s="101">
        <v>217</v>
      </c>
      <c r="B221" s="69">
        <f t="shared" si="3"/>
      </c>
      <c r="C221" s="317"/>
      <c r="D221" s="70">
        <f>IF($C221="","",IFERROR(IF(INDEX(SS_Risk,MATCH($C221,SS_ID,0))="","",INDEX(SS_Risk,MATCH($C221,SS_ID,0))),""))</f>
      </c>
      <c r="E221" s="317"/>
      <c r="F221" s="61"/>
      <c r="G221" s="61"/>
      <c r="H221" s="61"/>
      <c r="I221" s="61"/>
      <c r="J221" s="61"/>
      <c r="K221" s="61"/>
      <c r="L221" s="319"/>
    </row>
    <row r="222" spans="1:12" ht="15" customHeight="1" x14ac:dyDescent="0.35">
      <c r="A222" s="101">
        <v>218</v>
      </c>
      <c r="B222" s="69">
        <f t="shared" si="3"/>
      </c>
      <c r="C222" s="317"/>
      <c r="D222" s="70">
        <f>IF($C222="","",IFERROR(IF(INDEX(SS_Risk,MATCH($C222,SS_ID,0))="","",INDEX(SS_Risk,MATCH($C222,SS_ID,0))),""))</f>
      </c>
      <c r="E222" s="317"/>
      <c r="F222" s="61"/>
      <c r="G222" s="61"/>
      <c r="H222" s="61"/>
      <c r="I222" s="61"/>
      <c r="J222" s="61"/>
      <c r="K222" s="61"/>
      <c r="L222" s="319"/>
    </row>
    <row r="223" spans="1:12" ht="15" customHeight="1" x14ac:dyDescent="0.35">
      <c r="A223" s="101">
        <v>219</v>
      </c>
      <c r="B223" s="69">
        <f t="shared" si="3"/>
      </c>
      <c r="C223" s="317"/>
      <c r="D223" s="70">
        <f>IF($C223="","",IFERROR(IF(INDEX(SS_Risk,MATCH($C223,SS_ID,0))="","",INDEX(SS_Risk,MATCH($C223,SS_ID,0))),""))</f>
      </c>
      <c r="E223" s="317"/>
      <c r="F223" s="61"/>
      <c r="G223" s="61"/>
      <c r="H223" s="61"/>
      <c r="I223" s="61"/>
      <c r="J223" s="61"/>
      <c r="K223" s="61"/>
      <c r="L223" s="319"/>
    </row>
    <row r="224" spans="1:12" ht="15" customHeight="1" x14ac:dyDescent="0.35">
      <c r="A224" s="101">
        <v>220</v>
      </c>
      <c r="B224" s="69">
        <f t="shared" si="3"/>
      </c>
      <c r="C224" s="317"/>
      <c r="D224" s="70">
        <f>IF($C224="","",IFERROR(IF(INDEX(SS_Risk,MATCH($C224,SS_ID,0))="","",INDEX(SS_Risk,MATCH($C224,SS_ID,0))),""))</f>
      </c>
      <c r="E224" s="317"/>
      <c r="F224" s="61"/>
      <c r="G224" s="61"/>
      <c r="H224" s="61"/>
      <c r="I224" s="61"/>
      <c r="J224" s="61"/>
      <c r="K224" s="61"/>
      <c r="L224" s="319"/>
    </row>
    <row r="225" spans="1:12" ht="15" customHeight="1" x14ac:dyDescent="0.35">
      <c r="A225" s="101">
        <v>221</v>
      </c>
      <c r="B225" s="69">
        <f t="shared" si="3"/>
      </c>
      <c r="C225" s="317"/>
      <c r="D225" s="70">
        <f>IF($C225="","",IFERROR(IF(INDEX(SS_Risk,MATCH($C225,SS_ID,0))="","",INDEX(SS_Risk,MATCH($C225,SS_ID,0))),""))</f>
      </c>
      <c r="E225" s="317"/>
      <c r="F225" s="61"/>
      <c r="G225" s="61"/>
      <c r="H225" s="61"/>
      <c r="I225" s="61"/>
      <c r="J225" s="61"/>
      <c r="K225" s="61"/>
      <c r="L225" s="319"/>
    </row>
    <row r="226" spans="1:12" ht="15" customHeight="1" x14ac:dyDescent="0.35">
      <c r="A226" s="101">
        <v>222</v>
      </c>
      <c r="B226" s="69">
        <f t="shared" si="3"/>
      </c>
      <c r="C226" s="317"/>
      <c r="D226" s="70">
        <f>IF($C226="","",IFERROR(IF(INDEX(SS_Risk,MATCH($C226,SS_ID,0))="","",INDEX(SS_Risk,MATCH($C226,SS_ID,0))),""))</f>
      </c>
      <c r="E226" s="317"/>
      <c r="F226" s="61"/>
      <c r="G226" s="61"/>
      <c r="H226" s="61"/>
      <c r="I226" s="61"/>
      <c r="J226" s="61"/>
      <c r="K226" s="61"/>
      <c r="L226" s="319"/>
    </row>
    <row r="227" spans="1:12" ht="15" customHeight="1" x14ac:dyDescent="0.35">
      <c r="A227" s="101">
        <v>223</v>
      </c>
      <c r="B227" s="69">
        <f t="shared" si="3"/>
      </c>
      <c r="C227" s="317"/>
      <c r="D227" s="70">
        <f>IF($C227="","",IFERROR(IF(INDEX(SS_Risk,MATCH($C227,SS_ID,0))="","",INDEX(SS_Risk,MATCH($C227,SS_ID,0))),""))</f>
      </c>
      <c r="E227" s="317"/>
      <c r="F227" s="61"/>
      <c r="G227" s="61"/>
      <c r="H227" s="61"/>
      <c r="I227" s="61"/>
      <c r="J227" s="61"/>
      <c r="K227" s="61"/>
      <c r="L227" s="319"/>
    </row>
    <row r="228" spans="1:12" ht="15" customHeight="1" x14ac:dyDescent="0.35">
      <c r="A228" s="101">
        <v>224</v>
      </c>
      <c r="B228" s="69">
        <f t="shared" si="3"/>
      </c>
      <c r="C228" s="317"/>
      <c r="D228" s="70">
        <f>IF($C228="","",IFERROR(IF(INDEX(SS_Risk,MATCH($C228,SS_ID,0))="","",INDEX(SS_Risk,MATCH($C228,SS_ID,0))),""))</f>
      </c>
      <c r="E228" s="317"/>
      <c r="F228" s="61"/>
      <c r="G228" s="61"/>
      <c r="H228" s="61"/>
      <c r="I228" s="61"/>
      <c r="J228" s="61"/>
      <c r="K228" s="61"/>
      <c r="L228" s="319"/>
    </row>
    <row r="229" spans="1:12" ht="15" customHeight="1" x14ac:dyDescent="0.35">
      <c r="A229" s="101">
        <v>225</v>
      </c>
      <c r="B229" s="69">
        <f t="shared" si="3"/>
      </c>
      <c r="C229" s="317"/>
      <c r="D229" s="70">
        <f>IF($C229="","",IFERROR(IF(INDEX(SS_Risk,MATCH($C229,SS_ID,0))="","",INDEX(SS_Risk,MATCH($C229,SS_ID,0))),""))</f>
      </c>
      <c r="E229" s="317"/>
      <c r="F229" s="61"/>
      <c r="G229" s="61"/>
      <c r="H229" s="61"/>
      <c r="I229" s="61"/>
      <c r="J229" s="61"/>
      <c r="K229" s="61"/>
      <c r="L229" s="319"/>
    </row>
    <row r="230" spans="1:12" ht="15" customHeight="1" x14ac:dyDescent="0.35">
      <c r="A230" s="101">
        <v>226</v>
      </c>
      <c r="B230" s="69">
        <f t="shared" si="3"/>
      </c>
      <c r="C230" s="317"/>
      <c r="D230" s="70">
        <f>IF($C230="","",IFERROR(IF(INDEX(SS_Risk,MATCH($C230,SS_ID,0))="","",INDEX(SS_Risk,MATCH($C230,SS_ID,0))),""))</f>
      </c>
      <c r="E230" s="317"/>
      <c r="F230" s="61"/>
      <c r="G230" s="61"/>
      <c r="H230" s="61"/>
      <c r="I230" s="61"/>
      <c r="J230" s="61"/>
      <c r="K230" s="61"/>
      <c r="L230" s="319"/>
    </row>
    <row r="231" spans="1:12" ht="15" customHeight="1" x14ac:dyDescent="0.35">
      <c r="A231" s="101">
        <v>227</v>
      </c>
      <c r="B231" s="69">
        <f t="shared" si="3"/>
      </c>
      <c r="C231" s="317"/>
      <c r="D231" s="70">
        <f>IF($C231="","",IFERROR(IF(INDEX(SS_Risk,MATCH($C231,SS_ID,0))="","",INDEX(SS_Risk,MATCH($C231,SS_ID,0))),""))</f>
      </c>
      <c r="E231" s="317"/>
      <c r="F231" s="61"/>
      <c r="G231" s="61"/>
      <c r="H231" s="61"/>
      <c r="I231" s="61"/>
      <c r="J231" s="61"/>
      <c r="K231" s="61"/>
      <c r="L231" s="319"/>
    </row>
    <row r="232" spans="1:12" ht="15" customHeight="1" x14ac:dyDescent="0.35">
      <c r="A232" s="101">
        <v>228</v>
      </c>
      <c r="B232" s="69">
        <f t="shared" si="3"/>
      </c>
      <c r="C232" s="317"/>
      <c r="D232" s="70">
        <f>IF($C232="","",IFERROR(IF(INDEX(SS_Risk,MATCH($C232,SS_ID,0))="","",INDEX(SS_Risk,MATCH($C232,SS_ID,0))),""))</f>
      </c>
      <c r="E232" s="317"/>
      <c r="F232" s="61"/>
      <c r="G232" s="61"/>
      <c r="H232" s="61"/>
      <c r="I232" s="61"/>
      <c r="J232" s="61"/>
      <c r="K232" s="61"/>
      <c r="L232" s="319"/>
    </row>
    <row r="233" spans="1:12" ht="15" customHeight="1" x14ac:dyDescent="0.35">
      <c r="A233" s="101">
        <v>229</v>
      </c>
      <c r="B233" s="69">
        <f t="shared" si="3"/>
      </c>
      <c r="C233" s="317"/>
      <c r="D233" s="70">
        <f>IF($C233="","",IFERROR(IF(INDEX(SS_Risk,MATCH($C233,SS_ID,0))="","",INDEX(SS_Risk,MATCH($C233,SS_ID,0))),""))</f>
      </c>
      <c r="E233" s="317"/>
      <c r="F233" s="61"/>
      <c r="G233" s="61"/>
      <c r="H233" s="61"/>
      <c r="I233" s="61"/>
      <c r="J233" s="61"/>
      <c r="K233" s="61"/>
      <c r="L233" s="319"/>
    </row>
    <row r="234" spans="1:12" ht="15" customHeight="1" x14ac:dyDescent="0.35">
      <c r="A234" s="101">
        <v>230</v>
      </c>
      <c r="B234" s="69">
        <f t="shared" si="3"/>
      </c>
      <c r="C234" s="317"/>
      <c r="D234" s="70">
        <f>IF($C234="","",IFERROR(IF(INDEX(SS_Risk,MATCH($C234,SS_ID,0))="","",INDEX(SS_Risk,MATCH($C234,SS_ID,0))),""))</f>
      </c>
      <c r="E234" s="317"/>
      <c r="F234" s="61"/>
      <c r="G234" s="61"/>
      <c r="H234" s="61"/>
      <c r="I234" s="61"/>
      <c r="J234" s="61"/>
      <c r="K234" s="61"/>
      <c r="L234" s="319"/>
    </row>
    <row r="235" spans="1:12" ht="15" customHeight="1" x14ac:dyDescent="0.35">
      <c r="A235" s="101">
        <v>231</v>
      </c>
      <c r="B235" s="69">
        <f t="shared" si="3"/>
      </c>
      <c r="C235" s="317"/>
      <c r="D235" s="70">
        <f>IF($C235="","",IFERROR(IF(INDEX(SS_Risk,MATCH($C235,SS_ID,0))="","",INDEX(SS_Risk,MATCH($C235,SS_ID,0))),""))</f>
      </c>
      <c r="E235" s="317"/>
      <c r="F235" s="61"/>
      <c r="G235" s="61"/>
      <c r="H235" s="61"/>
      <c r="I235" s="61"/>
      <c r="J235" s="61"/>
      <c r="K235" s="61"/>
      <c r="L235" s="319"/>
    </row>
    <row r="236" spans="1:12" ht="15" customHeight="1" x14ac:dyDescent="0.35">
      <c r="A236" s="101">
        <v>232</v>
      </c>
      <c r="B236" s="69">
        <f t="shared" si="3"/>
      </c>
      <c r="C236" s="317"/>
      <c r="D236" s="70">
        <f>IF($C236="","",IFERROR(IF(INDEX(SS_Risk,MATCH($C236,SS_ID,0))="","",INDEX(SS_Risk,MATCH($C236,SS_ID,0))),""))</f>
      </c>
      <c r="E236" s="317"/>
      <c r="F236" s="61"/>
      <c r="G236" s="61"/>
      <c r="H236" s="61"/>
      <c r="I236" s="61"/>
      <c r="J236" s="61"/>
      <c r="K236" s="61"/>
      <c r="L236" s="319"/>
    </row>
    <row r="237" spans="1:12" ht="15" customHeight="1" x14ac:dyDescent="0.35">
      <c r="A237" s="101">
        <v>233</v>
      </c>
      <c r="B237" s="69">
        <f t="shared" si="3"/>
      </c>
      <c r="C237" s="317"/>
      <c r="D237" s="70">
        <f>IF($C237="","",IFERROR(IF(INDEX(SS_Risk,MATCH($C237,SS_ID,0))="","",INDEX(SS_Risk,MATCH($C237,SS_ID,0))),""))</f>
      </c>
      <c r="E237" s="317"/>
      <c r="F237" s="61"/>
      <c r="G237" s="61"/>
      <c r="H237" s="61"/>
      <c r="I237" s="61"/>
      <c r="J237" s="61"/>
      <c r="K237" s="61"/>
      <c r="L237" s="319"/>
    </row>
    <row r="238" spans="1:12" ht="15" customHeight="1" x14ac:dyDescent="0.35">
      <c r="A238" s="101">
        <v>234</v>
      </c>
      <c r="B238" s="69">
        <f t="shared" si="3"/>
      </c>
      <c r="C238" s="317"/>
      <c r="D238" s="70">
        <f>IF($C238="","",IFERROR(IF(INDEX(SS_Risk,MATCH($C238,SS_ID,0))="","",INDEX(SS_Risk,MATCH($C238,SS_ID,0))),""))</f>
      </c>
      <c r="E238" s="317"/>
      <c r="F238" s="61"/>
      <c r="G238" s="61"/>
      <c r="H238" s="61"/>
      <c r="I238" s="61"/>
      <c r="J238" s="61"/>
      <c r="K238" s="61"/>
      <c r="L238" s="319"/>
    </row>
    <row r="239" spans="1:12" ht="15" customHeight="1" x14ac:dyDescent="0.35">
      <c r="A239" s="101">
        <v>235</v>
      </c>
      <c r="B239" s="69">
        <f t="shared" si="3"/>
      </c>
      <c r="C239" s="317"/>
      <c r="D239" s="70">
        <f>IF($C239="","",IFERROR(IF(INDEX(SS_Risk,MATCH($C239,SS_ID,0))="","",INDEX(SS_Risk,MATCH($C239,SS_ID,0))),""))</f>
      </c>
      <c r="E239" s="317"/>
      <c r="F239" s="61"/>
      <c r="G239" s="61"/>
      <c r="H239" s="61"/>
      <c r="I239" s="61"/>
      <c r="J239" s="61"/>
      <c r="K239" s="61"/>
      <c r="L239" s="319"/>
    </row>
    <row r="240" spans="1:12" ht="15" customHeight="1" x14ac:dyDescent="0.35">
      <c r="A240" s="101">
        <v>236</v>
      </c>
      <c r="B240" s="69">
        <f t="shared" si="3"/>
      </c>
      <c r="C240" s="317"/>
      <c r="D240" s="70">
        <f>IF($C240="","",IFERROR(IF(INDEX(SS_Risk,MATCH($C240,SS_ID,0))="","",INDEX(SS_Risk,MATCH($C240,SS_ID,0))),""))</f>
      </c>
      <c r="E240" s="317"/>
      <c r="F240" s="61"/>
      <c r="G240" s="61"/>
      <c r="H240" s="61"/>
      <c r="I240" s="61"/>
      <c r="J240" s="61"/>
      <c r="K240" s="61"/>
      <c r="L240" s="319"/>
    </row>
    <row r="241" spans="1:12" ht="15" customHeight="1" x14ac:dyDescent="0.35">
      <c r="A241" s="101">
        <v>237</v>
      </c>
      <c r="B241" s="69">
        <f t="shared" si="3"/>
      </c>
      <c r="C241" s="317"/>
      <c r="D241" s="70">
        <f>IF($C241="","",IFERROR(IF(INDEX(SS_Risk,MATCH($C241,SS_ID,0))="","",INDEX(SS_Risk,MATCH($C241,SS_ID,0))),""))</f>
      </c>
      <c r="E241" s="317"/>
      <c r="F241" s="61"/>
      <c r="G241" s="61"/>
      <c r="H241" s="61"/>
      <c r="I241" s="61"/>
      <c r="J241" s="61"/>
      <c r="K241" s="61"/>
      <c r="L241" s="319"/>
    </row>
    <row r="242" spans="1:12" ht="15" customHeight="1" x14ac:dyDescent="0.35">
      <c r="A242" s="101">
        <v>238</v>
      </c>
      <c r="B242" s="69">
        <f t="shared" si="3"/>
      </c>
      <c r="C242" s="317"/>
      <c r="D242" s="70">
        <f>IF($C242="","",IFERROR(IF(INDEX(SS_Risk,MATCH($C242,SS_ID,0))="","",INDEX(SS_Risk,MATCH($C242,SS_ID,0))),""))</f>
      </c>
      <c r="E242" s="317"/>
      <c r="F242" s="61"/>
      <c r="G242" s="61"/>
      <c r="H242" s="61"/>
      <c r="I242" s="61"/>
      <c r="J242" s="61"/>
      <c r="K242" s="61"/>
      <c r="L242" s="319"/>
    </row>
    <row r="243" spans="1:12" ht="15" customHeight="1" x14ac:dyDescent="0.35">
      <c r="A243" s="101">
        <v>239</v>
      </c>
      <c r="B243" s="69">
        <f t="shared" si="3"/>
      </c>
      <c r="C243" s="317"/>
      <c r="D243" s="70">
        <f>IF($C243="","",IFERROR(IF(INDEX(SS_Risk,MATCH($C243,SS_ID,0))="","",INDEX(SS_Risk,MATCH($C243,SS_ID,0))),""))</f>
      </c>
      <c r="E243" s="317"/>
      <c r="F243" s="61"/>
      <c r="G243" s="61"/>
      <c r="H243" s="61"/>
      <c r="I243" s="61"/>
      <c r="J243" s="61"/>
      <c r="K243" s="61"/>
      <c r="L243" s="319"/>
    </row>
    <row r="244" spans="1:12" ht="15" customHeight="1" x14ac:dyDescent="0.35">
      <c r="A244" s="101">
        <v>240</v>
      </c>
      <c r="B244" s="69">
        <f t="shared" si="3"/>
      </c>
      <c r="C244" s="317"/>
      <c r="D244" s="70">
        <f>IF($C244="","",IFERROR(IF(INDEX(SS_Risk,MATCH($C244,SS_ID,0))="","",INDEX(SS_Risk,MATCH($C244,SS_ID,0))),""))</f>
      </c>
      <c r="E244" s="317"/>
      <c r="F244" s="61"/>
      <c r="G244" s="61"/>
      <c r="H244" s="61"/>
      <c r="I244" s="61"/>
      <c r="J244" s="61"/>
      <c r="K244" s="61"/>
      <c r="L244" s="319"/>
    </row>
    <row r="245" spans="1:12" ht="15" customHeight="1" x14ac:dyDescent="0.35">
      <c r="A245" s="101">
        <v>241</v>
      </c>
      <c r="B245" s="69">
        <f t="shared" si="3"/>
      </c>
      <c r="C245" s="317"/>
      <c r="D245" s="70">
        <f>IF($C245="","",IFERROR(IF(INDEX(SS_Risk,MATCH($C245,SS_ID,0))="","",INDEX(SS_Risk,MATCH($C245,SS_ID,0))),""))</f>
      </c>
      <c r="E245" s="317"/>
      <c r="F245" s="61"/>
      <c r="G245" s="61"/>
      <c r="H245" s="61"/>
      <c r="I245" s="61"/>
      <c r="J245" s="61"/>
      <c r="K245" s="61"/>
      <c r="L245" s="319"/>
    </row>
    <row r="246" spans="1:12" ht="15" customHeight="1" x14ac:dyDescent="0.35">
      <c r="A246" s="101">
        <v>242</v>
      </c>
      <c r="B246" s="69">
        <f t="shared" si="3"/>
      </c>
      <c r="C246" s="317"/>
      <c r="D246" s="70">
        <f>IF($C246="","",IFERROR(IF(INDEX(SS_Risk,MATCH($C246,SS_ID,0))="","",INDEX(SS_Risk,MATCH($C246,SS_ID,0))),""))</f>
      </c>
      <c r="E246" s="317"/>
      <c r="F246" s="61"/>
      <c r="G246" s="61"/>
      <c r="H246" s="61"/>
      <c r="I246" s="61"/>
      <c r="J246" s="61"/>
      <c r="K246" s="61"/>
      <c r="L246" s="319"/>
    </row>
    <row r="247" spans="1:12" ht="15" customHeight="1" x14ac:dyDescent="0.35">
      <c r="A247" s="101">
        <v>243</v>
      </c>
      <c r="B247" s="69">
        <f t="shared" si="3"/>
      </c>
      <c r="C247" s="317"/>
      <c r="D247" s="70">
        <f>IF($C247="","",IFERROR(IF(INDEX(SS_Risk,MATCH($C247,SS_ID,0))="","",INDEX(SS_Risk,MATCH($C247,SS_ID,0))),""))</f>
      </c>
      <c r="E247" s="317"/>
      <c r="F247" s="61"/>
      <c r="G247" s="61"/>
      <c r="H247" s="61"/>
      <c r="I247" s="61"/>
      <c r="J247" s="61"/>
      <c r="K247" s="61"/>
      <c r="L247" s="319"/>
    </row>
    <row r="248" spans="1:12" ht="15" customHeight="1" x14ac:dyDescent="0.35">
      <c r="A248" s="101">
        <v>244</v>
      </c>
      <c r="B248" s="69">
        <f t="shared" si="3"/>
      </c>
      <c r="C248" s="317"/>
      <c r="D248" s="70">
        <f>IF($C248="","",IFERROR(IF(INDEX(SS_Risk,MATCH($C248,SS_ID,0))="","",INDEX(SS_Risk,MATCH($C248,SS_ID,0))),""))</f>
      </c>
      <c r="E248" s="317"/>
      <c r="F248" s="61"/>
      <c r="G248" s="61"/>
      <c r="H248" s="61"/>
      <c r="I248" s="61"/>
      <c r="J248" s="61"/>
      <c r="K248" s="61"/>
      <c r="L248" s="319"/>
    </row>
    <row r="249" spans="1:12" ht="15" customHeight="1" x14ac:dyDescent="0.35">
      <c r="A249" s="101">
        <v>245</v>
      </c>
      <c r="B249" s="69">
        <f t="shared" si="3"/>
      </c>
      <c r="C249" s="317"/>
      <c r="D249" s="70">
        <f>IF($C249="","",IFERROR(IF(INDEX(SS_Risk,MATCH($C249,SS_ID,0))="","",INDEX(SS_Risk,MATCH($C249,SS_ID,0))),""))</f>
      </c>
      <c r="E249" s="317"/>
      <c r="F249" s="61"/>
      <c r="G249" s="61"/>
      <c r="H249" s="61"/>
      <c r="I249" s="61"/>
      <c r="J249" s="61"/>
      <c r="K249" s="61"/>
      <c r="L249" s="319"/>
    </row>
    <row r="250" spans="1:12" ht="15" customHeight="1" x14ac:dyDescent="0.35">
      <c r="A250" s="101">
        <v>246</v>
      </c>
      <c r="B250" s="69">
        <f t="shared" si="3"/>
      </c>
      <c r="C250" s="317"/>
      <c r="D250" s="70">
        <f>IF($C250="","",IFERROR(IF(INDEX(SS_Risk,MATCH($C250,SS_ID,0))="","",INDEX(SS_Risk,MATCH($C250,SS_ID,0))),""))</f>
      </c>
      <c r="E250" s="317"/>
      <c r="F250" s="61"/>
      <c r="G250" s="61"/>
      <c r="H250" s="61"/>
      <c r="I250" s="61"/>
      <c r="J250" s="61"/>
      <c r="K250" s="61"/>
      <c r="L250" s="319"/>
    </row>
    <row r="251" spans="1:12" ht="15" customHeight="1" x14ac:dyDescent="0.35">
      <c r="A251" s="101">
        <v>247</v>
      </c>
      <c r="B251" s="69">
        <f t="shared" si="3"/>
      </c>
      <c r="C251" s="317"/>
      <c r="D251" s="70">
        <f>IF($C251="","",IFERROR(IF(INDEX(SS_Risk,MATCH($C251,SS_ID,0))="","",INDEX(SS_Risk,MATCH($C251,SS_ID,0))),""))</f>
      </c>
      <c r="E251" s="317"/>
      <c r="F251" s="61"/>
      <c r="G251" s="61"/>
      <c r="H251" s="61"/>
      <c r="I251" s="61"/>
      <c r="J251" s="61"/>
      <c r="K251" s="61"/>
      <c r="L251" s="319"/>
    </row>
    <row r="252" spans="1:12" ht="15" customHeight="1" x14ac:dyDescent="0.35">
      <c r="A252" s="101">
        <v>248</v>
      </c>
      <c r="B252" s="69">
        <f t="shared" si="3"/>
      </c>
      <c r="C252" s="317"/>
      <c r="D252" s="70">
        <f>IF($C252="","",IFERROR(IF(INDEX(SS_Risk,MATCH($C252,SS_ID,0))="","",INDEX(SS_Risk,MATCH($C252,SS_ID,0))),""))</f>
      </c>
      <c r="E252" s="317"/>
      <c r="F252" s="61"/>
      <c r="G252" s="61"/>
      <c r="H252" s="61"/>
      <c r="I252" s="61"/>
      <c r="J252" s="61"/>
      <c r="K252" s="61"/>
      <c r="L252" s="319"/>
    </row>
    <row r="253" spans="1:12" ht="15" customHeight="1" x14ac:dyDescent="0.35">
      <c r="A253" s="101">
        <v>249</v>
      </c>
      <c r="B253" s="69">
        <f t="shared" si="3"/>
      </c>
      <c r="C253" s="317"/>
      <c r="D253" s="70">
        <f>IF($C253="","",IFERROR(IF(INDEX(SS_Risk,MATCH($C253,SS_ID,0))="","",INDEX(SS_Risk,MATCH($C253,SS_ID,0))),""))</f>
      </c>
      <c r="E253" s="317"/>
      <c r="F253" s="61"/>
      <c r="G253" s="61"/>
      <c r="H253" s="61"/>
      <c r="I253" s="61"/>
      <c r="J253" s="61"/>
      <c r="K253" s="61"/>
      <c r="L253" s="319"/>
    </row>
    <row r="254" spans="1:12" ht="15" customHeight="1" x14ac:dyDescent="0.35">
      <c r="A254" s="101">
        <v>250</v>
      </c>
      <c r="B254" s="69">
        <f t="shared" si="3"/>
      </c>
      <c r="C254" s="317"/>
      <c r="D254" s="70">
        <f>IF($C254="","",IFERROR(IF(INDEX(SS_Risk,MATCH($C254,SS_ID,0))="","",INDEX(SS_Risk,MATCH($C254,SS_ID,0))),""))</f>
      </c>
      <c r="E254" s="317"/>
      <c r="F254" s="61"/>
      <c r="G254" s="61"/>
      <c r="H254" s="61"/>
      <c r="I254" s="61"/>
      <c r="J254" s="61"/>
      <c r="K254" s="61"/>
      <c r="L254" s="319"/>
    </row>
    <row r="255" spans="1:12" ht="15" customHeight="1" x14ac:dyDescent="0.35">
      <c r="A255" s="101">
        <v>251</v>
      </c>
      <c r="B255" s="69">
        <f t="shared" si="3"/>
      </c>
      <c r="C255" s="317"/>
      <c r="D255" s="70">
        <f>IF($C255="","",IFERROR(IF(INDEX(SS_Risk,MATCH($C255,SS_ID,0))="","",INDEX(SS_Risk,MATCH($C255,SS_ID,0))),""))</f>
      </c>
      <c r="E255" s="317"/>
      <c r="F255" s="61"/>
      <c r="G255" s="61"/>
      <c r="H255" s="61"/>
      <c r="I255" s="61"/>
      <c r="J255" s="61"/>
      <c r="K255" s="61"/>
      <c r="L255" s="319"/>
    </row>
    <row r="256" spans="1:12" ht="15" customHeight="1" x14ac:dyDescent="0.35">
      <c r="A256" s="101">
        <v>252</v>
      </c>
      <c r="B256" s="69">
        <f t="shared" si="3"/>
      </c>
      <c r="C256" s="317"/>
      <c r="D256" s="70">
        <f>IF($C256="","",IFERROR(IF(INDEX(SS_Risk,MATCH($C256,SS_ID,0))="","",INDEX(SS_Risk,MATCH($C256,SS_ID,0))),""))</f>
      </c>
      <c r="E256" s="317"/>
      <c r="F256" s="61"/>
      <c r="G256" s="61"/>
      <c r="H256" s="61"/>
      <c r="I256" s="61"/>
      <c r="J256" s="61"/>
      <c r="K256" s="61"/>
      <c r="L256" s="319"/>
    </row>
    <row r="257" spans="1:12" ht="15" customHeight="1" x14ac:dyDescent="0.35">
      <c r="A257" s="101">
        <v>253</v>
      </c>
      <c r="B257" s="69">
        <f t="shared" si="3"/>
      </c>
      <c r="C257" s="317"/>
      <c r="D257" s="70">
        <f>IF($C257="","",IFERROR(IF(INDEX(SS_Risk,MATCH($C257,SS_ID,0))="","",INDEX(SS_Risk,MATCH($C257,SS_ID,0))),""))</f>
      </c>
      <c r="E257" s="317"/>
      <c r="F257" s="61"/>
      <c r="G257" s="61"/>
      <c r="H257" s="61"/>
      <c r="I257" s="61"/>
      <c r="J257" s="61"/>
      <c r="K257" s="61"/>
      <c r="L257" s="319"/>
    </row>
    <row r="258" spans="1:12" ht="15" customHeight="1" x14ac:dyDescent="0.35">
      <c r="A258" s="101">
        <v>254</v>
      </c>
      <c r="B258" s="69">
        <f t="shared" si="3"/>
      </c>
      <c r="C258" s="317"/>
      <c r="D258" s="70">
        <f>IF($C258="","",IFERROR(IF(INDEX(SS_Risk,MATCH($C258,SS_ID,0))="","",INDEX(SS_Risk,MATCH($C258,SS_ID,0))),""))</f>
      </c>
      <c r="E258" s="317"/>
      <c r="F258" s="61"/>
      <c r="G258" s="61"/>
      <c r="H258" s="61"/>
      <c r="I258" s="61"/>
      <c r="J258" s="61"/>
      <c r="K258" s="61"/>
      <c r="L258" s="319"/>
    </row>
    <row r="259" spans="1:12" ht="15" customHeight="1" x14ac:dyDescent="0.35">
      <c r="A259" s="101">
        <v>255</v>
      </c>
      <c r="B259" s="69">
        <f t="shared" si="3"/>
      </c>
      <c r="C259" s="317"/>
      <c r="D259" s="70">
        <f>IF($C259="","",IFERROR(IF(INDEX(SS_Risk,MATCH($C259,SS_ID,0))="","",INDEX(SS_Risk,MATCH($C259,SS_ID,0))),""))</f>
      </c>
      <c r="E259" s="317"/>
      <c r="F259" s="61"/>
      <c r="G259" s="61"/>
      <c r="H259" s="61"/>
      <c r="I259" s="61"/>
      <c r="J259" s="61"/>
      <c r="K259" s="61"/>
      <c r="L259" s="319"/>
    </row>
    <row r="260" spans="1:12" ht="15" customHeight="1" x14ac:dyDescent="0.35">
      <c r="A260" s="101">
        <v>256</v>
      </c>
      <c r="B260" s="69">
        <f t="shared" si="3"/>
      </c>
      <c r="C260" s="317"/>
      <c r="D260" s="70">
        <f>IF($C260="","",IFERROR(IF(INDEX(SS_Risk,MATCH($C260,SS_ID,0))="","",INDEX(SS_Risk,MATCH($C260,SS_ID,0))),""))</f>
      </c>
      <c r="E260" s="317"/>
      <c r="F260" s="61"/>
      <c r="G260" s="61"/>
      <c r="H260" s="61"/>
      <c r="I260" s="61"/>
      <c r="J260" s="61"/>
      <c r="K260" s="61"/>
      <c r="L260" s="319"/>
    </row>
    <row r="261" spans="1:12" ht="15" customHeight="1" x14ac:dyDescent="0.35">
      <c r="A261" s="101">
        <v>257</v>
      </c>
      <c r="B261" s="69">
        <f t="shared" ref="B261:B304" si="4">IF($F261="","","REQ-"&amp;TEXT($A261,"000"))</f>
      </c>
      <c r="C261" s="317"/>
      <c r="D261" s="70">
        <f>IF($C261="","",IFERROR(IF(INDEX(SS_Risk,MATCH($C261,SS_ID,0))="","",INDEX(SS_Risk,MATCH($C261,SS_ID,0))),""))</f>
      </c>
      <c r="E261" s="317"/>
      <c r="F261" s="61"/>
      <c r="G261" s="61"/>
      <c r="H261" s="61"/>
      <c r="I261" s="61"/>
      <c r="J261" s="61"/>
      <c r="K261" s="61"/>
      <c r="L261" s="319"/>
    </row>
    <row r="262" spans="1:12" ht="15" customHeight="1" x14ac:dyDescent="0.35">
      <c r="A262" s="101">
        <v>258</v>
      </c>
      <c r="B262" s="69">
        <f t="shared" si="4"/>
      </c>
      <c r="C262" s="317"/>
      <c r="D262" s="70">
        <f>IF($C262="","",IFERROR(IF(INDEX(SS_Risk,MATCH($C262,SS_ID,0))="","",INDEX(SS_Risk,MATCH($C262,SS_ID,0))),""))</f>
      </c>
      <c r="E262" s="317"/>
      <c r="F262" s="61"/>
      <c r="G262" s="61"/>
      <c r="H262" s="61"/>
      <c r="I262" s="61"/>
      <c r="J262" s="61"/>
      <c r="K262" s="61"/>
      <c r="L262" s="319"/>
    </row>
    <row r="263" spans="1:12" ht="15" customHeight="1" x14ac:dyDescent="0.35">
      <c r="A263" s="101">
        <v>259</v>
      </c>
      <c r="B263" s="69">
        <f t="shared" si="4"/>
      </c>
      <c r="C263" s="317"/>
      <c r="D263" s="70">
        <f>IF($C263="","",IFERROR(IF(INDEX(SS_Risk,MATCH($C263,SS_ID,0))="","",INDEX(SS_Risk,MATCH($C263,SS_ID,0))),""))</f>
      </c>
      <c r="E263" s="317"/>
      <c r="F263" s="61"/>
      <c r="G263" s="61"/>
      <c r="H263" s="61"/>
      <c r="I263" s="61"/>
      <c r="J263" s="61"/>
      <c r="K263" s="61"/>
      <c r="L263" s="319"/>
    </row>
    <row r="264" spans="1:12" ht="15" customHeight="1" x14ac:dyDescent="0.35">
      <c r="A264" s="101">
        <v>260</v>
      </c>
      <c r="B264" s="69">
        <f t="shared" si="4"/>
      </c>
      <c r="C264" s="317"/>
      <c r="D264" s="70">
        <f>IF($C264="","",IFERROR(IF(INDEX(SS_Risk,MATCH($C264,SS_ID,0))="","",INDEX(SS_Risk,MATCH($C264,SS_ID,0))),""))</f>
      </c>
      <c r="E264" s="317"/>
      <c r="F264" s="61"/>
      <c r="G264" s="61"/>
      <c r="H264" s="61"/>
      <c r="I264" s="61"/>
      <c r="J264" s="61"/>
      <c r="K264" s="61"/>
      <c r="L264" s="319"/>
    </row>
    <row r="265" spans="1:12" ht="15" customHeight="1" x14ac:dyDescent="0.35">
      <c r="A265" s="101">
        <v>261</v>
      </c>
      <c r="B265" s="69">
        <f t="shared" si="4"/>
      </c>
      <c r="C265" s="317"/>
      <c r="D265" s="70">
        <f>IF($C265="","",IFERROR(IF(INDEX(SS_Risk,MATCH($C265,SS_ID,0))="","",INDEX(SS_Risk,MATCH($C265,SS_ID,0))),""))</f>
      </c>
      <c r="E265" s="317"/>
      <c r="F265" s="61"/>
      <c r="G265" s="61"/>
      <c r="H265" s="61"/>
      <c r="I265" s="61"/>
      <c r="J265" s="61"/>
      <c r="K265" s="61"/>
      <c r="L265" s="319"/>
    </row>
    <row r="266" spans="1:12" ht="15" customHeight="1" x14ac:dyDescent="0.35">
      <c r="A266" s="101">
        <v>262</v>
      </c>
      <c r="B266" s="69">
        <f t="shared" si="4"/>
      </c>
      <c r="C266" s="317"/>
      <c r="D266" s="70">
        <f>IF($C266="","",IFERROR(IF(INDEX(SS_Risk,MATCH($C266,SS_ID,0))="","",INDEX(SS_Risk,MATCH($C266,SS_ID,0))),""))</f>
      </c>
      <c r="E266" s="317"/>
      <c r="F266" s="61"/>
      <c r="G266" s="61"/>
      <c r="H266" s="61"/>
      <c r="I266" s="61"/>
      <c r="J266" s="61"/>
      <c r="K266" s="61"/>
      <c r="L266" s="319"/>
    </row>
    <row r="267" spans="1:12" ht="15" customHeight="1" x14ac:dyDescent="0.35">
      <c r="A267" s="101">
        <v>263</v>
      </c>
      <c r="B267" s="69">
        <f t="shared" si="4"/>
      </c>
      <c r="C267" s="317"/>
      <c r="D267" s="70">
        <f>IF($C267="","",IFERROR(IF(INDEX(SS_Risk,MATCH($C267,SS_ID,0))="","",INDEX(SS_Risk,MATCH($C267,SS_ID,0))),""))</f>
      </c>
      <c r="E267" s="317"/>
      <c r="F267" s="61"/>
      <c r="G267" s="61"/>
      <c r="H267" s="61"/>
      <c r="I267" s="61"/>
      <c r="J267" s="61"/>
      <c r="K267" s="61"/>
      <c r="L267" s="319"/>
    </row>
    <row r="268" spans="1:12" ht="15" customHeight="1" x14ac:dyDescent="0.35">
      <c r="A268" s="101">
        <v>264</v>
      </c>
      <c r="B268" s="69">
        <f t="shared" si="4"/>
      </c>
      <c r="C268" s="317"/>
      <c r="D268" s="70">
        <f>IF($C268="","",IFERROR(IF(INDEX(SS_Risk,MATCH($C268,SS_ID,0))="","",INDEX(SS_Risk,MATCH($C268,SS_ID,0))),""))</f>
      </c>
      <c r="E268" s="317"/>
      <c r="F268" s="61"/>
      <c r="G268" s="61"/>
      <c r="H268" s="61"/>
      <c r="I268" s="61"/>
      <c r="J268" s="61"/>
      <c r="K268" s="61"/>
      <c r="L268" s="319"/>
    </row>
    <row r="269" spans="1:12" ht="15" customHeight="1" x14ac:dyDescent="0.35">
      <c r="A269" s="101">
        <v>265</v>
      </c>
      <c r="B269" s="69">
        <f t="shared" si="4"/>
      </c>
      <c r="C269" s="317"/>
      <c r="D269" s="70">
        <f>IF($C269="","",IFERROR(IF(INDEX(SS_Risk,MATCH($C269,SS_ID,0))="","",INDEX(SS_Risk,MATCH($C269,SS_ID,0))),""))</f>
      </c>
      <c r="E269" s="317"/>
      <c r="F269" s="61"/>
      <c r="G269" s="61"/>
      <c r="H269" s="61"/>
      <c r="I269" s="61"/>
      <c r="J269" s="61"/>
      <c r="K269" s="61"/>
      <c r="L269" s="319"/>
    </row>
    <row r="270" spans="1:12" ht="15" customHeight="1" x14ac:dyDescent="0.35">
      <c r="A270" s="101">
        <v>266</v>
      </c>
      <c r="B270" s="69">
        <f t="shared" si="4"/>
      </c>
      <c r="C270" s="317"/>
      <c r="D270" s="70">
        <f>IF($C270="","",IFERROR(IF(INDEX(SS_Risk,MATCH($C270,SS_ID,0))="","",INDEX(SS_Risk,MATCH($C270,SS_ID,0))),""))</f>
      </c>
      <c r="E270" s="317"/>
      <c r="F270" s="61"/>
      <c r="G270" s="61"/>
      <c r="H270" s="61"/>
      <c r="I270" s="61"/>
      <c r="J270" s="61"/>
      <c r="K270" s="61"/>
      <c r="L270" s="319"/>
    </row>
    <row r="271" spans="1:12" ht="15" customHeight="1" x14ac:dyDescent="0.35">
      <c r="A271" s="101">
        <v>267</v>
      </c>
      <c r="B271" s="69">
        <f t="shared" si="4"/>
      </c>
      <c r="C271" s="317"/>
      <c r="D271" s="70">
        <f>IF($C271="","",IFERROR(IF(INDEX(SS_Risk,MATCH($C271,SS_ID,0))="","",INDEX(SS_Risk,MATCH($C271,SS_ID,0))),""))</f>
      </c>
      <c r="E271" s="317"/>
      <c r="F271" s="61"/>
      <c r="G271" s="61"/>
      <c r="H271" s="61"/>
      <c r="I271" s="61"/>
      <c r="J271" s="61"/>
      <c r="K271" s="61"/>
      <c r="L271" s="319"/>
    </row>
    <row r="272" spans="1:12" ht="15" customHeight="1" x14ac:dyDescent="0.35">
      <c r="A272" s="101">
        <v>268</v>
      </c>
      <c r="B272" s="69">
        <f t="shared" si="4"/>
      </c>
      <c r="C272" s="317"/>
      <c r="D272" s="70">
        <f>IF($C272="","",IFERROR(IF(INDEX(SS_Risk,MATCH($C272,SS_ID,0))="","",INDEX(SS_Risk,MATCH($C272,SS_ID,0))),""))</f>
      </c>
      <c r="E272" s="317"/>
      <c r="F272" s="61"/>
      <c r="G272" s="61"/>
      <c r="H272" s="61"/>
      <c r="I272" s="61"/>
      <c r="J272" s="61"/>
      <c r="K272" s="61"/>
      <c r="L272" s="319"/>
    </row>
    <row r="273" spans="1:12" ht="15" customHeight="1" x14ac:dyDescent="0.35">
      <c r="A273" s="101">
        <v>269</v>
      </c>
      <c r="B273" s="69">
        <f t="shared" si="4"/>
      </c>
      <c r="C273" s="317"/>
      <c r="D273" s="70">
        <f>IF($C273="","",IFERROR(IF(INDEX(SS_Risk,MATCH($C273,SS_ID,0))="","",INDEX(SS_Risk,MATCH($C273,SS_ID,0))),""))</f>
      </c>
      <c r="E273" s="317"/>
      <c r="F273" s="61"/>
      <c r="G273" s="61"/>
      <c r="H273" s="61"/>
      <c r="I273" s="61"/>
      <c r="J273" s="61"/>
      <c r="K273" s="61"/>
      <c r="L273" s="319"/>
    </row>
    <row r="274" spans="1:12" ht="15" customHeight="1" x14ac:dyDescent="0.35">
      <c r="A274" s="101">
        <v>270</v>
      </c>
      <c r="B274" s="69">
        <f t="shared" si="4"/>
      </c>
      <c r="C274" s="317"/>
      <c r="D274" s="70">
        <f>IF($C274="","",IFERROR(IF(INDEX(SS_Risk,MATCH($C274,SS_ID,0))="","",INDEX(SS_Risk,MATCH($C274,SS_ID,0))),""))</f>
      </c>
      <c r="E274" s="317"/>
      <c r="F274" s="61"/>
      <c r="G274" s="61"/>
      <c r="H274" s="61"/>
      <c r="I274" s="61"/>
      <c r="J274" s="61"/>
      <c r="K274" s="61"/>
      <c r="L274" s="319"/>
    </row>
    <row r="275" spans="1:12" ht="15" customHeight="1" x14ac:dyDescent="0.35">
      <c r="A275" s="101">
        <v>271</v>
      </c>
      <c r="B275" s="69">
        <f t="shared" si="4"/>
      </c>
      <c r="C275" s="317"/>
      <c r="D275" s="70">
        <f>IF($C275="","",IFERROR(IF(INDEX(SS_Risk,MATCH($C275,SS_ID,0))="","",INDEX(SS_Risk,MATCH($C275,SS_ID,0))),""))</f>
      </c>
      <c r="E275" s="317"/>
      <c r="F275" s="61"/>
      <c r="G275" s="61"/>
      <c r="H275" s="61"/>
      <c r="I275" s="61"/>
      <c r="J275" s="61"/>
      <c r="K275" s="61"/>
      <c r="L275" s="319"/>
    </row>
    <row r="276" spans="1:12" ht="15" customHeight="1" x14ac:dyDescent="0.35">
      <c r="A276" s="101">
        <v>272</v>
      </c>
      <c r="B276" s="69">
        <f t="shared" si="4"/>
      </c>
      <c r="C276" s="317"/>
      <c r="D276" s="70">
        <f>IF($C276="","",IFERROR(IF(INDEX(SS_Risk,MATCH($C276,SS_ID,0))="","",INDEX(SS_Risk,MATCH($C276,SS_ID,0))),""))</f>
      </c>
      <c r="E276" s="317"/>
      <c r="F276" s="61"/>
      <c r="G276" s="61"/>
      <c r="H276" s="61"/>
      <c r="I276" s="61"/>
      <c r="J276" s="61"/>
      <c r="K276" s="61"/>
      <c r="L276" s="319"/>
    </row>
    <row r="277" spans="1:12" ht="15" customHeight="1" x14ac:dyDescent="0.35">
      <c r="A277" s="101">
        <v>273</v>
      </c>
      <c r="B277" s="69">
        <f t="shared" si="4"/>
      </c>
      <c r="C277" s="317"/>
      <c r="D277" s="70">
        <f>IF($C277="","",IFERROR(IF(INDEX(SS_Risk,MATCH($C277,SS_ID,0))="","",INDEX(SS_Risk,MATCH($C277,SS_ID,0))),""))</f>
      </c>
      <c r="E277" s="317"/>
      <c r="F277" s="61"/>
      <c r="G277" s="61"/>
      <c r="H277" s="61"/>
      <c r="I277" s="61"/>
      <c r="J277" s="61"/>
      <c r="K277" s="61"/>
      <c r="L277" s="319"/>
    </row>
    <row r="278" spans="1:12" ht="15" customHeight="1" x14ac:dyDescent="0.35">
      <c r="A278" s="101">
        <v>274</v>
      </c>
      <c r="B278" s="69">
        <f t="shared" si="4"/>
      </c>
      <c r="C278" s="317"/>
      <c r="D278" s="70">
        <f>IF($C278="","",IFERROR(IF(INDEX(SS_Risk,MATCH($C278,SS_ID,0))="","",INDEX(SS_Risk,MATCH($C278,SS_ID,0))),""))</f>
      </c>
      <c r="E278" s="317"/>
      <c r="F278" s="61"/>
      <c r="G278" s="61"/>
      <c r="H278" s="61"/>
      <c r="I278" s="61"/>
      <c r="J278" s="61"/>
      <c r="K278" s="61"/>
      <c r="L278" s="319"/>
    </row>
    <row r="279" spans="1:12" ht="15" customHeight="1" x14ac:dyDescent="0.35">
      <c r="A279" s="101">
        <v>275</v>
      </c>
      <c r="B279" s="69">
        <f t="shared" si="4"/>
      </c>
      <c r="C279" s="317"/>
      <c r="D279" s="70">
        <f>IF($C279="","",IFERROR(IF(INDEX(SS_Risk,MATCH($C279,SS_ID,0))="","",INDEX(SS_Risk,MATCH($C279,SS_ID,0))),""))</f>
      </c>
      <c r="E279" s="317"/>
      <c r="F279" s="61"/>
      <c r="G279" s="61"/>
      <c r="H279" s="61"/>
      <c r="I279" s="61"/>
      <c r="J279" s="61"/>
      <c r="K279" s="61"/>
      <c r="L279" s="319"/>
    </row>
    <row r="280" spans="1:12" ht="15" customHeight="1" x14ac:dyDescent="0.35">
      <c r="A280" s="101">
        <v>276</v>
      </c>
      <c r="B280" s="69">
        <f t="shared" si="4"/>
      </c>
      <c r="C280" s="317"/>
      <c r="D280" s="70">
        <f>IF($C280="","",IFERROR(IF(INDEX(SS_Risk,MATCH($C280,SS_ID,0))="","",INDEX(SS_Risk,MATCH($C280,SS_ID,0))),""))</f>
      </c>
      <c r="E280" s="317"/>
      <c r="F280" s="61"/>
      <c r="G280" s="61"/>
      <c r="H280" s="61"/>
      <c r="I280" s="61"/>
      <c r="J280" s="61"/>
      <c r="K280" s="61"/>
      <c r="L280" s="319"/>
    </row>
    <row r="281" spans="1:12" ht="15" customHeight="1" x14ac:dyDescent="0.35">
      <c r="A281" s="101">
        <v>277</v>
      </c>
      <c r="B281" s="69">
        <f t="shared" si="4"/>
      </c>
      <c r="C281" s="317"/>
      <c r="D281" s="70">
        <f>IF($C281="","",IFERROR(IF(INDEX(SS_Risk,MATCH($C281,SS_ID,0))="","",INDEX(SS_Risk,MATCH($C281,SS_ID,0))),""))</f>
      </c>
      <c r="E281" s="317"/>
      <c r="F281" s="61"/>
      <c r="G281" s="61"/>
      <c r="H281" s="61"/>
      <c r="I281" s="61"/>
      <c r="J281" s="61"/>
      <c r="K281" s="61"/>
      <c r="L281" s="319"/>
    </row>
    <row r="282" spans="1:12" ht="15" customHeight="1" x14ac:dyDescent="0.35">
      <c r="A282" s="101">
        <v>278</v>
      </c>
      <c r="B282" s="69">
        <f t="shared" si="4"/>
      </c>
      <c r="C282" s="317"/>
      <c r="D282" s="70">
        <f>IF($C282="","",IFERROR(IF(INDEX(SS_Risk,MATCH($C282,SS_ID,0))="","",INDEX(SS_Risk,MATCH($C282,SS_ID,0))),""))</f>
      </c>
      <c r="E282" s="317"/>
      <c r="F282" s="61"/>
      <c r="G282" s="61"/>
      <c r="H282" s="61"/>
      <c r="I282" s="61"/>
      <c r="J282" s="61"/>
      <c r="K282" s="61"/>
      <c r="L282" s="319"/>
    </row>
    <row r="283" spans="1:12" ht="15" customHeight="1" x14ac:dyDescent="0.35">
      <c r="A283" s="101">
        <v>279</v>
      </c>
      <c r="B283" s="69">
        <f t="shared" si="4"/>
      </c>
      <c r="C283" s="317"/>
      <c r="D283" s="70">
        <f>IF($C283="","",IFERROR(IF(INDEX(SS_Risk,MATCH($C283,SS_ID,0))="","",INDEX(SS_Risk,MATCH($C283,SS_ID,0))),""))</f>
      </c>
      <c r="E283" s="317"/>
      <c r="F283" s="61"/>
      <c r="G283" s="61"/>
      <c r="H283" s="61"/>
      <c r="I283" s="61"/>
      <c r="J283" s="61"/>
      <c r="K283" s="61"/>
      <c r="L283" s="319"/>
    </row>
    <row r="284" spans="1:12" ht="15" customHeight="1" x14ac:dyDescent="0.35">
      <c r="A284" s="101">
        <v>280</v>
      </c>
      <c r="B284" s="69">
        <f t="shared" si="4"/>
      </c>
      <c r="C284" s="317"/>
      <c r="D284" s="70">
        <f>IF($C284="","",IFERROR(IF(INDEX(SS_Risk,MATCH($C284,SS_ID,0))="","",INDEX(SS_Risk,MATCH($C284,SS_ID,0))),""))</f>
      </c>
      <c r="E284" s="317"/>
      <c r="F284" s="61"/>
      <c r="G284" s="61"/>
      <c r="H284" s="61"/>
      <c r="I284" s="61"/>
      <c r="J284" s="61"/>
      <c r="K284" s="61"/>
      <c r="L284" s="319"/>
    </row>
    <row r="285" spans="1:12" ht="15" customHeight="1" x14ac:dyDescent="0.35">
      <c r="A285" s="101">
        <v>281</v>
      </c>
      <c r="B285" s="69">
        <f t="shared" si="4"/>
      </c>
      <c r="C285" s="317"/>
      <c r="D285" s="70">
        <f>IF($C285="","",IFERROR(IF(INDEX(SS_Risk,MATCH($C285,SS_ID,0))="","",INDEX(SS_Risk,MATCH($C285,SS_ID,0))),""))</f>
      </c>
      <c r="E285" s="317"/>
      <c r="F285" s="61"/>
      <c r="G285" s="61"/>
      <c r="H285" s="61"/>
      <c r="I285" s="61"/>
      <c r="J285" s="61"/>
      <c r="K285" s="61"/>
      <c r="L285" s="319"/>
    </row>
    <row r="286" spans="1:12" ht="15" customHeight="1" x14ac:dyDescent="0.35">
      <c r="A286" s="101">
        <v>282</v>
      </c>
      <c r="B286" s="69">
        <f t="shared" si="4"/>
      </c>
      <c r="C286" s="317"/>
      <c r="D286" s="70">
        <f>IF($C286="","",IFERROR(IF(INDEX(SS_Risk,MATCH($C286,SS_ID,0))="","",INDEX(SS_Risk,MATCH($C286,SS_ID,0))),""))</f>
      </c>
      <c r="E286" s="317"/>
      <c r="F286" s="61"/>
      <c r="G286" s="61"/>
      <c r="H286" s="61"/>
      <c r="I286" s="61"/>
      <c r="J286" s="61"/>
      <c r="K286" s="61"/>
      <c r="L286" s="319"/>
    </row>
    <row r="287" spans="1:12" ht="15" customHeight="1" x14ac:dyDescent="0.35">
      <c r="A287" s="101">
        <v>283</v>
      </c>
      <c r="B287" s="69">
        <f t="shared" si="4"/>
      </c>
      <c r="C287" s="317"/>
      <c r="D287" s="70">
        <f>IF($C287="","",IFERROR(IF(INDEX(SS_Risk,MATCH($C287,SS_ID,0))="","",INDEX(SS_Risk,MATCH($C287,SS_ID,0))),""))</f>
      </c>
      <c r="E287" s="317"/>
      <c r="F287" s="61"/>
      <c r="G287" s="61"/>
      <c r="H287" s="61"/>
      <c r="I287" s="61"/>
      <c r="J287" s="61"/>
      <c r="K287" s="61"/>
      <c r="L287" s="319"/>
    </row>
    <row r="288" spans="1:12" ht="15" customHeight="1" x14ac:dyDescent="0.35">
      <c r="A288" s="101">
        <v>284</v>
      </c>
      <c r="B288" s="69">
        <f t="shared" si="4"/>
      </c>
      <c r="C288" s="317"/>
      <c r="D288" s="70">
        <f>IF($C288="","",IFERROR(IF(INDEX(SS_Risk,MATCH($C288,SS_ID,0))="","",INDEX(SS_Risk,MATCH($C288,SS_ID,0))),""))</f>
      </c>
      <c r="E288" s="317"/>
      <c r="F288" s="61"/>
      <c r="G288" s="61"/>
      <c r="H288" s="61"/>
      <c r="I288" s="61"/>
      <c r="J288" s="61"/>
      <c r="K288" s="61"/>
      <c r="L288" s="319"/>
    </row>
    <row r="289" spans="1:12" ht="15" customHeight="1" x14ac:dyDescent="0.35">
      <c r="A289" s="101">
        <v>285</v>
      </c>
      <c r="B289" s="69">
        <f t="shared" si="4"/>
      </c>
      <c r="C289" s="317"/>
      <c r="D289" s="70">
        <f>IF($C289="","",IFERROR(IF(INDEX(SS_Risk,MATCH($C289,SS_ID,0))="","",INDEX(SS_Risk,MATCH($C289,SS_ID,0))),""))</f>
      </c>
      <c r="E289" s="317"/>
      <c r="F289" s="61"/>
      <c r="G289" s="61"/>
      <c r="H289" s="61"/>
      <c r="I289" s="61"/>
      <c r="J289" s="61"/>
      <c r="K289" s="61"/>
      <c r="L289" s="319"/>
    </row>
    <row r="290" spans="1:12" ht="15" customHeight="1" x14ac:dyDescent="0.35">
      <c r="A290" s="101">
        <v>286</v>
      </c>
      <c r="B290" s="69">
        <f t="shared" si="4"/>
      </c>
      <c r="C290" s="317"/>
      <c r="D290" s="70">
        <f>IF($C290="","",IFERROR(IF(INDEX(SS_Risk,MATCH($C290,SS_ID,0))="","",INDEX(SS_Risk,MATCH($C290,SS_ID,0))),""))</f>
      </c>
      <c r="E290" s="317"/>
      <c r="F290" s="61"/>
      <c r="G290" s="61"/>
      <c r="H290" s="61"/>
      <c r="I290" s="61"/>
      <c r="J290" s="61"/>
      <c r="K290" s="61"/>
      <c r="L290" s="319"/>
    </row>
    <row r="291" spans="1:12" ht="15" customHeight="1" x14ac:dyDescent="0.35">
      <c r="A291" s="101">
        <v>287</v>
      </c>
      <c r="B291" s="69">
        <f t="shared" si="4"/>
      </c>
      <c r="C291" s="317"/>
      <c r="D291" s="70">
        <f>IF($C291="","",IFERROR(IF(INDEX(SS_Risk,MATCH($C291,SS_ID,0))="","",INDEX(SS_Risk,MATCH($C291,SS_ID,0))),""))</f>
      </c>
      <c r="E291" s="317"/>
      <c r="F291" s="61"/>
      <c r="G291" s="61"/>
      <c r="H291" s="61"/>
      <c r="I291" s="61"/>
      <c r="J291" s="61"/>
      <c r="K291" s="61"/>
      <c r="L291" s="319"/>
    </row>
    <row r="292" spans="1:12" ht="15" customHeight="1" x14ac:dyDescent="0.35">
      <c r="A292" s="101">
        <v>288</v>
      </c>
      <c r="B292" s="69">
        <f t="shared" si="4"/>
      </c>
      <c r="C292" s="317"/>
      <c r="D292" s="70">
        <f>IF($C292="","",IFERROR(IF(INDEX(SS_Risk,MATCH($C292,SS_ID,0))="","",INDEX(SS_Risk,MATCH($C292,SS_ID,0))),""))</f>
      </c>
      <c r="E292" s="317"/>
      <c r="F292" s="61"/>
      <c r="G292" s="61"/>
      <c r="H292" s="61"/>
      <c r="I292" s="61"/>
      <c r="J292" s="61"/>
      <c r="K292" s="61"/>
      <c r="L292" s="319"/>
    </row>
    <row r="293" spans="1:12" ht="15" customHeight="1" x14ac:dyDescent="0.35">
      <c r="A293" s="101">
        <v>289</v>
      </c>
      <c r="B293" s="69">
        <f t="shared" si="4"/>
      </c>
      <c r="C293" s="317"/>
      <c r="D293" s="70">
        <f>IF($C293="","",IFERROR(IF(INDEX(SS_Risk,MATCH($C293,SS_ID,0))="","",INDEX(SS_Risk,MATCH($C293,SS_ID,0))),""))</f>
      </c>
      <c r="E293" s="317"/>
      <c r="F293" s="61"/>
      <c r="G293" s="61"/>
      <c r="H293" s="61"/>
      <c r="I293" s="61"/>
      <c r="J293" s="61"/>
      <c r="K293" s="61"/>
      <c r="L293" s="319"/>
    </row>
    <row r="294" spans="1:12" ht="15" customHeight="1" x14ac:dyDescent="0.35">
      <c r="A294" s="101">
        <v>290</v>
      </c>
      <c r="B294" s="69">
        <f t="shared" si="4"/>
      </c>
      <c r="C294" s="317"/>
      <c r="D294" s="70">
        <f>IF($C294="","",IFERROR(IF(INDEX(SS_Risk,MATCH($C294,SS_ID,0))="","",INDEX(SS_Risk,MATCH($C294,SS_ID,0))),""))</f>
      </c>
      <c r="E294" s="317"/>
      <c r="F294" s="61"/>
      <c r="G294" s="61"/>
      <c r="H294" s="61"/>
      <c r="I294" s="61"/>
      <c r="J294" s="61"/>
      <c r="K294" s="61"/>
      <c r="L294" s="319"/>
    </row>
    <row r="295" spans="1:12" ht="15" customHeight="1" x14ac:dyDescent="0.35">
      <c r="A295" s="101">
        <v>291</v>
      </c>
      <c r="B295" s="69">
        <f t="shared" si="4"/>
      </c>
      <c r="C295" s="317"/>
      <c r="D295" s="70">
        <f>IF($C295="","",IFERROR(IF(INDEX(SS_Risk,MATCH($C295,SS_ID,0))="","",INDEX(SS_Risk,MATCH($C295,SS_ID,0))),""))</f>
      </c>
      <c r="E295" s="317"/>
      <c r="F295" s="61"/>
      <c r="G295" s="61"/>
      <c r="H295" s="61"/>
      <c r="I295" s="61"/>
      <c r="J295" s="61"/>
      <c r="K295" s="61"/>
      <c r="L295" s="319"/>
    </row>
    <row r="296" spans="1:12" ht="15" customHeight="1" x14ac:dyDescent="0.35">
      <c r="A296" s="101">
        <v>292</v>
      </c>
      <c r="B296" s="69">
        <f t="shared" si="4"/>
      </c>
      <c r="C296" s="317"/>
      <c r="D296" s="70">
        <f>IF($C296="","",IFERROR(IF(INDEX(SS_Risk,MATCH($C296,SS_ID,0))="","",INDEX(SS_Risk,MATCH($C296,SS_ID,0))),""))</f>
      </c>
      <c r="E296" s="317"/>
      <c r="F296" s="61"/>
      <c r="G296" s="61"/>
      <c r="H296" s="61"/>
      <c r="I296" s="61"/>
      <c r="J296" s="61"/>
      <c r="K296" s="61"/>
      <c r="L296" s="319"/>
    </row>
    <row r="297" spans="1:12" ht="15" customHeight="1" x14ac:dyDescent="0.35">
      <c r="A297" s="101">
        <v>293</v>
      </c>
      <c r="B297" s="69">
        <f t="shared" si="4"/>
      </c>
      <c r="C297" s="317"/>
      <c r="D297" s="70">
        <f>IF($C297="","",IFERROR(IF(INDEX(SS_Risk,MATCH($C297,SS_ID,0))="","",INDEX(SS_Risk,MATCH($C297,SS_ID,0))),""))</f>
      </c>
      <c r="E297" s="317"/>
      <c r="F297" s="61"/>
      <c r="G297" s="61"/>
      <c r="H297" s="61"/>
      <c r="I297" s="61"/>
      <c r="J297" s="61"/>
      <c r="K297" s="61"/>
      <c r="L297" s="319"/>
    </row>
    <row r="298" spans="1:12" ht="15" customHeight="1" x14ac:dyDescent="0.35">
      <c r="A298" s="101">
        <v>294</v>
      </c>
      <c r="B298" s="69">
        <f t="shared" si="4"/>
      </c>
      <c r="C298" s="317"/>
      <c r="D298" s="70">
        <f>IF($C298="","",IFERROR(IF(INDEX(SS_Risk,MATCH($C298,SS_ID,0))="","",INDEX(SS_Risk,MATCH($C298,SS_ID,0))),""))</f>
      </c>
      <c r="E298" s="317"/>
      <c r="F298" s="61"/>
      <c r="G298" s="61"/>
      <c r="H298" s="61"/>
      <c r="I298" s="61"/>
      <c r="J298" s="61"/>
      <c r="K298" s="61"/>
      <c r="L298" s="319"/>
    </row>
    <row r="299" spans="1:12" ht="15" customHeight="1" x14ac:dyDescent="0.35">
      <c r="A299" s="101">
        <v>295</v>
      </c>
      <c r="B299" s="69">
        <f t="shared" si="4"/>
      </c>
      <c r="C299" s="317"/>
      <c r="D299" s="70">
        <f>IF($C299="","",IFERROR(IF(INDEX(SS_Risk,MATCH($C299,SS_ID,0))="","",INDEX(SS_Risk,MATCH($C299,SS_ID,0))),""))</f>
      </c>
      <c r="E299" s="317"/>
      <c r="F299" s="61"/>
      <c r="G299" s="61"/>
      <c r="H299" s="61"/>
      <c r="I299" s="61"/>
      <c r="J299" s="61"/>
      <c r="K299" s="61"/>
      <c r="L299" s="319"/>
    </row>
    <row r="300" spans="1:12" ht="15" customHeight="1" x14ac:dyDescent="0.35">
      <c r="A300" s="101">
        <v>296</v>
      </c>
      <c r="B300" s="69">
        <f t="shared" si="4"/>
      </c>
      <c r="C300" s="317"/>
      <c r="D300" s="70">
        <f>IF($C300="","",IFERROR(IF(INDEX(SS_Risk,MATCH($C300,SS_ID,0))="","",INDEX(SS_Risk,MATCH($C300,SS_ID,0))),""))</f>
      </c>
      <c r="E300" s="317"/>
      <c r="F300" s="61"/>
      <c r="G300" s="61"/>
      <c r="H300" s="61"/>
      <c r="I300" s="61"/>
      <c r="J300" s="61"/>
      <c r="K300" s="61"/>
      <c r="L300" s="319"/>
    </row>
    <row r="301" spans="1:12" ht="15" customHeight="1" x14ac:dyDescent="0.35">
      <c r="A301" s="101">
        <v>297</v>
      </c>
      <c r="B301" s="69">
        <f t="shared" si="4"/>
      </c>
      <c r="C301" s="317"/>
      <c r="D301" s="70">
        <f>IF($C301="","",IFERROR(IF(INDEX(SS_Risk,MATCH($C301,SS_ID,0))="","",INDEX(SS_Risk,MATCH($C301,SS_ID,0))),""))</f>
      </c>
      <c r="E301" s="317"/>
      <c r="F301" s="61"/>
      <c r="G301" s="61"/>
      <c r="H301" s="61"/>
      <c r="I301" s="61"/>
      <c r="J301" s="61"/>
      <c r="K301" s="61"/>
      <c r="L301" s="319"/>
    </row>
    <row r="302" spans="1:12" ht="15" customHeight="1" x14ac:dyDescent="0.35">
      <c r="A302" s="101">
        <v>298</v>
      </c>
      <c r="B302" s="69">
        <f t="shared" si="4"/>
      </c>
      <c r="C302" s="317"/>
      <c r="D302" s="70">
        <f>IF($C302="","",IFERROR(IF(INDEX(SS_Risk,MATCH($C302,SS_ID,0))="","",INDEX(SS_Risk,MATCH($C302,SS_ID,0))),""))</f>
      </c>
      <c r="E302" s="317"/>
      <c r="F302" s="61"/>
      <c r="G302" s="61"/>
      <c r="H302" s="61"/>
      <c r="I302" s="61"/>
      <c r="J302" s="61"/>
      <c r="K302" s="61"/>
      <c r="L302" s="319"/>
    </row>
    <row r="303" spans="1:12" ht="15" customHeight="1" x14ac:dyDescent="0.35">
      <c r="A303" s="101">
        <v>299</v>
      </c>
      <c r="B303" s="69">
        <f t="shared" si="4"/>
      </c>
      <c r="C303" s="317"/>
      <c r="D303" s="70">
        <f>IF($C303="","",IFERROR(IF(INDEX(SS_Risk,MATCH($C303,SS_ID,0))="","",INDEX(SS_Risk,MATCH($C303,SS_ID,0))),""))</f>
      </c>
      <c r="E303" s="317"/>
      <c r="F303" s="61"/>
      <c r="G303" s="61"/>
      <c r="H303" s="61"/>
      <c r="I303" s="61"/>
      <c r="J303" s="61"/>
      <c r="K303" s="61"/>
      <c r="L303" s="319"/>
    </row>
    <row r="304" spans="1:12" ht="15" customHeight="1" x14ac:dyDescent="0.35">
      <c r="A304" s="106">
        <v>300</v>
      </c>
      <c r="B304" s="107">
        <f t="shared" si="4"/>
      </c>
      <c r="C304" s="318"/>
      <c r="D304" s="109">
        <f>IF($C304="","",IFERROR(IF(INDEX(SS_Risk,MATCH($C304,SS_ID,0))="","",INDEX(SS_Risk,MATCH($C304,SS_ID,0))),""))</f>
      </c>
      <c r="E304" s="318"/>
      <c r="F304" s="110"/>
      <c r="G304" s="110"/>
      <c r="H304" s="110"/>
      <c r="I304" s="110"/>
      <c r="J304" s="110"/>
      <c r="K304" s="110"/>
      <c r="L304" s="320"/>
    </row>
  </sheetData>
  <sheetProtection selectLockedCells="1"/>
  <mergeCells count="2">
    <mergeCell ref="A1:L1"/>
    <mergeCell ref="A2:L2"/>
  </mergeCells>
  <conditionalFormatting sqref="C5:C304 E5:E304 K5:L304">
    <cfRule type="expression" dxfId="250" priority="1">
      <formula>AND($F5&lt;&gt;"",C5="")</formula>
    </cfRule>
  </conditionalFormatting>
  <dataValidations count="3">
    <dataValidation type="list" allowBlank="1" sqref="C5:C304" xr:uid="{00000000-0002-0000-0D00-000000000000}">
      <formula1>SSIDs</formula1>
      <formula2>0</formula2>
    </dataValidation>
    <dataValidation type="list" allowBlank="1" sqref="E5:E304" xr:uid="{00000000-0002-0000-0D00-000001000000}">
      <formula1>lstReqCat</formula1>
      <formula2>0</formula2>
    </dataValidation>
    <dataValidation type="list" allowBlank="1" showInputMessage="1" showErrorMessage="1" errorTitle="Invalid readiness status" error="Select Ready or In Progress." promptTitle="Requirement readiness" prompt="Select Ready when available and verified; otherwise select In Progress." sqref="L5:L304" xr:uid="{20CB0B26-D0AE-4FB0-AA97-6562154E1F42}">
      <formula1>"Ready,In Progress"</formula1>
    </dataValidation>
  </dataValidations>
  <pageMargins left="0.75" right="0.75" top="1" bottom="1" header="0.511811023622047" footer="0.51180555555555596"/>
  <pageSetup paperSize="9" orientation="portrait" horizontalDpi="300" verticalDpi="300"/>
  <headerFooter>
    <oddFooter>&amp;L&amp;A&amp;RPage &amp;P of &amp;N</oddFooter>
  </headerFooter>
  <legacyDrawing r:id="rId1"/>
  <tableParts count="1">
    <tablePart r:id="rId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92882"/>
  </sheetPr>
  <dimension ref="A1:U204"/>
  <sheetViews>
    <sheetView showGridLines="0" zoomScale="55" zoomScaleNormal="55" workbookViewId="0">
      <pane ySplit="4" topLeftCell="A5" activePane="bottomLeft" state="frozen"/>
      <selection pane="bottomLeft" activeCell="A3" sqref="A3"/>
    </sheetView>
  </sheetViews>
  <sheetFormatPr defaultColWidth="8.54296875" defaultRowHeight="14.5" x14ac:dyDescent="0.35"/>
  <cols>
    <col min="1" max="1" width="12" bestFit="1" customWidth="1"/>
    <col min="2" max="2" width="14.26953125" bestFit="1" customWidth="1"/>
    <col min="3" max="3" width="27.81640625" bestFit="1" customWidth="1"/>
    <col min="4" max="4" width="24" bestFit="1" customWidth="1"/>
    <col min="5" max="5" width="37.453125" bestFit="1" customWidth="1"/>
    <col min="6" max="6" width="30.81640625" bestFit="1" customWidth="1"/>
    <col min="7" max="8" width="21.453125" bestFit="1" customWidth="1"/>
    <col min="9" max="10" width="24.81640625" bestFit="1" customWidth="1"/>
    <col min="11" max="11" width="19.7265625" bestFit="1" customWidth="1"/>
    <col min="12" max="12" width="24.81640625" bestFit="1" customWidth="1"/>
    <col min="13" max="13" width="20.453125" bestFit="1" customWidth="1"/>
    <col min="14" max="14" width="21.453125" bestFit="1" customWidth="1"/>
    <col min="15" max="15" width="14.7265625" bestFit="1" customWidth="1"/>
    <col min="16" max="16" width="21.54296875" bestFit="1" customWidth="1"/>
    <col min="17" max="17" width="20.7265625" bestFit="1" customWidth="1"/>
    <col min="18" max="18" width="23.1796875" bestFit="1" customWidth="1"/>
    <col min="19" max="20" width="23.7265625" hidden="1" customWidth="1"/>
    <col min="21" max="21" width="17.7265625" bestFit="1" customWidth="1"/>
  </cols>
  <sheetData>
    <row r="1" spans="1:21" ht="18" customHeight="1" x14ac:dyDescent="0.35">
      <c r="A1" s="236" t="s">
        <v>300</v>
      </c>
      <c r="B1" s="276"/>
      <c r="C1" s="276"/>
      <c r="D1" s="276"/>
      <c r="E1" s="276"/>
      <c r="F1" s="276"/>
      <c r="G1" s="276"/>
      <c r="H1" s="276"/>
      <c r="I1" s="276"/>
      <c r="J1" s="276"/>
      <c r="K1" s="276"/>
      <c r="L1" s="276"/>
      <c r="M1" s="276"/>
      <c r="N1" s="276"/>
      <c r="O1" s="276"/>
      <c r="P1" s="276"/>
      <c r="Q1" s="276"/>
      <c r="R1" s="276"/>
    </row>
    <row r="2" spans="1:21" ht="16.5" x14ac:dyDescent="0.35">
      <c r="A2" s="237"/>
      <c r="B2" s="276"/>
      <c r="C2" s="276"/>
      <c r="D2" s="276"/>
      <c r="E2" s="276"/>
      <c r="F2" s="276"/>
      <c r="G2" s="276"/>
      <c r="H2" s="276"/>
      <c r="I2" s="276"/>
      <c r="J2" s="276"/>
      <c r="K2" s="276"/>
      <c r="L2" s="276"/>
      <c r="M2" s="276"/>
      <c r="N2" s="276"/>
      <c r="O2" s="276"/>
      <c r="P2" s="276"/>
      <c r="Q2" s="276"/>
      <c r="R2" s="276"/>
    </row>
    <row r="3" spans="1:21" x14ac:dyDescent="0.35">
      <c r="C3" s="47"/>
      <c r="F3" s="47"/>
    </row>
    <row r="4" spans="1:21" ht="21" customHeight="1" x14ac:dyDescent="0.35">
      <c r="A4" s="112" t="s">
        <v>131</v>
      </c>
      <c r="B4" s="113" t="s">
        <v>301</v>
      </c>
      <c r="C4" s="113" t="s">
        <v>302</v>
      </c>
      <c r="D4" s="113" t="s">
        <v>303</v>
      </c>
      <c r="E4" s="113" t="s">
        <v>304</v>
      </c>
      <c r="F4" s="113" t="s">
        <v>305</v>
      </c>
      <c r="G4" s="113" t="s">
        <v>306</v>
      </c>
      <c r="H4" s="113" t="s">
        <v>307</v>
      </c>
      <c r="I4" s="113" t="s">
        <v>308</v>
      </c>
      <c r="J4" s="113" t="s">
        <v>309</v>
      </c>
      <c r="K4" s="113" t="s">
        <v>310</v>
      </c>
      <c r="L4" s="113" t="s">
        <v>311</v>
      </c>
      <c r="M4" s="113" t="s">
        <v>312</v>
      </c>
      <c r="N4" s="113" t="s">
        <v>313</v>
      </c>
      <c r="O4" s="113" t="s">
        <v>314</v>
      </c>
      <c r="P4" s="113" t="s">
        <v>315</v>
      </c>
      <c r="Q4" s="113" t="s">
        <v>316</v>
      </c>
      <c r="R4" s="113" t="s">
        <v>317</v>
      </c>
      <c r="S4" s="113" t="s">
        <v>318</v>
      </c>
      <c r="T4" s="114" t="s">
        <v>319</v>
      </c>
    </row>
    <row r="5" spans="1:21" ht="21" customHeight="1" x14ac:dyDescent="0.35">
      <c r="A5" s="183">
        <f>ROW()-4</f>
      </c>
      <c r="B5" s="185">
        <f t="shared" ref="B5:B36" si="0">IF(AND($C5="",$D5="",$E5=""),"","DR-"&amp;TEXT($A5,"000"))</f>
      </c>
      <c r="C5" s="328"/>
      <c r="D5" s="327"/>
      <c r="E5" s="325"/>
      <c r="F5" s="14"/>
      <c r="G5" s="1"/>
      <c r="H5" s="1"/>
      <c r="I5" s="1"/>
      <c r="J5" s="1"/>
      <c r="K5" s="321"/>
      <c r="L5" s="14"/>
      <c r="M5" s="65"/>
      <c r="N5" s="65"/>
      <c r="O5" s="323"/>
      <c r="P5" s="186">
        <f>IF($M5="","",EDATE($M5,12))</f>
      </c>
      <c r="Q5" s="187">
        <f ca="1">IF($E5="","",IF($K5="None (gap)","GAP - no DR",IF(OR($S5="Not Assessed",$T5="Not Assessed"),"Recovery Targets Incomplete",IF($M5="","Not Tested",IF(AND($P5&lt;&gt;"",$P5&lt;TODAY()),"Test Overdue",IF($O5="","Not Tested",IF($O5&lt;&gt;"Pass","Retest Required",IF(OR($S5&lt;&gt;"RTO Complied",$T5&lt;&gt;"RPO Complied"),"Recovery Not Compliant","Tested &amp; Current"))))))))</f>
      </c>
      <c r="R5" s="14"/>
      <c r="S5" s="187">
        <f>IF($E5="","",IF(OR(NOT(ISNUMBER($G5)),NOT(ISNUMBER($I5))),"Not Assessed",IF($I5&lt;=$G5,"RTO Complied","RTO Not Complied")))</f>
      </c>
      <c r="T5" s="190">
        <f>IF($E5="","",IF(OR(NOT(ISNUMBER($H5)),NOT(ISNUMBER($J5))),"Not Assessed",IF($J5&lt;=$H5,"RPO Complied","RPO Not Complied")))</f>
      </c>
    </row>
    <row r="6" spans="1:21" ht="21" customHeight="1" x14ac:dyDescent="0.35">
      <c r="A6" s="183">
        <f t="shared" ref="A6:A69" si="1">ROW()-4</f>
      </c>
      <c r="B6" s="185">
        <f t="shared" si="0"/>
      </c>
      <c r="C6" s="328"/>
      <c r="D6" s="327"/>
      <c r="E6" s="325"/>
      <c r="F6" s="14"/>
      <c r="G6" s="1"/>
      <c r="H6" s="1"/>
      <c r="I6" s="1"/>
      <c r="J6" s="1"/>
      <c r="K6" s="321"/>
      <c r="L6" s="14"/>
      <c r="M6" s="65"/>
      <c r="N6" s="65"/>
      <c r="O6" s="323"/>
      <c r="P6" s="186">
        <f t="shared" ref="P6:P69" si="2">IF($M6="","",EDATE($M6,12))</f>
      </c>
      <c r="Q6" s="187">
        <f t="shared" ref="Q6:Q69" ca="1" si="3">IF($E6="","",IF($K6="None (gap)","GAP - no DR",IF(OR($S6="Not Assessed",$T6="Not Assessed"),"Recovery Targets Incomplete",IF($M6="","Not Tested",IF(AND($P6&lt;&gt;"",$P6&lt;TODAY()),"Test Overdue",IF($O6="","Not Tested",IF($O6&lt;&gt;"Pass","Retest Required",IF(OR($S6&lt;&gt;"RTO Complied",$T6&lt;&gt;"RPO Complied"),"Recovery Not Compliant","Tested &amp; Current"))))))))</f>
      </c>
      <c r="R6" s="14"/>
      <c r="S6" s="187">
        <f t="shared" ref="S6:S69" si="4">IF($E6="","",IF(OR(NOT(ISNUMBER($G6)),NOT(ISNUMBER($I6))),"Not Assessed",IF($I6&lt;=$G6,"RTO Complied","RTO Not Complied")))</f>
      </c>
      <c r="T6" s="190">
        <f t="shared" ref="T6:T69" si="5">IF($E6="","",IF(OR(NOT(ISNUMBER($H6)),NOT(ISNUMBER($J6))),"Not Assessed",IF($J6&lt;=$H6,"RPO Complied","RPO Not Complied")))</f>
      </c>
    </row>
    <row r="7" spans="1:21" ht="21" customHeight="1" x14ac:dyDescent="0.35">
      <c r="A7" s="183">
        <f t="shared" si="1"/>
      </c>
      <c r="B7" s="185">
        <f t="shared" si="0"/>
      </c>
      <c r="C7" s="328"/>
      <c r="D7" s="327"/>
      <c r="E7" s="325"/>
      <c r="F7" s="14"/>
      <c r="G7" s="1"/>
      <c r="H7" s="1"/>
      <c r="I7" s="1"/>
      <c r="J7" s="1"/>
      <c r="K7" s="321"/>
      <c r="L7" s="14"/>
      <c r="M7" s="65"/>
      <c r="N7" s="65"/>
      <c r="O7" s="323"/>
      <c r="P7" s="186">
        <f t="shared" si="2"/>
      </c>
      <c r="Q7" s="187">
        <f t="shared" ca="1" si="3"/>
      </c>
      <c r="R7" s="14"/>
      <c r="S7" s="187">
        <f t="shared" si="4"/>
      </c>
      <c r="T7" s="190">
        <f t="shared" si="5"/>
      </c>
    </row>
    <row r="8" spans="1:21" ht="21" customHeight="1" x14ac:dyDescent="0.35">
      <c r="A8" s="183">
        <f t="shared" si="1"/>
      </c>
      <c r="B8" s="185">
        <f t="shared" si="0"/>
      </c>
      <c r="C8" s="328"/>
      <c r="D8" s="327"/>
      <c r="E8" s="325"/>
      <c r="F8" s="14"/>
      <c r="G8" s="1"/>
      <c r="H8" s="1"/>
      <c r="I8" s="1"/>
      <c r="J8" s="1"/>
      <c r="K8" s="321"/>
      <c r="L8" s="14"/>
      <c r="M8" s="65"/>
      <c r="N8" s="65"/>
      <c r="O8" s="323"/>
      <c r="P8" s="186">
        <f t="shared" si="2"/>
      </c>
      <c r="Q8" s="187">
        <f t="shared" ca="1" si="3"/>
      </c>
      <c r="R8" s="14"/>
      <c r="S8" s="187">
        <f t="shared" si="4"/>
      </c>
      <c r="T8" s="190">
        <f t="shared" si="5"/>
      </c>
    </row>
    <row r="9" spans="1:21" ht="20.149999999999999" customHeight="1" x14ac:dyDescent="0.35">
      <c r="A9" s="183">
        <f t="shared" si="1"/>
      </c>
      <c r="B9" s="185">
        <f t="shared" si="0"/>
      </c>
      <c r="C9" s="328"/>
      <c r="D9" s="327"/>
      <c r="E9" s="325"/>
      <c r="F9" s="14"/>
      <c r="G9" s="1"/>
      <c r="H9" s="1"/>
      <c r="I9" s="1"/>
      <c r="J9" s="1"/>
      <c r="K9" s="321"/>
      <c r="L9" s="14"/>
      <c r="M9" s="65"/>
      <c r="N9" s="65"/>
      <c r="O9" s="323"/>
      <c r="P9" s="186">
        <f t="shared" si="2"/>
      </c>
      <c r="Q9" s="187">
        <f t="shared" ca="1" si="3"/>
      </c>
      <c r="R9" s="14"/>
      <c r="S9" s="187">
        <f t="shared" si="4"/>
      </c>
      <c r="T9" s="190">
        <f t="shared" si="5"/>
      </c>
    </row>
    <row r="10" spans="1:21" ht="21" customHeight="1" x14ac:dyDescent="0.35">
      <c r="A10" s="183">
        <f t="shared" si="1"/>
      </c>
      <c r="B10" s="185">
        <f t="shared" si="0"/>
      </c>
      <c r="C10" s="328"/>
      <c r="D10" s="327"/>
      <c r="E10" s="325"/>
      <c r="F10" s="14"/>
      <c r="G10" s="1"/>
      <c r="H10" s="1"/>
      <c r="I10" s="1"/>
      <c r="J10" s="1"/>
      <c r="K10" s="321"/>
      <c r="L10" s="14"/>
      <c r="M10" s="65"/>
      <c r="N10" s="65"/>
      <c r="O10" s="323"/>
      <c r="P10" s="186">
        <f t="shared" si="2"/>
      </c>
      <c r="Q10" s="187">
        <f t="shared" ca="1" si="3"/>
      </c>
      <c r="R10" s="14"/>
      <c r="S10" s="187">
        <f t="shared" si="4"/>
      </c>
      <c r="T10" s="190">
        <f t="shared" si="5"/>
      </c>
      <c r="U10" s="47"/>
    </row>
    <row r="11" spans="1:21" ht="20.149999999999999" customHeight="1" x14ac:dyDescent="0.35">
      <c r="A11" s="183">
        <f t="shared" si="1"/>
      </c>
      <c r="B11" s="185">
        <f t="shared" si="0"/>
      </c>
      <c r="C11" s="328"/>
      <c r="D11" s="327"/>
      <c r="E11" s="325"/>
      <c r="F11" s="14"/>
      <c r="G11" s="1"/>
      <c r="H11" s="1"/>
      <c r="I11" s="1"/>
      <c r="J11" s="1"/>
      <c r="K11" s="321"/>
      <c r="L11" s="14"/>
      <c r="M11" s="65"/>
      <c r="N11" s="65"/>
      <c r="O11" s="323"/>
      <c r="P11" s="186">
        <f t="shared" si="2"/>
      </c>
      <c r="Q11" s="187">
        <f t="shared" ca="1" si="3"/>
      </c>
      <c r="R11" s="14"/>
      <c r="S11" s="187">
        <f t="shared" si="4"/>
      </c>
      <c r="T11" s="190">
        <f t="shared" si="5"/>
      </c>
    </row>
    <row r="12" spans="1:21" ht="21" customHeight="1" x14ac:dyDescent="0.35">
      <c r="A12" s="183">
        <f t="shared" si="1"/>
      </c>
      <c r="B12" s="185">
        <f t="shared" si="0"/>
      </c>
      <c r="C12" s="328"/>
      <c r="D12" s="327"/>
      <c r="E12" s="325"/>
      <c r="F12" s="14"/>
      <c r="G12" s="1"/>
      <c r="H12" s="1"/>
      <c r="I12" s="1"/>
      <c r="J12" s="1"/>
      <c r="K12" s="321"/>
      <c r="L12" s="14"/>
      <c r="M12" s="65"/>
      <c r="N12" s="65"/>
      <c r="O12" s="323"/>
      <c r="P12" s="186">
        <f t="shared" si="2"/>
      </c>
      <c r="Q12" s="187">
        <f t="shared" ca="1" si="3"/>
      </c>
      <c r="R12" s="14"/>
      <c r="S12" s="187">
        <f t="shared" si="4"/>
      </c>
      <c r="T12" s="190">
        <f t="shared" si="5"/>
      </c>
    </row>
    <row r="13" spans="1:21" ht="20.149999999999999" customHeight="1" x14ac:dyDescent="0.35">
      <c r="A13" s="183">
        <f t="shared" si="1"/>
      </c>
      <c r="B13" s="185">
        <f t="shared" si="0"/>
      </c>
      <c r="C13" s="328"/>
      <c r="D13" s="327"/>
      <c r="E13" s="325"/>
      <c r="F13" s="14"/>
      <c r="G13" s="1"/>
      <c r="H13" s="1"/>
      <c r="I13" s="1"/>
      <c r="J13" s="1"/>
      <c r="K13" s="321"/>
      <c r="L13" s="14"/>
      <c r="M13" s="65"/>
      <c r="N13" s="65"/>
      <c r="O13" s="323"/>
      <c r="P13" s="186">
        <f t="shared" si="2"/>
      </c>
      <c r="Q13" s="187">
        <f t="shared" ca="1" si="3"/>
      </c>
      <c r="R13" s="14"/>
      <c r="S13" s="187">
        <f t="shared" si="4"/>
      </c>
      <c r="T13" s="190">
        <f t="shared" si="5"/>
      </c>
    </row>
    <row r="14" spans="1:21" ht="20.149999999999999" customHeight="1" x14ac:dyDescent="0.35">
      <c r="A14" s="183">
        <f t="shared" si="1"/>
      </c>
      <c r="B14" s="185">
        <f t="shared" si="0"/>
      </c>
      <c r="C14" s="328"/>
      <c r="D14" s="327"/>
      <c r="E14" s="325"/>
      <c r="F14" s="14"/>
      <c r="G14" s="1"/>
      <c r="H14" s="1"/>
      <c r="I14" s="1"/>
      <c r="J14" s="1"/>
      <c r="K14" s="321"/>
      <c r="L14" s="14"/>
      <c r="M14" s="65"/>
      <c r="N14" s="65"/>
      <c r="O14" s="323"/>
      <c r="P14" s="186">
        <f t="shared" si="2"/>
      </c>
      <c r="Q14" s="187">
        <f t="shared" ca="1" si="3"/>
      </c>
      <c r="R14" s="14"/>
      <c r="S14" s="187">
        <f t="shared" si="4"/>
      </c>
      <c r="T14" s="190">
        <f t="shared" si="5"/>
      </c>
    </row>
    <row r="15" spans="1:21" ht="21" customHeight="1" x14ac:dyDescent="0.35">
      <c r="A15" s="183">
        <f t="shared" si="1"/>
      </c>
      <c r="B15" s="185">
        <f t="shared" si="0"/>
      </c>
      <c r="C15" s="328"/>
      <c r="D15" s="327"/>
      <c r="E15" s="325"/>
      <c r="F15" s="14"/>
      <c r="G15" s="1"/>
      <c r="H15" s="1"/>
      <c r="I15" s="1"/>
      <c r="J15" s="1"/>
      <c r="K15" s="321"/>
      <c r="L15" s="14"/>
      <c r="M15" s="65"/>
      <c r="N15" s="65"/>
      <c r="O15" s="323"/>
      <c r="P15" s="186">
        <f t="shared" si="2"/>
      </c>
      <c r="Q15" s="187">
        <f t="shared" ca="1" si="3"/>
      </c>
      <c r="R15" s="14"/>
      <c r="S15" s="187">
        <f t="shared" si="4"/>
      </c>
      <c r="T15" s="190">
        <f t="shared" si="5"/>
      </c>
    </row>
    <row r="16" spans="1:21" ht="20.149999999999999" customHeight="1" x14ac:dyDescent="0.35">
      <c r="A16" s="183">
        <f t="shared" si="1"/>
      </c>
      <c r="B16" s="185">
        <f t="shared" si="0"/>
      </c>
      <c r="C16" s="328"/>
      <c r="D16" s="327"/>
      <c r="E16" s="325"/>
      <c r="F16" s="14"/>
      <c r="G16" s="1"/>
      <c r="H16" s="1"/>
      <c r="I16" s="1"/>
      <c r="J16" s="1"/>
      <c r="K16" s="321"/>
      <c r="L16" s="14"/>
      <c r="M16" s="65"/>
      <c r="N16" s="65"/>
      <c r="O16" s="323"/>
      <c r="P16" s="186">
        <f t="shared" si="2"/>
      </c>
      <c r="Q16" s="187">
        <f t="shared" ca="1" si="3"/>
      </c>
      <c r="R16" s="14"/>
      <c r="S16" s="187">
        <f t="shared" si="4"/>
      </c>
      <c r="T16" s="190">
        <f t="shared" si="5"/>
      </c>
    </row>
    <row r="17" spans="1:20" x14ac:dyDescent="0.35">
      <c r="A17" s="183">
        <f t="shared" si="1"/>
      </c>
      <c r="B17" s="185">
        <f t="shared" si="0"/>
      </c>
      <c r="C17" s="328"/>
      <c r="D17" s="327"/>
      <c r="E17" s="325"/>
      <c r="F17" s="14"/>
      <c r="G17" s="1"/>
      <c r="H17" s="1"/>
      <c r="I17" s="1"/>
      <c r="J17" s="1"/>
      <c r="K17" s="321"/>
      <c r="L17" s="14"/>
      <c r="M17" s="65"/>
      <c r="N17" s="65"/>
      <c r="O17" s="323"/>
      <c r="P17" s="186">
        <f t="shared" si="2"/>
      </c>
      <c r="Q17" s="187">
        <f t="shared" ca="1" si="3"/>
      </c>
      <c r="R17" s="14"/>
      <c r="S17" s="187">
        <f t="shared" si="4"/>
      </c>
      <c r="T17" s="190">
        <f t="shared" si="5"/>
      </c>
    </row>
    <row r="18" spans="1:20" ht="20.149999999999999" customHeight="1" x14ac:dyDescent="0.35">
      <c r="A18" s="183">
        <f t="shared" si="1"/>
      </c>
      <c r="B18" s="185">
        <f t="shared" si="0"/>
      </c>
      <c r="C18" s="328"/>
      <c r="D18" s="327"/>
      <c r="E18" s="325"/>
      <c r="F18" s="14"/>
      <c r="G18" s="1"/>
      <c r="H18" s="1"/>
      <c r="I18" s="1"/>
      <c r="J18" s="1"/>
      <c r="K18" s="321"/>
      <c r="L18" s="14"/>
      <c r="M18" s="65"/>
      <c r="N18" s="65"/>
      <c r="O18" s="323"/>
      <c r="P18" s="186">
        <f t="shared" si="2"/>
      </c>
      <c r="Q18" s="187">
        <f t="shared" ca="1" si="3"/>
      </c>
      <c r="R18" s="14"/>
      <c r="S18" s="187">
        <f t="shared" si="4"/>
      </c>
      <c r="T18" s="190">
        <f t="shared" si="5"/>
      </c>
    </row>
    <row r="19" spans="1:20" x14ac:dyDescent="0.35">
      <c r="A19" s="183">
        <f t="shared" si="1"/>
      </c>
      <c r="B19" s="185">
        <f t="shared" si="0"/>
      </c>
      <c r="C19" s="328"/>
      <c r="D19" s="327"/>
      <c r="E19" s="325"/>
      <c r="F19" s="14"/>
      <c r="G19" s="1"/>
      <c r="H19" s="1"/>
      <c r="I19" s="1"/>
      <c r="J19" s="1"/>
      <c r="K19" s="321"/>
      <c r="L19" s="14"/>
      <c r="M19" s="65"/>
      <c r="N19" s="65"/>
      <c r="O19" s="323"/>
      <c r="P19" s="186">
        <f t="shared" si="2"/>
      </c>
      <c r="Q19" s="187">
        <f t="shared" ca="1" si="3"/>
      </c>
      <c r="R19" s="14"/>
      <c r="S19" s="187">
        <f t="shared" si="4"/>
      </c>
      <c r="T19" s="190">
        <f t="shared" si="5"/>
      </c>
    </row>
    <row r="20" spans="1:20" ht="20.149999999999999" customHeight="1" x14ac:dyDescent="0.35">
      <c r="A20" s="183">
        <f t="shared" si="1"/>
      </c>
      <c r="B20" s="185">
        <f t="shared" si="0"/>
      </c>
      <c r="C20" s="328"/>
      <c r="D20" s="327"/>
      <c r="E20" s="325"/>
      <c r="F20" s="14"/>
      <c r="G20" s="1"/>
      <c r="H20" s="1"/>
      <c r="I20" s="1"/>
      <c r="J20" s="1"/>
      <c r="K20" s="321"/>
      <c r="L20" s="14"/>
      <c r="M20" s="65"/>
      <c r="N20" s="65"/>
      <c r="O20" s="323"/>
      <c r="P20" s="186">
        <f t="shared" si="2"/>
      </c>
      <c r="Q20" s="187">
        <f t="shared" ca="1" si="3"/>
      </c>
      <c r="R20" s="14"/>
      <c r="S20" s="187">
        <f t="shared" si="4"/>
      </c>
      <c r="T20" s="190">
        <f t="shared" si="5"/>
      </c>
    </row>
    <row r="21" spans="1:20" ht="20.149999999999999" customHeight="1" x14ac:dyDescent="0.35">
      <c r="A21" s="183">
        <f t="shared" si="1"/>
      </c>
      <c r="B21" s="185">
        <f t="shared" si="0"/>
      </c>
      <c r="C21" s="328"/>
      <c r="D21" s="327"/>
      <c r="E21" s="325"/>
      <c r="F21" s="14"/>
      <c r="G21" s="1"/>
      <c r="H21" s="1"/>
      <c r="I21" s="1"/>
      <c r="J21" s="1"/>
      <c r="K21" s="321"/>
      <c r="L21" s="14"/>
      <c r="M21" s="65"/>
      <c r="N21" s="65"/>
      <c r="O21" s="323"/>
      <c r="P21" s="186">
        <f t="shared" si="2"/>
      </c>
      <c r="Q21" s="187">
        <f t="shared" ca="1" si="3"/>
      </c>
      <c r="R21" s="14"/>
      <c r="S21" s="187">
        <f t="shared" si="4"/>
      </c>
      <c r="T21" s="190">
        <f t="shared" si="5"/>
      </c>
    </row>
    <row r="22" spans="1:20" x14ac:dyDescent="0.35">
      <c r="A22" s="183">
        <f t="shared" si="1"/>
      </c>
      <c r="B22" s="185">
        <f t="shared" si="0"/>
      </c>
      <c r="C22" s="328"/>
      <c r="D22" s="327"/>
      <c r="E22" s="325"/>
      <c r="F22" s="14"/>
      <c r="G22" s="1"/>
      <c r="H22" s="1"/>
      <c r="I22" s="1"/>
      <c r="J22" s="1"/>
      <c r="K22" s="321"/>
      <c r="L22" s="14"/>
      <c r="M22" s="65"/>
      <c r="N22" s="65"/>
      <c r="O22" s="323"/>
      <c r="P22" s="186">
        <f t="shared" si="2"/>
      </c>
      <c r="Q22" s="187">
        <f t="shared" ca="1" si="3"/>
      </c>
      <c r="R22" s="14"/>
      <c r="S22" s="187">
        <f t="shared" si="4"/>
      </c>
      <c r="T22" s="190">
        <f t="shared" si="5"/>
      </c>
    </row>
    <row r="23" spans="1:20" x14ac:dyDescent="0.35">
      <c r="A23" s="183">
        <f t="shared" si="1"/>
      </c>
      <c r="B23" s="185">
        <f t="shared" si="0"/>
      </c>
      <c r="C23" s="328"/>
      <c r="D23" s="327"/>
      <c r="E23" s="325"/>
      <c r="F23" s="14"/>
      <c r="G23" s="1"/>
      <c r="H23" s="1"/>
      <c r="I23" s="1"/>
      <c r="J23" s="1"/>
      <c r="K23" s="321"/>
      <c r="L23" s="14"/>
      <c r="M23" s="65"/>
      <c r="N23" s="65"/>
      <c r="O23" s="323"/>
      <c r="P23" s="186">
        <f t="shared" si="2"/>
      </c>
      <c r="Q23" s="187">
        <f t="shared" ca="1" si="3"/>
      </c>
      <c r="R23" s="14"/>
      <c r="S23" s="187">
        <f t="shared" si="4"/>
      </c>
      <c r="T23" s="190">
        <f t="shared" si="5"/>
      </c>
    </row>
    <row r="24" spans="1:20" x14ac:dyDescent="0.35">
      <c r="A24" s="183">
        <f t="shared" si="1"/>
      </c>
      <c r="B24" s="185">
        <f t="shared" si="0"/>
      </c>
      <c r="C24" s="328"/>
      <c r="D24" s="327"/>
      <c r="E24" s="325"/>
      <c r="F24" s="14"/>
      <c r="G24" s="1"/>
      <c r="H24" s="1"/>
      <c r="I24" s="1"/>
      <c r="J24" s="1"/>
      <c r="K24" s="321"/>
      <c r="L24" s="14"/>
      <c r="M24" s="65"/>
      <c r="N24" s="65"/>
      <c r="O24" s="323"/>
      <c r="P24" s="186">
        <f t="shared" si="2"/>
      </c>
      <c r="Q24" s="187">
        <f t="shared" ca="1" si="3"/>
      </c>
      <c r="R24" s="14"/>
      <c r="S24" s="187">
        <f t="shared" si="4"/>
      </c>
      <c r="T24" s="190">
        <f t="shared" si="5"/>
      </c>
    </row>
    <row r="25" spans="1:20" x14ac:dyDescent="0.35">
      <c r="A25" s="183">
        <f t="shared" si="1"/>
      </c>
      <c r="B25" s="185">
        <f t="shared" si="0"/>
      </c>
      <c r="C25" s="328"/>
      <c r="D25" s="327"/>
      <c r="E25" s="325"/>
      <c r="F25" s="14"/>
      <c r="G25" s="1"/>
      <c r="H25" s="1"/>
      <c r="I25" s="1"/>
      <c r="J25" s="1"/>
      <c r="K25" s="321"/>
      <c r="L25" s="14"/>
      <c r="M25" s="65"/>
      <c r="N25" s="65"/>
      <c r="O25" s="323"/>
      <c r="P25" s="186">
        <f t="shared" si="2"/>
      </c>
      <c r="Q25" s="187">
        <f t="shared" ca="1" si="3"/>
      </c>
      <c r="R25" s="14"/>
      <c r="S25" s="187">
        <f t="shared" si="4"/>
      </c>
      <c r="T25" s="190">
        <f t="shared" si="5"/>
      </c>
    </row>
    <row r="26" spans="1:20" x14ac:dyDescent="0.35">
      <c r="A26" s="183">
        <f t="shared" si="1"/>
      </c>
      <c r="B26" s="185">
        <f t="shared" si="0"/>
      </c>
      <c r="C26" s="328"/>
      <c r="D26" s="327"/>
      <c r="E26" s="325"/>
      <c r="F26" s="14"/>
      <c r="G26" s="1"/>
      <c r="H26" s="1"/>
      <c r="I26" s="1"/>
      <c r="J26" s="1"/>
      <c r="K26" s="321"/>
      <c r="L26" s="14"/>
      <c r="M26" s="65"/>
      <c r="N26" s="65"/>
      <c r="O26" s="323"/>
      <c r="P26" s="186">
        <f t="shared" si="2"/>
      </c>
      <c r="Q26" s="187">
        <f t="shared" ca="1" si="3"/>
      </c>
      <c r="R26" s="14"/>
      <c r="S26" s="187">
        <f t="shared" si="4"/>
      </c>
      <c r="T26" s="190">
        <f t="shared" si="5"/>
      </c>
    </row>
    <row r="27" spans="1:20" ht="20.149999999999999" customHeight="1" x14ac:dyDescent="0.35">
      <c r="A27" s="183">
        <f t="shared" si="1"/>
      </c>
      <c r="B27" s="185">
        <f t="shared" si="0"/>
      </c>
      <c r="C27" s="328"/>
      <c r="D27" s="327"/>
      <c r="E27" s="325"/>
      <c r="F27" s="14"/>
      <c r="G27" s="1"/>
      <c r="H27" s="1"/>
      <c r="I27" s="1"/>
      <c r="J27" s="1"/>
      <c r="K27" s="321"/>
      <c r="L27" s="14"/>
      <c r="M27" s="65"/>
      <c r="N27" s="65"/>
      <c r="O27" s="323"/>
      <c r="P27" s="186">
        <f t="shared" si="2"/>
      </c>
      <c r="Q27" s="187">
        <f t="shared" ca="1" si="3"/>
      </c>
      <c r="R27" s="14"/>
      <c r="S27" s="187">
        <f t="shared" si="4"/>
      </c>
      <c r="T27" s="190">
        <f t="shared" si="5"/>
      </c>
    </row>
    <row r="28" spans="1:20" ht="20.149999999999999" customHeight="1" x14ac:dyDescent="0.35">
      <c r="A28" s="183">
        <f t="shared" si="1"/>
      </c>
      <c r="B28" s="185">
        <f t="shared" si="0"/>
      </c>
      <c r="C28" s="328"/>
      <c r="D28" s="327"/>
      <c r="E28" s="325"/>
      <c r="F28" s="14"/>
      <c r="G28" s="1"/>
      <c r="H28" s="1"/>
      <c r="I28" s="1"/>
      <c r="J28" s="1"/>
      <c r="K28" s="321"/>
      <c r="L28" s="14"/>
      <c r="M28" s="65"/>
      <c r="N28" s="65"/>
      <c r="O28" s="323"/>
      <c r="P28" s="186">
        <f t="shared" si="2"/>
      </c>
      <c r="Q28" s="187">
        <f t="shared" ca="1" si="3"/>
      </c>
      <c r="R28" s="14"/>
      <c r="S28" s="187">
        <f t="shared" si="4"/>
      </c>
      <c r="T28" s="190">
        <f t="shared" si="5"/>
      </c>
    </row>
    <row r="29" spans="1:20" x14ac:dyDescent="0.35">
      <c r="A29" s="183">
        <f t="shared" si="1"/>
      </c>
      <c r="B29" s="185">
        <f t="shared" si="0"/>
      </c>
      <c r="C29" s="328"/>
      <c r="D29" s="327"/>
      <c r="E29" s="325"/>
      <c r="F29" s="14"/>
      <c r="G29" s="1"/>
      <c r="H29" s="1"/>
      <c r="I29" s="1"/>
      <c r="J29" s="1"/>
      <c r="K29" s="321"/>
      <c r="L29" s="14"/>
      <c r="M29" s="65"/>
      <c r="N29" s="65"/>
      <c r="O29" s="323"/>
      <c r="P29" s="186">
        <f t="shared" si="2"/>
      </c>
      <c r="Q29" s="187">
        <f t="shared" ca="1" si="3"/>
      </c>
      <c r="R29" s="14"/>
      <c r="S29" s="187">
        <f t="shared" si="4"/>
      </c>
      <c r="T29" s="190">
        <f t="shared" si="5"/>
      </c>
    </row>
    <row r="30" spans="1:20" x14ac:dyDescent="0.35">
      <c r="A30" s="183">
        <f t="shared" si="1"/>
      </c>
      <c r="B30" s="185">
        <f t="shared" si="0"/>
      </c>
      <c r="C30" s="328"/>
      <c r="D30" s="327"/>
      <c r="E30" s="325"/>
      <c r="F30" s="14"/>
      <c r="G30" s="1"/>
      <c r="H30" s="1"/>
      <c r="I30" s="1"/>
      <c r="J30" s="1"/>
      <c r="K30" s="321"/>
      <c r="L30" s="14"/>
      <c r="M30" s="65"/>
      <c r="N30" s="65"/>
      <c r="O30" s="323"/>
      <c r="P30" s="186">
        <f t="shared" si="2"/>
      </c>
      <c r="Q30" s="187">
        <f t="shared" ca="1" si="3"/>
      </c>
      <c r="R30" s="14"/>
      <c r="S30" s="187">
        <f t="shared" si="4"/>
      </c>
      <c r="T30" s="190">
        <f t="shared" si="5"/>
      </c>
    </row>
    <row r="31" spans="1:20" x14ac:dyDescent="0.35">
      <c r="A31" s="183">
        <f t="shared" si="1"/>
      </c>
      <c r="B31" s="185">
        <f t="shared" si="0"/>
      </c>
      <c r="C31" s="328"/>
      <c r="D31" s="327"/>
      <c r="E31" s="325"/>
      <c r="F31" s="14"/>
      <c r="G31" s="1"/>
      <c r="H31" s="1"/>
      <c r="I31" s="1"/>
      <c r="J31" s="1"/>
      <c r="K31" s="321"/>
      <c r="L31" s="14"/>
      <c r="M31" s="65"/>
      <c r="N31" s="65"/>
      <c r="O31" s="323"/>
      <c r="P31" s="186">
        <f t="shared" si="2"/>
      </c>
      <c r="Q31" s="187">
        <f t="shared" ca="1" si="3"/>
      </c>
      <c r="R31" s="14"/>
      <c r="S31" s="187">
        <f t="shared" si="4"/>
      </c>
      <c r="T31" s="190">
        <f t="shared" si="5"/>
      </c>
    </row>
    <row r="32" spans="1:20" x14ac:dyDescent="0.35">
      <c r="A32" s="183">
        <f t="shared" si="1"/>
      </c>
      <c r="B32" s="185">
        <f t="shared" si="0"/>
      </c>
      <c r="C32" s="328"/>
      <c r="D32" s="327"/>
      <c r="E32" s="325"/>
      <c r="F32" s="14"/>
      <c r="G32" s="1"/>
      <c r="H32" s="1"/>
      <c r="I32" s="1"/>
      <c r="J32" s="1"/>
      <c r="K32" s="321"/>
      <c r="L32" s="14"/>
      <c r="M32" s="65"/>
      <c r="N32" s="65"/>
      <c r="O32" s="323"/>
      <c r="P32" s="186">
        <f t="shared" si="2"/>
      </c>
      <c r="Q32" s="187">
        <f t="shared" ca="1" si="3"/>
      </c>
      <c r="R32" s="14"/>
      <c r="S32" s="187">
        <f t="shared" si="4"/>
      </c>
      <c r="T32" s="190">
        <f t="shared" si="5"/>
      </c>
    </row>
    <row r="33" spans="1:20" x14ac:dyDescent="0.35">
      <c r="A33" s="183">
        <f t="shared" si="1"/>
      </c>
      <c r="B33" s="185">
        <f t="shared" si="0"/>
      </c>
      <c r="C33" s="328"/>
      <c r="D33" s="327"/>
      <c r="E33" s="325"/>
      <c r="F33" s="14"/>
      <c r="G33" s="1"/>
      <c r="H33" s="1"/>
      <c r="I33" s="1"/>
      <c r="J33" s="1"/>
      <c r="K33" s="321"/>
      <c r="L33" s="14"/>
      <c r="M33" s="65"/>
      <c r="N33" s="65"/>
      <c r="O33" s="323"/>
      <c r="P33" s="186">
        <f t="shared" si="2"/>
      </c>
      <c r="Q33" s="187">
        <f t="shared" ca="1" si="3"/>
      </c>
      <c r="R33" s="14"/>
      <c r="S33" s="187">
        <f t="shared" si="4"/>
      </c>
      <c r="T33" s="190">
        <f t="shared" si="5"/>
      </c>
    </row>
    <row r="34" spans="1:20" x14ac:dyDescent="0.35">
      <c r="A34" s="183">
        <f t="shared" si="1"/>
      </c>
      <c r="B34" s="185">
        <f t="shared" si="0"/>
      </c>
      <c r="C34" s="328"/>
      <c r="D34" s="327"/>
      <c r="E34" s="325"/>
      <c r="F34" s="14"/>
      <c r="G34" s="1"/>
      <c r="H34" s="1"/>
      <c r="I34" s="1"/>
      <c r="J34" s="1"/>
      <c r="K34" s="321"/>
      <c r="L34" s="14"/>
      <c r="M34" s="65"/>
      <c r="N34" s="65"/>
      <c r="O34" s="323"/>
      <c r="P34" s="186">
        <f t="shared" si="2"/>
      </c>
      <c r="Q34" s="187">
        <f t="shared" ca="1" si="3"/>
      </c>
      <c r="R34" s="14"/>
      <c r="S34" s="187">
        <f t="shared" si="4"/>
      </c>
      <c r="T34" s="190">
        <f t="shared" si="5"/>
      </c>
    </row>
    <row r="35" spans="1:20" x14ac:dyDescent="0.35">
      <c r="A35" s="183">
        <f t="shared" si="1"/>
      </c>
      <c r="B35" s="185">
        <f t="shared" si="0"/>
      </c>
      <c r="C35" s="328"/>
      <c r="D35" s="327"/>
      <c r="E35" s="325"/>
      <c r="F35" s="14"/>
      <c r="G35" s="1"/>
      <c r="H35" s="1"/>
      <c r="I35" s="1"/>
      <c r="J35" s="1"/>
      <c r="K35" s="321"/>
      <c r="L35" s="14"/>
      <c r="M35" s="65"/>
      <c r="N35" s="65"/>
      <c r="O35" s="323"/>
      <c r="P35" s="186">
        <f t="shared" si="2"/>
      </c>
      <c r="Q35" s="187">
        <f t="shared" ca="1" si="3"/>
      </c>
      <c r="R35" s="14"/>
      <c r="S35" s="187">
        <f t="shared" si="4"/>
      </c>
      <c r="T35" s="190">
        <f t="shared" si="5"/>
      </c>
    </row>
    <row r="36" spans="1:20" x14ac:dyDescent="0.35">
      <c r="A36" s="183">
        <f t="shared" si="1"/>
      </c>
      <c r="B36" s="185">
        <f t="shared" si="0"/>
      </c>
      <c r="C36" s="328"/>
      <c r="D36" s="327"/>
      <c r="E36" s="325"/>
      <c r="F36" s="14"/>
      <c r="G36" s="1"/>
      <c r="H36" s="1"/>
      <c r="I36" s="1"/>
      <c r="J36" s="1"/>
      <c r="K36" s="321"/>
      <c r="L36" s="14"/>
      <c r="M36" s="65"/>
      <c r="N36" s="65"/>
      <c r="O36" s="323"/>
      <c r="P36" s="186">
        <f t="shared" si="2"/>
      </c>
      <c r="Q36" s="187">
        <f t="shared" ca="1" si="3"/>
      </c>
      <c r="R36" s="14"/>
      <c r="S36" s="187">
        <f t="shared" si="4"/>
      </c>
      <c r="T36" s="190">
        <f t="shared" si="5"/>
      </c>
    </row>
    <row r="37" spans="1:20" x14ac:dyDescent="0.35">
      <c r="A37" s="183">
        <f t="shared" si="1"/>
      </c>
      <c r="B37" s="185">
        <f t="shared" ref="B37:B68" si="6">IF(AND($C37="",$D37="",$E37=""),"","DR-"&amp;TEXT($A37,"000"))</f>
      </c>
      <c r="C37" s="328"/>
      <c r="D37" s="327"/>
      <c r="E37" s="325"/>
      <c r="F37" s="14"/>
      <c r="G37" s="1"/>
      <c r="H37" s="1"/>
      <c r="I37" s="1"/>
      <c r="J37" s="1"/>
      <c r="K37" s="321"/>
      <c r="L37" s="14"/>
      <c r="M37" s="65"/>
      <c r="N37" s="65"/>
      <c r="O37" s="323"/>
      <c r="P37" s="186">
        <f t="shared" si="2"/>
      </c>
      <c r="Q37" s="187">
        <f t="shared" ca="1" si="3"/>
      </c>
      <c r="R37" s="14"/>
      <c r="S37" s="187">
        <f t="shared" si="4"/>
      </c>
      <c r="T37" s="190">
        <f t="shared" si="5"/>
      </c>
    </row>
    <row r="38" spans="1:20" x14ac:dyDescent="0.35">
      <c r="A38" s="183">
        <f t="shared" si="1"/>
      </c>
      <c r="B38" s="185">
        <f t="shared" si="6"/>
      </c>
      <c r="C38" s="328"/>
      <c r="D38" s="327"/>
      <c r="E38" s="325"/>
      <c r="F38" s="14"/>
      <c r="G38" s="1"/>
      <c r="H38" s="1"/>
      <c r="I38" s="1"/>
      <c r="J38" s="1"/>
      <c r="K38" s="321"/>
      <c r="L38" s="14"/>
      <c r="M38" s="65"/>
      <c r="N38" s="65"/>
      <c r="O38" s="323"/>
      <c r="P38" s="186">
        <f t="shared" si="2"/>
      </c>
      <c r="Q38" s="187">
        <f t="shared" ca="1" si="3"/>
      </c>
      <c r="R38" s="14"/>
      <c r="S38" s="187">
        <f t="shared" si="4"/>
      </c>
      <c r="T38" s="190">
        <f t="shared" si="5"/>
      </c>
    </row>
    <row r="39" spans="1:20" x14ac:dyDescent="0.35">
      <c r="A39" s="183">
        <f t="shared" si="1"/>
      </c>
      <c r="B39" s="185">
        <f t="shared" si="6"/>
      </c>
      <c r="C39" s="328"/>
      <c r="D39" s="327"/>
      <c r="E39" s="325"/>
      <c r="F39" s="14"/>
      <c r="G39" s="1"/>
      <c r="H39" s="1"/>
      <c r="I39" s="1"/>
      <c r="J39" s="1"/>
      <c r="K39" s="321"/>
      <c r="L39" s="14"/>
      <c r="M39" s="65"/>
      <c r="N39" s="65"/>
      <c r="O39" s="323"/>
      <c r="P39" s="186">
        <f t="shared" si="2"/>
      </c>
      <c r="Q39" s="187">
        <f t="shared" ca="1" si="3"/>
      </c>
      <c r="R39" s="14"/>
      <c r="S39" s="187">
        <f t="shared" si="4"/>
      </c>
      <c r="T39" s="190">
        <f t="shared" si="5"/>
      </c>
    </row>
    <row r="40" spans="1:20" x14ac:dyDescent="0.35">
      <c r="A40" s="183">
        <f t="shared" si="1"/>
      </c>
      <c r="B40" s="185">
        <f t="shared" si="6"/>
      </c>
      <c r="C40" s="328"/>
      <c r="D40" s="327"/>
      <c r="E40" s="325"/>
      <c r="F40" s="14"/>
      <c r="G40" s="1"/>
      <c r="H40" s="1"/>
      <c r="I40" s="1"/>
      <c r="J40" s="1"/>
      <c r="K40" s="321"/>
      <c r="L40" s="14"/>
      <c r="M40" s="65"/>
      <c r="N40" s="65"/>
      <c r="O40" s="323"/>
      <c r="P40" s="186">
        <f t="shared" si="2"/>
      </c>
      <c r="Q40" s="187">
        <f t="shared" ca="1" si="3"/>
      </c>
      <c r="R40" s="14"/>
      <c r="S40" s="187">
        <f t="shared" si="4"/>
      </c>
      <c r="T40" s="190">
        <f t="shared" si="5"/>
      </c>
    </row>
    <row r="41" spans="1:20" x14ac:dyDescent="0.35">
      <c r="A41" s="183">
        <f t="shared" si="1"/>
      </c>
      <c r="B41" s="185">
        <f t="shared" si="6"/>
      </c>
      <c r="C41" s="328"/>
      <c r="D41" s="327"/>
      <c r="E41" s="325"/>
      <c r="F41" s="14"/>
      <c r="G41" s="1"/>
      <c r="H41" s="1"/>
      <c r="I41" s="1"/>
      <c r="J41" s="1"/>
      <c r="K41" s="321"/>
      <c r="L41" s="14"/>
      <c r="M41" s="65"/>
      <c r="N41" s="65"/>
      <c r="O41" s="323"/>
      <c r="P41" s="186">
        <f t="shared" si="2"/>
      </c>
      <c r="Q41" s="187">
        <f t="shared" ca="1" si="3"/>
      </c>
      <c r="R41" s="14"/>
      <c r="S41" s="187">
        <f t="shared" si="4"/>
      </c>
      <c r="T41" s="190">
        <f t="shared" si="5"/>
      </c>
    </row>
    <row r="42" spans="1:20" x14ac:dyDescent="0.35">
      <c r="A42" s="183">
        <f t="shared" si="1"/>
      </c>
      <c r="B42" s="185">
        <f t="shared" si="6"/>
      </c>
      <c r="C42" s="328"/>
      <c r="D42" s="327"/>
      <c r="E42" s="325"/>
      <c r="F42" s="14"/>
      <c r="G42" s="1"/>
      <c r="H42" s="1"/>
      <c r="I42" s="1"/>
      <c r="J42" s="1"/>
      <c r="K42" s="321"/>
      <c r="L42" s="14"/>
      <c r="M42" s="65"/>
      <c r="N42" s="65"/>
      <c r="O42" s="323"/>
      <c r="P42" s="186">
        <f t="shared" si="2"/>
      </c>
      <c r="Q42" s="187">
        <f t="shared" ca="1" si="3"/>
      </c>
      <c r="R42" s="14"/>
      <c r="S42" s="187">
        <f t="shared" si="4"/>
      </c>
      <c r="T42" s="190">
        <f t="shared" si="5"/>
      </c>
    </row>
    <row r="43" spans="1:20" x14ac:dyDescent="0.35">
      <c r="A43" s="183">
        <f t="shared" si="1"/>
      </c>
      <c r="B43" s="185">
        <f t="shared" si="6"/>
      </c>
      <c r="C43" s="328"/>
      <c r="D43" s="327"/>
      <c r="E43" s="325"/>
      <c r="F43" s="14"/>
      <c r="G43" s="1"/>
      <c r="H43" s="1"/>
      <c r="I43" s="1"/>
      <c r="J43" s="1"/>
      <c r="K43" s="321"/>
      <c r="L43" s="14"/>
      <c r="M43" s="65"/>
      <c r="N43" s="65"/>
      <c r="O43" s="323"/>
      <c r="P43" s="186">
        <f t="shared" si="2"/>
      </c>
      <c r="Q43" s="187">
        <f t="shared" ca="1" si="3"/>
      </c>
      <c r="R43" s="14"/>
      <c r="S43" s="187">
        <f t="shared" si="4"/>
      </c>
      <c r="T43" s="190">
        <f t="shared" si="5"/>
      </c>
    </row>
    <row r="44" spans="1:20" x14ac:dyDescent="0.35">
      <c r="A44" s="183">
        <f t="shared" si="1"/>
      </c>
      <c r="B44" s="185">
        <f t="shared" si="6"/>
      </c>
      <c r="C44" s="328"/>
      <c r="D44" s="327"/>
      <c r="E44" s="325"/>
      <c r="F44" s="14"/>
      <c r="G44" s="1"/>
      <c r="H44" s="1"/>
      <c r="I44" s="1"/>
      <c r="J44" s="1"/>
      <c r="K44" s="321"/>
      <c r="L44" s="14"/>
      <c r="M44" s="65"/>
      <c r="N44" s="65"/>
      <c r="O44" s="323"/>
      <c r="P44" s="186">
        <f t="shared" si="2"/>
      </c>
      <c r="Q44" s="187">
        <f t="shared" ca="1" si="3"/>
      </c>
      <c r="R44" s="14"/>
      <c r="S44" s="187">
        <f t="shared" si="4"/>
      </c>
      <c r="T44" s="190">
        <f t="shared" si="5"/>
      </c>
    </row>
    <row r="45" spans="1:20" x14ac:dyDescent="0.35">
      <c r="A45" s="183">
        <f t="shared" si="1"/>
      </c>
      <c r="B45" s="185">
        <f t="shared" si="6"/>
      </c>
      <c r="C45" s="328"/>
      <c r="D45" s="327"/>
      <c r="E45" s="325"/>
      <c r="F45" s="14"/>
      <c r="G45" s="1"/>
      <c r="H45" s="1"/>
      <c r="I45" s="1"/>
      <c r="J45" s="1"/>
      <c r="K45" s="321"/>
      <c r="L45" s="14"/>
      <c r="M45" s="65"/>
      <c r="N45" s="65"/>
      <c r="O45" s="323"/>
      <c r="P45" s="186">
        <f t="shared" si="2"/>
      </c>
      <c r="Q45" s="187">
        <f t="shared" ca="1" si="3"/>
      </c>
      <c r="R45" s="14"/>
      <c r="S45" s="187">
        <f t="shared" si="4"/>
      </c>
      <c r="T45" s="190">
        <f t="shared" si="5"/>
      </c>
    </row>
    <row r="46" spans="1:20" x14ac:dyDescent="0.35">
      <c r="A46" s="183">
        <f t="shared" si="1"/>
      </c>
      <c r="B46" s="185">
        <f t="shared" si="6"/>
      </c>
      <c r="C46" s="328"/>
      <c r="D46" s="327"/>
      <c r="E46" s="325"/>
      <c r="F46" s="14"/>
      <c r="G46" s="1"/>
      <c r="H46" s="1"/>
      <c r="I46" s="1"/>
      <c r="J46" s="1"/>
      <c r="K46" s="321"/>
      <c r="L46" s="14"/>
      <c r="M46" s="65"/>
      <c r="N46" s="65"/>
      <c r="O46" s="323"/>
      <c r="P46" s="186">
        <f t="shared" si="2"/>
      </c>
      <c r="Q46" s="187">
        <f t="shared" ca="1" si="3"/>
      </c>
      <c r="R46" s="14"/>
      <c r="S46" s="187">
        <f t="shared" si="4"/>
      </c>
      <c r="T46" s="190">
        <f t="shared" si="5"/>
      </c>
    </row>
    <row r="47" spans="1:20" x14ac:dyDescent="0.35">
      <c r="A47" s="183">
        <f t="shared" si="1"/>
      </c>
      <c r="B47" s="185">
        <f t="shared" si="6"/>
      </c>
      <c r="C47" s="328"/>
      <c r="D47" s="327"/>
      <c r="E47" s="325"/>
      <c r="F47" s="14"/>
      <c r="G47" s="1"/>
      <c r="H47" s="1"/>
      <c r="I47" s="1"/>
      <c r="J47" s="1"/>
      <c r="K47" s="321"/>
      <c r="L47" s="14"/>
      <c r="M47" s="65"/>
      <c r="N47" s="65"/>
      <c r="O47" s="323"/>
      <c r="P47" s="186">
        <f t="shared" si="2"/>
      </c>
      <c r="Q47" s="187">
        <f t="shared" ca="1" si="3"/>
      </c>
      <c r="R47" s="14"/>
      <c r="S47" s="187">
        <f t="shared" si="4"/>
      </c>
      <c r="T47" s="190">
        <f t="shared" si="5"/>
      </c>
    </row>
    <row r="48" spans="1:20" x14ac:dyDescent="0.35">
      <c r="A48" s="183">
        <f t="shared" si="1"/>
      </c>
      <c r="B48" s="185">
        <f t="shared" si="6"/>
      </c>
      <c r="C48" s="328"/>
      <c r="D48" s="327"/>
      <c r="E48" s="325"/>
      <c r="F48" s="14"/>
      <c r="G48" s="1"/>
      <c r="H48" s="1"/>
      <c r="I48" s="1"/>
      <c r="J48" s="1"/>
      <c r="K48" s="321"/>
      <c r="L48" s="14"/>
      <c r="M48" s="65"/>
      <c r="N48" s="65"/>
      <c r="O48" s="323"/>
      <c r="P48" s="186">
        <f t="shared" si="2"/>
      </c>
      <c r="Q48" s="187">
        <f t="shared" ca="1" si="3"/>
      </c>
      <c r="R48" s="14"/>
      <c r="S48" s="187">
        <f t="shared" si="4"/>
      </c>
      <c r="T48" s="190">
        <f t="shared" si="5"/>
      </c>
    </row>
    <row r="49" spans="1:20" x14ac:dyDescent="0.35">
      <c r="A49" s="183">
        <f t="shared" si="1"/>
      </c>
      <c r="B49" s="185">
        <f t="shared" si="6"/>
      </c>
      <c r="C49" s="328"/>
      <c r="D49" s="327"/>
      <c r="E49" s="325"/>
      <c r="F49" s="14"/>
      <c r="G49" s="1"/>
      <c r="H49" s="1"/>
      <c r="I49" s="1"/>
      <c r="J49" s="1"/>
      <c r="K49" s="321"/>
      <c r="L49" s="14"/>
      <c r="M49" s="65"/>
      <c r="N49" s="65"/>
      <c r="O49" s="323"/>
      <c r="P49" s="186">
        <f t="shared" si="2"/>
      </c>
      <c r="Q49" s="187">
        <f t="shared" ca="1" si="3"/>
      </c>
      <c r="R49" s="14"/>
      <c r="S49" s="187">
        <f t="shared" si="4"/>
      </c>
      <c r="T49" s="190">
        <f t="shared" si="5"/>
      </c>
    </row>
    <row r="50" spans="1:20" x14ac:dyDescent="0.35">
      <c r="A50" s="183">
        <f t="shared" si="1"/>
      </c>
      <c r="B50" s="185">
        <f t="shared" si="6"/>
      </c>
      <c r="C50" s="328"/>
      <c r="D50" s="327"/>
      <c r="E50" s="325"/>
      <c r="F50" s="14"/>
      <c r="G50" s="1"/>
      <c r="H50" s="1"/>
      <c r="I50" s="1"/>
      <c r="J50" s="1"/>
      <c r="K50" s="321"/>
      <c r="L50" s="14"/>
      <c r="M50" s="65"/>
      <c r="N50" s="65"/>
      <c r="O50" s="323"/>
      <c r="P50" s="186">
        <f t="shared" si="2"/>
      </c>
      <c r="Q50" s="187">
        <f t="shared" ca="1" si="3"/>
      </c>
      <c r="R50" s="14"/>
      <c r="S50" s="187">
        <f t="shared" si="4"/>
      </c>
      <c r="T50" s="190">
        <f t="shared" si="5"/>
      </c>
    </row>
    <row r="51" spans="1:20" x14ac:dyDescent="0.35">
      <c r="A51" s="183">
        <f t="shared" si="1"/>
      </c>
      <c r="B51" s="185">
        <f t="shared" si="6"/>
      </c>
      <c r="C51" s="328"/>
      <c r="D51" s="327"/>
      <c r="E51" s="325"/>
      <c r="F51" s="14"/>
      <c r="G51" s="1"/>
      <c r="H51" s="1"/>
      <c r="I51" s="1"/>
      <c r="J51" s="1"/>
      <c r="K51" s="321"/>
      <c r="L51" s="14"/>
      <c r="M51" s="65"/>
      <c r="N51" s="65"/>
      <c r="O51" s="323"/>
      <c r="P51" s="186">
        <f t="shared" si="2"/>
      </c>
      <c r="Q51" s="187">
        <f t="shared" ca="1" si="3"/>
      </c>
      <c r="R51" s="14"/>
      <c r="S51" s="187">
        <f t="shared" si="4"/>
      </c>
      <c r="T51" s="190">
        <f t="shared" si="5"/>
      </c>
    </row>
    <row r="52" spans="1:20" x14ac:dyDescent="0.35">
      <c r="A52" s="183">
        <f t="shared" si="1"/>
      </c>
      <c r="B52" s="185">
        <f t="shared" si="6"/>
      </c>
      <c r="C52" s="328"/>
      <c r="D52" s="327"/>
      <c r="E52" s="325"/>
      <c r="F52" s="14"/>
      <c r="G52" s="1"/>
      <c r="H52" s="1"/>
      <c r="I52" s="1"/>
      <c r="J52" s="1"/>
      <c r="K52" s="321"/>
      <c r="L52" s="14"/>
      <c r="M52" s="65"/>
      <c r="N52" s="65"/>
      <c r="O52" s="323"/>
      <c r="P52" s="186">
        <f t="shared" si="2"/>
      </c>
      <c r="Q52" s="187">
        <f t="shared" ca="1" si="3"/>
      </c>
      <c r="R52" s="14"/>
      <c r="S52" s="187">
        <f t="shared" si="4"/>
      </c>
      <c r="T52" s="190">
        <f t="shared" si="5"/>
      </c>
    </row>
    <row r="53" spans="1:20" x14ac:dyDescent="0.35">
      <c r="A53" s="183">
        <f t="shared" si="1"/>
      </c>
      <c r="B53" s="185">
        <f t="shared" si="6"/>
      </c>
      <c r="C53" s="328"/>
      <c r="D53" s="327"/>
      <c r="E53" s="325"/>
      <c r="F53" s="14"/>
      <c r="G53" s="1"/>
      <c r="H53" s="1"/>
      <c r="I53" s="1"/>
      <c r="J53" s="1"/>
      <c r="K53" s="321"/>
      <c r="L53" s="14"/>
      <c r="M53" s="65"/>
      <c r="N53" s="65"/>
      <c r="O53" s="323"/>
      <c r="P53" s="186">
        <f t="shared" si="2"/>
      </c>
      <c r="Q53" s="187">
        <f t="shared" ca="1" si="3"/>
      </c>
      <c r="R53" s="14"/>
      <c r="S53" s="187">
        <f t="shared" si="4"/>
      </c>
      <c r="T53" s="190">
        <f t="shared" si="5"/>
      </c>
    </row>
    <row r="54" spans="1:20" x14ac:dyDescent="0.35">
      <c r="A54" s="183">
        <f t="shared" si="1"/>
      </c>
      <c r="B54" s="185">
        <f t="shared" si="6"/>
      </c>
      <c r="C54" s="328"/>
      <c r="D54" s="327"/>
      <c r="E54" s="325"/>
      <c r="F54" s="14"/>
      <c r="G54" s="1"/>
      <c r="H54" s="1"/>
      <c r="I54" s="1"/>
      <c r="J54" s="1"/>
      <c r="K54" s="321"/>
      <c r="L54" s="14"/>
      <c r="M54" s="65"/>
      <c r="N54" s="65"/>
      <c r="O54" s="323"/>
      <c r="P54" s="186">
        <f t="shared" si="2"/>
      </c>
      <c r="Q54" s="187">
        <f t="shared" ca="1" si="3"/>
      </c>
      <c r="R54" s="14"/>
      <c r="S54" s="187">
        <f t="shared" si="4"/>
      </c>
      <c r="T54" s="190">
        <f t="shared" si="5"/>
      </c>
    </row>
    <row r="55" spans="1:20" x14ac:dyDescent="0.35">
      <c r="A55" s="183">
        <f t="shared" si="1"/>
      </c>
      <c r="B55" s="185">
        <f t="shared" si="6"/>
      </c>
      <c r="C55" s="328"/>
      <c r="D55" s="327"/>
      <c r="E55" s="325"/>
      <c r="F55" s="14"/>
      <c r="G55" s="1"/>
      <c r="H55" s="1"/>
      <c r="I55" s="1"/>
      <c r="J55" s="1"/>
      <c r="K55" s="321"/>
      <c r="L55" s="14"/>
      <c r="M55" s="65"/>
      <c r="N55" s="65"/>
      <c r="O55" s="323"/>
      <c r="P55" s="186">
        <f t="shared" si="2"/>
      </c>
      <c r="Q55" s="187">
        <f t="shared" ca="1" si="3"/>
      </c>
      <c r="R55" s="14"/>
      <c r="S55" s="187">
        <f t="shared" si="4"/>
      </c>
      <c r="T55" s="190">
        <f t="shared" si="5"/>
      </c>
    </row>
    <row r="56" spans="1:20" x14ac:dyDescent="0.35">
      <c r="A56" s="183">
        <f t="shared" si="1"/>
      </c>
      <c r="B56" s="185">
        <f t="shared" si="6"/>
      </c>
      <c r="C56" s="328"/>
      <c r="D56" s="327"/>
      <c r="E56" s="325"/>
      <c r="F56" s="14"/>
      <c r="G56" s="1"/>
      <c r="H56" s="1"/>
      <c r="I56" s="1"/>
      <c r="J56" s="1"/>
      <c r="K56" s="321"/>
      <c r="L56" s="14"/>
      <c r="M56" s="65"/>
      <c r="N56" s="65"/>
      <c r="O56" s="323"/>
      <c r="P56" s="186">
        <f t="shared" si="2"/>
      </c>
      <c r="Q56" s="187">
        <f t="shared" ca="1" si="3"/>
      </c>
      <c r="R56" s="14"/>
      <c r="S56" s="187">
        <f t="shared" si="4"/>
      </c>
      <c r="T56" s="190">
        <f t="shared" si="5"/>
      </c>
    </row>
    <row r="57" spans="1:20" x14ac:dyDescent="0.35">
      <c r="A57" s="183">
        <f t="shared" si="1"/>
      </c>
      <c r="B57" s="185">
        <f t="shared" si="6"/>
      </c>
      <c r="C57" s="328"/>
      <c r="D57" s="327"/>
      <c r="E57" s="325"/>
      <c r="F57" s="14"/>
      <c r="G57" s="1"/>
      <c r="H57" s="1"/>
      <c r="I57" s="1"/>
      <c r="J57" s="1"/>
      <c r="K57" s="321"/>
      <c r="L57" s="14"/>
      <c r="M57" s="65"/>
      <c r="N57" s="65"/>
      <c r="O57" s="323"/>
      <c r="P57" s="186">
        <f t="shared" si="2"/>
      </c>
      <c r="Q57" s="187">
        <f t="shared" ca="1" si="3"/>
      </c>
      <c r="R57" s="14"/>
      <c r="S57" s="187">
        <f t="shared" si="4"/>
      </c>
      <c r="T57" s="190">
        <f t="shared" si="5"/>
      </c>
    </row>
    <row r="58" spans="1:20" x14ac:dyDescent="0.35">
      <c r="A58" s="183">
        <f t="shared" si="1"/>
      </c>
      <c r="B58" s="185">
        <f t="shared" si="6"/>
      </c>
      <c r="C58" s="328"/>
      <c r="D58" s="327"/>
      <c r="E58" s="325"/>
      <c r="F58" s="14"/>
      <c r="G58" s="1"/>
      <c r="H58" s="1"/>
      <c r="I58" s="1"/>
      <c r="J58" s="1"/>
      <c r="K58" s="321"/>
      <c r="L58" s="14"/>
      <c r="M58" s="65"/>
      <c r="N58" s="65"/>
      <c r="O58" s="323"/>
      <c r="P58" s="186">
        <f t="shared" si="2"/>
      </c>
      <c r="Q58" s="187">
        <f t="shared" ca="1" si="3"/>
      </c>
      <c r="R58" s="14"/>
      <c r="S58" s="187">
        <f t="shared" si="4"/>
      </c>
      <c r="T58" s="190">
        <f t="shared" si="5"/>
      </c>
    </row>
    <row r="59" spans="1:20" x14ac:dyDescent="0.35">
      <c r="A59" s="183">
        <f t="shared" si="1"/>
      </c>
      <c r="B59" s="185">
        <f t="shared" si="6"/>
      </c>
      <c r="C59" s="328"/>
      <c r="D59" s="327"/>
      <c r="E59" s="325"/>
      <c r="F59" s="14"/>
      <c r="G59" s="1"/>
      <c r="H59" s="1"/>
      <c r="I59" s="1"/>
      <c r="J59" s="1"/>
      <c r="K59" s="321"/>
      <c r="L59" s="14"/>
      <c r="M59" s="65"/>
      <c r="N59" s="65"/>
      <c r="O59" s="323"/>
      <c r="P59" s="186">
        <f t="shared" si="2"/>
      </c>
      <c r="Q59" s="187">
        <f t="shared" ca="1" si="3"/>
      </c>
      <c r="R59" s="14"/>
      <c r="S59" s="187">
        <f t="shared" si="4"/>
      </c>
      <c r="T59" s="190">
        <f t="shared" si="5"/>
      </c>
    </row>
    <row r="60" spans="1:20" x14ac:dyDescent="0.35">
      <c r="A60" s="183">
        <f t="shared" si="1"/>
      </c>
      <c r="B60" s="185">
        <f t="shared" si="6"/>
      </c>
      <c r="C60" s="328"/>
      <c r="D60" s="327"/>
      <c r="E60" s="325"/>
      <c r="F60" s="14"/>
      <c r="G60" s="1"/>
      <c r="H60" s="1"/>
      <c r="I60" s="1"/>
      <c r="J60" s="1"/>
      <c r="K60" s="321"/>
      <c r="L60" s="14"/>
      <c r="M60" s="65"/>
      <c r="N60" s="65"/>
      <c r="O60" s="323"/>
      <c r="P60" s="186">
        <f t="shared" si="2"/>
      </c>
      <c r="Q60" s="187">
        <f t="shared" ca="1" si="3"/>
      </c>
      <c r="R60" s="14"/>
      <c r="S60" s="187">
        <f t="shared" si="4"/>
      </c>
      <c r="T60" s="190">
        <f t="shared" si="5"/>
      </c>
    </row>
    <row r="61" spans="1:20" x14ac:dyDescent="0.35">
      <c r="A61" s="183">
        <f t="shared" si="1"/>
      </c>
      <c r="B61" s="185">
        <f t="shared" si="6"/>
      </c>
      <c r="C61" s="328"/>
      <c r="D61" s="327"/>
      <c r="E61" s="325"/>
      <c r="F61" s="14"/>
      <c r="G61" s="1"/>
      <c r="H61" s="1"/>
      <c r="I61" s="1"/>
      <c r="J61" s="1"/>
      <c r="K61" s="321"/>
      <c r="L61" s="14"/>
      <c r="M61" s="65"/>
      <c r="N61" s="65"/>
      <c r="O61" s="323"/>
      <c r="P61" s="186">
        <f t="shared" si="2"/>
      </c>
      <c r="Q61" s="187">
        <f t="shared" ca="1" si="3"/>
      </c>
      <c r="R61" s="14"/>
      <c r="S61" s="187">
        <f t="shared" si="4"/>
      </c>
      <c r="T61" s="190">
        <f t="shared" si="5"/>
      </c>
    </row>
    <row r="62" spans="1:20" x14ac:dyDescent="0.35">
      <c r="A62" s="183">
        <f t="shared" si="1"/>
      </c>
      <c r="B62" s="185">
        <f t="shared" si="6"/>
      </c>
      <c r="C62" s="328"/>
      <c r="D62" s="327"/>
      <c r="E62" s="325"/>
      <c r="F62" s="14"/>
      <c r="G62" s="1"/>
      <c r="H62" s="1"/>
      <c r="I62" s="1"/>
      <c r="J62" s="1"/>
      <c r="K62" s="321"/>
      <c r="L62" s="14"/>
      <c r="M62" s="65"/>
      <c r="N62" s="65"/>
      <c r="O62" s="323"/>
      <c r="P62" s="186">
        <f t="shared" si="2"/>
      </c>
      <c r="Q62" s="187">
        <f t="shared" ca="1" si="3"/>
      </c>
      <c r="R62" s="14"/>
      <c r="S62" s="187">
        <f t="shared" si="4"/>
      </c>
      <c r="T62" s="190">
        <f t="shared" si="5"/>
      </c>
    </row>
    <row r="63" spans="1:20" x14ac:dyDescent="0.35">
      <c r="A63" s="183">
        <f t="shared" si="1"/>
      </c>
      <c r="B63" s="185">
        <f t="shared" si="6"/>
      </c>
      <c r="C63" s="328"/>
      <c r="D63" s="327"/>
      <c r="E63" s="325"/>
      <c r="F63" s="14"/>
      <c r="G63" s="1"/>
      <c r="H63" s="1"/>
      <c r="I63" s="1"/>
      <c r="J63" s="1"/>
      <c r="K63" s="321"/>
      <c r="L63" s="14"/>
      <c r="M63" s="65"/>
      <c r="N63" s="65"/>
      <c r="O63" s="323"/>
      <c r="P63" s="186">
        <f t="shared" si="2"/>
      </c>
      <c r="Q63" s="187">
        <f t="shared" ca="1" si="3"/>
      </c>
      <c r="R63" s="14"/>
      <c r="S63" s="187">
        <f t="shared" si="4"/>
      </c>
      <c r="T63" s="190">
        <f t="shared" si="5"/>
      </c>
    </row>
    <row r="64" spans="1:20" x14ac:dyDescent="0.35">
      <c r="A64" s="183">
        <f t="shared" si="1"/>
      </c>
      <c r="B64" s="185">
        <f t="shared" si="6"/>
      </c>
      <c r="C64" s="328"/>
      <c r="D64" s="327"/>
      <c r="E64" s="325"/>
      <c r="F64" s="14"/>
      <c r="G64" s="1"/>
      <c r="H64" s="1"/>
      <c r="I64" s="1"/>
      <c r="J64" s="1"/>
      <c r="K64" s="321"/>
      <c r="L64" s="14"/>
      <c r="M64" s="65"/>
      <c r="N64" s="65"/>
      <c r="O64" s="323"/>
      <c r="P64" s="186">
        <f t="shared" si="2"/>
      </c>
      <c r="Q64" s="187">
        <f t="shared" ca="1" si="3"/>
      </c>
      <c r="R64" s="14"/>
      <c r="S64" s="187">
        <f t="shared" si="4"/>
      </c>
      <c r="T64" s="190">
        <f t="shared" si="5"/>
      </c>
    </row>
    <row r="65" spans="1:20" x14ac:dyDescent="0.35">
      <c r="A65" s="183">
        <f t="shared" si="1"/>
      </c>
      <c r="B65" s="185">
        <f t="shared" si="6"/>
      </c>
      <c r="C65" s="328"/>
      <c r="D65" s="327"/>
      <c r="E65" s="325"/>
      <c r="F65" s="14"/>
      <c r="G65" s="1"/>
      <c r="H65" s="1"/>
      <c r="I65" s="1"/>
      <c r="J65" s="1"/>
      <c r="K65" s="321"/>
      <c r="L65" s="14"/>
      <c r="M65" s="65"/>
      <c r="N65" s="65"/>
      <c r="O65" s="323"/>
      <c r="P65" s="186">
        <f t="shared" si="2"/>
      </c>
      <c r="Q65" s="187">
        <f t="shared" ca="1" si="3"/>
      </c>
      <c r="R65" s="14"/>
      <c r="S65" s="187">
        <f t="shared" si="4"/>
      </c>
      <c r="T65" s="190">
        <f t="shared" si="5"/>
      </c>
    </row>
    <row r="66" spans="1:20" x14ac:dyDescent="0.35">
      <c r="A66" s="183">
        <f t="shared" si="1"/>
      </c>
      <c r="B66" s="185">
        <f t="shared" si="6"/>
      </c>
      <c r="C66" s="328"/>
      <c r="D66" s="327"/>
      <c r="E66" s="325"/>
      <c r="F66" s="14"/>
      <c r="G66" s="1"/>
      <c r="H66" s="1"/>
      <c r="I66" s="1"/>
      <c r="J66" s="1"/>
      <c r="K66" s="321"/>
      <c r="L66" s="14"/>
      <c r="M66" s="65"/>
      <c r="N66" s="65"/>
      <c r="O66" s="323"/>
      <c r="P66" s="186">
        <f t="shared" si="2"/>
      </c>
      <c r="Q66" s="187">
        <f t="shared" ca="1" si="3"/>
      </c>
      <c r="R66" s="14"/>
      <c r="S66" s="187">
        <f t="shared" si="4"/>
      </c>
      <c r="T66" s="190">
        <f t="shared" si="5"/>
      </c>
    </row>
    <row r="67" spans="1:20" x14ac:dyDescent="0.35">
      <c r="A67" s="183">
        <f t="shared" si="1"/>
      </c>
      <c r="B67" s="185">
        <f t="shared" si="6"/>
      </c>
      <c r="C67" s="328"/>
      <c r="D67" s="327"/>
      <c r="E67" s="325"/>
      <c r="F67" s="14"/>
      <c r="G67" s="1"/>
      <c r="H67" s="1"/>
      <c r="I67" s="1"/>
      <c r="J67" s="1"/>
      <c r="K67" s="321"/>
      <c r="L67" s="14"/>
      <c r="M67" s="65"/>
      <c r="N67" s="65"/>
      <c r="O67" s="323"/>
      <c r="P67" s="186">
        <f t="shared" si="2"/>
      </c>
      <c r="Q67" s="187">
        <f t="shared" ca="1" si="3"/>
      </c>
      <c r="R67" s="14"/>
      <c r="S67" s="187">
        <f t="shared" si="4"/>
      </c>
      <c r="T67" s="190">
        <f t="shared" si="5"/>
      </c>
    </row>
    <row r="68" spans="1:20" x14ac:dyDescent="0.35">
      <c r="A68" s="183">
        <f t="shared" si="1"/>
      </c>
      <c r="B68" s="185">
        <f t="shared" si="6"/>
      </c>
      <c r="C68" s="328"/>
      <c r="D68" s="327"/>
      <c r="E68" s="325"/>
      <c r="F68" s="14"/>
      <c r="G68" s="1"/>
      <c r="H68" s="1"/>
      <c r="I68" s="1"/>
      <c r="J68" s="1"/>
      <c r="K68" s="321"/>
      <c r="L68" s="14"/>
      <c r="M68" s="65"/>
      <c r="N68" s="65"/>
      <c r="O68" s="323"/>
      <c r="P68" s="186">
        <f t="shared" si="2"/>
      </c>
      <c r="Q68" s="187">
        <f t="shared" ca="1" si="3"/>
      </c>
      <c r="R68" s="14"/>
      <c r="S68" s="187">
        <f t="shared" si="4"/>
      </c>
      <c r="T68" s="190">
        <f t="shared" si="5"/>
      </c>
    </row>
    <row r="69" spans="1:20" x14ac:dyDescent="0.35">
      <c r="A69" s="183">
        <f t="shared" si="1"/>
      </c>
      <c r="B69" s="185">
        <f t="shared" ref="B69:B100" si="7">IF(AND($C69="",$D69="",$E69=""),"","DR-"&amp;TEXT($A69,"000"))</f>
      </c>
      <c r="C69" s="328"/>
      <c r="D69" s="327"/>
      <c r="E69" s="325"/>
      <c r="F69" s="14"/>
      <c r="G69" s="1"/>
      <c r="H69" s="1"/>
      <c r="I69" s="1"/>
      <c r="J69" s="1"/>
      <c r="K69" s="321"/>
      <c r="L69" s="14"/>
      <c r="M69" s="65"/>
      <c r="N69" s="65"/>
      <c r="O69" s="323"/>
      <c r="P69" s="186">
        <f t="shared" si="2"/>
      </c>
      <c r="Q69" s="187">
        <f t="shared" ca="1" si="3"/>
      </c>
      <c r="R69" s="14"/>
      <c r="S69" s="187">
        <f t="shared" si="4"/>
      </c>
      <c r="T69" s="190">
        <f t="shared" si="5"/>
      </c>
    </row>
    <row r="70" spans="1:20" x14ac:dyDescent="0.35">
      <c r="A70" s="183">
        <f t="shared" ref="A70:A133" si="8">ROW()-4</f>
      </c>
      <c r="B70" s="185">
        <f t="shared" si="7"/>
      </c>
      <c r="C70" s="328"/>
      <c r="D70" s="327"/>
      <c r="E70" s="325"/>
      <c r="F70" s="14"/>
      <c r="G70" s="1"/>
      <c r="H70" s="1"/>
      <c r="I70" s="1"/>
      <c r="J70" s="1"/>
      <c r="K70" s="321"/>
      <c r="L70" s="14"/>
      <c r="M70" s="65"/>
      <c r="N70" s="65"/>
      <c r="O70" s="323"/>
      <c r="P70" s="186">
        <f t="shared" ref="P70:P133" si="9">IF($M70="","",EDATE($M70,12))</f>
      </c>
      <c r="Q70" s="187">
        <f t="shared" ref="Q70:Q133" ca="1" si="10">IF($E70="","",IF($K70="None (gap)","GAP - no DR",IF(OR($S70="Not Assessed",$T70="Not Assessed"),"Recovery Targets Incomplete",IF($M70="","Not Tested",IF(AND($P70&lt;&gt;"",$P70&lt;TODAY()),"Test Overdue",IF($O70="","Not Tested",IF($O70&lt;&gt;"Pass","Retest Required",IF(OR($S70&lt;&gt;"RTO Complied",$T70&lt;&gt;"RPO Complied"),"Recovery Not Compliant","Tested &amp; Current"))))))))</f>
      </c>
      <c r="R70" s="14"/>
      <c r="S70" s="187">
        <f t="shared" ref="S70:S133" si="11">IF($E70="","",IF(OR(NOT(ISNUMBER($G70)),NOT(ISNUMBER($I70))),"Not Assessed",IF($I70&lt;=$G70,"RTO Complied","RTO Not Complied")))</f>
      </c>
      <c r="T70" s="190">
        <f t="shared" ref="T70:T133" si="12">IF($E70="","",IF(OR(NOT(ISNUMBER($H70)),NOT(ISNUMBER($J70))),"Not Assessed",IF($J70&lt;=$H70,"RPO Complied","RPO Not Complied")))</f>
      </c>
    </row>
    <row r="71" spans="1:20" x14ac:dyDescent="0.35">
      <c r="A71" s="183">
        <f t="shared" si="8"/>
      </c>
      <c r="B71" s="185">
        <f t="shared" si="7"/>
      </c>
      <c r="C71" s="328"/>
      <c r="D71" s="327"/>
      <c r="E71" s="325"/>
      <c r="F71" s="14"/>
      <c r="G71" s="1"/>
      <c r="H71" s="1"/>
      <c r="I71" s="1"/>
      <c r="J71" s="1"/>
      <c r="K71" s="321"/>
      <c r="L71" s="14"/>
      <c r="M71" s="65"/>
      <c r="N71" s="65"/>
      <c r="O71" s="323"/>
      <c r="P71" s="186">
        <f t="shared" si="9"/>
      </c>
      <c r="Q71" s="187">
        <f t="shared" ca="1" si="10"/>
      </c>
      <c r="R71" s="14"/>
      <c r="S71" s="187">
        <f t="shared" si="11"/>
      </c>
      <c r="T71" s="190">
        <f t="shared" si="12"/>
      </c>
    </row>
    <row r="72" spans="1:20" x14ac:dyDescent="0.35">
      <c r="A72" s="183">
        <f t="shared" si="8"/>
      </c>
      <c r="B72" s="185">
        <f t="shared" si="7"/>
      </c>
      <c r="C72" s="328"/>
      <c r="D72" s="327"/>
      <c r="E72" s="325"/>
      <c r="F72" s="14"/>
      <c r="G72" s="1"/>
      <c r="H72" s="1"/>
      <c r="I72" s="1"/>
      <c r="J72" s="1"/>
      <c r="K72" s="321"/>
      <c r="L72" s="14"/>
      <c r="M72" s="65"/>
      <c r="N72" s="65"/>
      <c r="O72" s="323"/>
      <c r="P72" s="186">
        <f t="shared" si="9"/>
      </c>
      <c r="Q72" s="187">
        <f t="shared" ca="1" si="10"/>
      </c>
      <c r="R72" s="14"/>
      <c r="S72" s="187">
        <f t="shared" si="11"/>
      </c>
      <c r="T72" s="190">
        <f t="shared" si="12"/>
      </c>
    </row>
    <row r="73" spans="1:20" x14ac:dyDescent="0.35">
      <c r="A73" s="183">
        <f t="shared" si="8"/>
      </c>
      <c r="B73" s="185">
        <f t="shared" si="7"/>
      </c>
      <c r="C73" s="328"/>
      <c r="D73" s="327"/>
      <c r="E73" s="325"/>
      <c r="F73" s="14"/>
      <c r="G73" s="1"/>
      <c r="H73" s="1"/>
      <c r="I73" s="1"/>
      <c r="J73" s="1"/>
      <c r="K73" s="321"/>
      <c r="L73" s="14"/>
      <c r="M73" s="65"/>
      <c r="N73" s="65"/>
      <c r="O73" s="323"/>
      <c r="P73" s="186">
        <f t="shared" si="9"/>
      </c>
      <c r="Q73" s="187">
        <f t="shared" ca="1" si="10"/>
      </c>
      <c r="R73" s="14"/>
      <c r="S73" s="187">
        <f t="shared" si="11"/>
      </c>
      <c r="T73" s="190">
        <f t="shared" si="12"/>
      </c>
    </row>
    <row r="74" spans="1:20" x14ac:dyDescent="0.35">
      <c r="A74" s="183">
        <f t="shared" si="8"/>
      </c>
      <c r="B74" s="185">
        <f t="shared" si="7"/>
      </c>
      <c r="C74" s="328"/>
      <c r="D74" s="327"/>
      <c r="E74" s="325"/>
      <c r="F74" s="14"/>
      <c r="G74" s="1"/>
      <c r="H74" s="1"/>
      <c r="I74" s="1"/>
      <c r="J74" s="1"/>
      <c r="K74" s="321"/>
      <c r="L74" s="14"/>
      <c r="M74" s="65"/>
      <c r="N74" s="65"/>
      <c r="O74" s="323"/>
      <c r="P74" s="186">
        <f t="shared" si="9"/>
      </c>
      <c r="Q74" s="187">
        <f t="shared" ca="1" si="10"/>
      </c>
      <c r="R74" s="14"/>
      <c r="S74" s="187">
        <f t="shared" si="11"/>
      </c>
      <c r="T74" s="190">
        <f t="shared" si="12"/>
      </c>
    </row>
    <row r="75" spans="1:20" x14ac:dyDescent="0.35">
      <c r="A75" s="183">
        <f t="shared" si="8"/>
      </c>
      <c r="B75" s="185">
        <f t="shared" si="7"/>
      </c>
      <c r="C75" s="328"/>
      <c r="D75" s="327"/>
      <c r="E75" s="325"/>
      <c r="F75" s="14"/>
      <c r="G75" s="1"/>
      <c r="H75" s="1"/>
      <c r="I75" s="1"/>
      <c r="J75" s="1"/>
      <c r="K75" s="321"/>
      <c r="L75" s="14"/>
      <c r="M75" s="65"/>
      <c r="N75" s="65"/>
      <c r="O75" s="323"/>
      <c r="P75" s="186">
        <f t="shared" si="9"/>
      </c>
      <c r="Q75" s="187">
        <f t="shared" ca="1" si="10"/>
      </c>
      <c r="R75" s="14"/>
      <c r="S75" s="187">
        <f t="shared" si="11"/>
      </c>
      <c r="T75" s="190">
        <f t="shared" si="12"/>
      </c>
    </row>
    <row r="76" spans="1:20" x14ac:dyDescent="0.35">
      <c r="A76" s="183">
        <f t="shared" si="8"/>
      </c>
      <c r="B76" s="185">
        <f t="shared" si="7"/>
      </c>
      <c r="C76" s="328"/>
      <c r="D76" s="327"/>
      <c r="E76" s="325"/>
      <c r="F76" s="14"/>
      <c r="G76" s="1"/>
      <c r="H76" s="1"/>
      <c r="I76" s="1"/>
      <c r="J76" s="1"/>
      <c r="K76" s="321"/>
      <c r="L76" s="14"/>
      <c r="M76" s="65"/>
      <c r="N76" s="65"/>
      <c r="O76" s="323"/>
      <c r="P76" s="186">
        <f t="shared" si="9"/>
      </c>
      <c r="Q76" s="187">
        <f t="shared" ca="1" si="10"/>
      </c>
      <c r="R76" s="14"/>
      <c r="S76" s="187">
        <f t="shared" si="11"/>
      </c>
      <c r="T76" s="190">
        <f t="shared" si="12"/>
      </c>
    </row>
    <row r="77" spans="1:20" x14ac:dyDescent="0.35">
      <c r="A77" s="183">
        <f t="shared" si="8"/>
      </c>
      <c r="B77" s="185">
        <f t="shared" si="7"/>
      </c>
      <c r="C77" s="328"/>
      <c r="D77" s="327"/>
      <c r="E77" s="325"/>
      <c r="F77" s="14"/>
      <c r="G77" s="1"/>
      <c r="H77" s="1"/>
      <c r="I77" s="1"/>
      <c r="J77" s="1"/>
      <c r="K77" s="321"/>
      <c r="L77" s="14"/>
      <c r="M77" s="65"/>
      <c r="N77" s="65"/>
      <c r="O77" s="323"/>
      <c r="P77" s="186">
        <f t="shared" si="9"/>
      </c>
      <c r="Q77" s="187">
        <f t="shared" ca="1" si="10"/>
      </c>
      <c r="R77" s="14"/>
      <c r="S77" s="187">
        <f t="shared" si="11"/>
      </c>
      <c r="T77" s="190">
        <f t="shared" si="12"/>
      </c>
    </row>
    <row r="78" spans="1:20" x14ac:dyDescent="0.35">
      <c r="A78" s="183">
        <f t="shared" si="8"/>
      </c>
      <c r="B78" s="185">
        <f t="shared" si="7"/>
      </c>
      <c r="C78" s="328"/>
      <c r="D78" s="327"/>
      <c r="E78" s="325"/>
      <c r="F78" s="14"/>
      <c r="G78" s="1"/>
      <c r="H78" s="1"/>
      <c r="I78" s="1"/>
      <c r="J78" s="1"/>
      <c r="K78" s="321"/>
      <c r="L78" s="14"/>
      <c r="M78" s="65"/>
      <c r="N78" s="65"/>
      <c r="O78" s="323"/>
      <c r="P78" s="186">
        <f t="shared" si="9"/>
      </c>
      <c r="Q78" s="187">
        <f t="shared" ca="1" si="10"/>
      </c>
      <c r="R78" s="14"/>
      <c r="S78" s="187">
        <f t="shared" si="11"/>
      </c>
      <c r="T78" s="190">
        <f t="shared" si="12"/>
      </c>
    </row>
    <row r="79" spans="1:20" x14ac:dyDescent="0.35">
      <c r="A79" s="183">
        <f t="shared" si="8"/>
      </c>
      <c r="B79" s="185">
        <f t="shared" si="7"/>
      </c>
      <c r="C79" s="328"/>
      <c r="D79" s="327"/>
      <c r="E79" s="325"/>
      <c r="F79" s="14"/>
      <c r="G79" s="1"/>
      <c r="H79" s="1"/>
      <c r="I79" s="1"/>
      <c r="J79" s="1"/>
      <c r="K79" s="321"/>
      <c r="L79" s="14"/>
      <c r="M79" s="65"/>
      <c r="N79" s="65"/>
      <c r="O79" s="323"/>
      <c r="P79" s="186">
        <f t="shared" si="9"/>
      </c>
      <c r="Q79" s="187">
        <f t="shared" ca="1" si="10"/>
      </c>
      <c r="R79" s="14"/>
      <c r="S79" s="187">
        <f t="shared" si="11"/>
      </c>
      <c r="T79" s="190">
        <f t="shared" si="12"/>
      </c>
    </row>
    <row r="80" spans="1:20" x14ac:dyDescent="0.35">
      <c r="A80" s="183">
        <f t="shared" si="8"/>
      </c>
      <c r="B80" s="185">
        <f t="shared" si="7"/>
      </c>
      <c r="C80" s="328"/>
      <c r="D80" s="327"/>
      <c r="E80" s="325"/>
      <c r="F80" s="14"/>
      <c r="G80" s="1"/>
      <c r="H80" s="1"/>
      <c r="I80" s="1"/>
      <c r="J80" s="1"/>
      <c r="K80" s="321"/>
      <c r="L80" s="14"/>
      <c r="M80" s="65"/>
      <c r="N80" s="65"/>
      <c r="O80" s="323"/>
      <c r="P80" s="186">
        <f t="shared" si="9"/>
      </c>
      <c r="Q80" s="187">
        <f t="shared" ca="1" si="10"/>
      </c>
      <c r="R80" s="14"/>
      <c r="S80" s="187">
        <f t="shared" si="11"/>
      </c>
      <c r="T80" s="190">
        <f t="shared" si="12"/>
      </c>
    </row>
    <row r="81" spans="1:20" x14ac:dyDescent="0.35">
      <c r="A81" s="183">
        <f t="shared" si="8"/>
      </c>
      <c r="B81" s="185">
        <f t="shared" si="7"/>
      </c>
      <c r="C81" s="328"/>
      <c r="D81" s="327"/>
      <c r="E81" s="325"/>
      <c r="F81" s="14"/>
      <c r="G81" s="1"/>
      <c r="H81" s="1"/>
      <c r="I81" s="1"/>
      <c r="J81" s="1"/>
      <c r="K81" s="321"/>
      <c r="L81" s="14"/>
      <c r="M81" s="65"/>
      <c r="N81" s="65"/>
      <c r="O81" s="323"/>
      <c r="P81" s="186">
        <f t="shared" si="9"/>
      </c>
      <c r="Q81" s="187">
        <f t="shared" ca="1" si="10"/>
      </c>
      <c r="R81" s="14"/>
      <c r="S81" s="187">
        <f t="shared" si="11"/>
      </c>
      <c r="T81" s="190">
        <f t="shared" si="12"/>
      </c>
    </row>
    <row r="82" spans="1:20" x14ac:dyDescent="0.35">
      <c r="A82" s="183">
        <f t="shared" si="8"/>
      </c>
      <c r="B82" s="185">
        <f t="shared" si="7"/>
      </c>
      <c r="C82" s="328"/>
      <c r="D82" s="327"/>
      <c r="E82" s="325"/>
      <c r="F82" s="14"/>
      <c r="G82" s="1"/>
      <c r="H82" s="1"/>
      <c r="I82" s="1"/>
      <c r="J82" s="1"/>
      <c r="K82" s="321"/>
      <c r="L82" s="14"/>
      <c r="M82" s="65"/>
      <c r="N82" s="65"/>
      <c r="O82" s="323"/>
      <c r="P82" s="186">
        <f t="shared" si="9"/>
      </c>
      <c r="Q82" s="187">
        <f t="shared" ca="1" si="10"/>
      </c>
      <c r="R82" s="14"/>
      <c r="S82" s="187">
        <f t="shared" si="11"/>
      </c>
      <c r="T82" s="190">
        <f t="shared" si="12"/>
      </c>
    </row>
    <row r="83" spans="1:20" x14ac:dyDescent="0.35">
      <c r="A83" s="183">
        <f t="shared" si="8"/>
      </c>
      <c r="B83" s="185">
        <f t="shared" si="7"/>
      </c>
      <c r="C83" s="328"/>
      <c r="D83" s="327"/>
      <c r="E83" s="325"/>
      <c r="F83" s="14"/>
      <c r="G83" s="1"/>
      <c r="H83" s="1"/>
      <c r="I83" s="1"/>
      <c r="J83" s="1"/>
      <c r="K83" s="321"/>
      <c r="L83" s="14"/>
      <c r="M83" s="65"/>
      <c r="N83" s="65"/>
      <c r="O83" s="323"/>
      <c r="P83" s="186">
        <f t="shared" si="9"/>
      </c>
      <c r="Q83" s="187">
        <f t="shared" ca="1" si="10"/>
      </c>
      <c r="R83" s="14"/>
      <c r="S83" s="187">
        <f t="shared" si="11"/>
      </c>
      <c r="T83" s="190">
        <f t="shared" si="12"/>
      </c>
    </row>
    <row r="84" spans="1:20" x14ac:dyDescent="0.35">
      <c r="A84" s="183">
        <f t="shared" si="8"/>
      </c>
      <c r="B84" s="185">
        <f t="shared" si="7"/>
      </c>
      <c r="C84" s="328"/>
      <c r="D84" s="327"/>
      <c r="E84" s="325"/>
      <c r="F84" s="14"/>
      <c r="G84" s="1"/>
      <c r="H84" s="1"/>
      <c r="I84" s="1"/>
      <c r="J84" s="1"/>
      <c r="K84" s="321"/>
      <c r="L84" s="14"/>
      <c r="M84" s="65"/>
      <c r="N84" s="65"/>
      <c r="O84" s="323"/>
      <c r="P84" s="186">
        <f t="shared" si="9"/>
      </c>
      <c r="Q84" s="187">
        <f t="shared" ca="1" si="10"/>
      </c>
      <c r="R84" s="14"/>
      <c r="S84" s="187">
        <f t="shared" si="11"/>
      </c>
      <c r="T84" s="190">
        <f t="shared" si="12"/>
      </c>
    </row>
    <row r="85" spans="1:20" x14ac:dyDescent="0.35">
      <c r="A85" s="183">
        <f t="shared" si="8"/>
      </c>
      <c r="B85" s="185">
        <f t="shared" si="7"/>
      </c>
      <c r="C85" s="328"/>
      <c r="D85" s="327"/>
      <c r="E85" s="325"/>
      <c r="F85" s="14"/>
      <c r="G85" s="1"/>
      <c r="H85" s="1"/>
      <c r="I85" s="1"/>
      <c r="J85" s="1"/>
      <c r="K85" s="321"/>
      <c r="L85" s="14"/>
      <c r="M85" s="65"/>
      <c r="N85" s="65"/>
      <c r="O85" s="323"/>
      <c r="P85" s="186">
        <f t="shared" si="9"/>
      </c>
      <c r="Q85" s="187">
        <f t="shared" ca="1" si="10"/>
      </c>
      <c r="R85" s="14"/>
      <c r="S85" s="187">
        <f t="shared" si="11"/>
      </c>
      <c r="T85" s="190">
        <f t="shared" si="12"/>
      </c>
    </row>
    <row r="86" spans="1:20" x14ac:dyDescent="0.35">
      <c r="A86" s="183">
        <f t="shared" si="8"/>
      </c>
      <c r="B86" s="185">
        <f t="shared" si="7"/>
      </c>
      <c r="C86" s="328"/>
      <c r="D86" s="327"/>
      <c r="E86" s="325"/>
      <c r="F86" s="14"/>
      <c r="G86" s="1"/>
      <c r="H86" s="1"/>
      <c r="I86" s="1"/>
      <c r="J86" s="1"/>
      <c r="K86" s="321"/>
      <c r="L86" s="14"/>
      <c r="M86" s="65"/>
      <c r="N86" s="65"/>
      <c r="O86" s="323"/>
      <c r="P86" s="186">
        <f t="shared" si="9"/>
      </c>
      <c r="Q86" s="187">
        <f t="shared" ca="1" si="10"/>
      </c>
      <c r="R86" s="14"/>
      <c r="S86" s="187">
        <f t="shared" si="11"/>
      </c>
      <c r="T86" s="190">
        <f t="shared" si="12"/>
      </c>
    </row>
    <row r="87" spans="1:20" x14ac:dyDescent="0.35">
      <c r="A87" s="183">
        <f t="shared" si="8"/>
      </c>
      <c r="B87" s="185">
        <f t="shared" si="7"/>
      </c>
      <c r="C87" s="328"/>
      <c r="D87" s="327"/>
      <c r="E87" s="325"/>
      <c r="F87" s="14"/>
      <c r="G87" s="1"/>
      <c r="H87" s="1"/>
      <c r="I87" s="1"/>
      <c r="J87" s="1"/>
      <c r="K87" s="321"/>
      <c r="L87" s="14"/>
      <c r="M87" s="65"/>
      <c r="N87" s="65"/>
      <c r="O87" s="323"/>
      <c r="P87" s="186">
        <f t="shared" si="9"/>
      </c>
      <c r="Q87" s="187">
        <f t="shared" ca="1" si="10"/>
      </c>
      <c r="R87" s="14"/>
      <c r="S87" s="187">
        <f t="shared" si="11"/>
      </c>
      <c r="T87" s="190">
        <f t="shared" si="12"/>
      </c>
    </row>
    <row r="88" spans="1:20" x14ac:dyDescent="0.35">
      <c r="A88" s="183">
        <f t="shared" si="8"/>
      </c>
      <c r="B88" s="185">
        <f t="shared" si="7"/>
      </c>
      <c r="C88" s="328"/>
      <c r="D88" s="327"/>
      <c r="E88" s="325"/>
      <c r="F88" s="14"/>
      <c r="G88" s="1"/>
      <c r="H88" s="1"/>
      <c r="I88" s="1"/>
      <c r="J88" s="1"/>
      <c r="K88" s="321"/>
      <c r="L88" s="14"/>
      <c r="M88" s="65"/>
      <c r="N88" s="65"/>
      <c r="O88" s="323"/>
      <c r="P88" s="186">
        <f t="shared" si="9"/>
      </c>
      <c r="Q88" s="187">
        <f t="shared" ca="1" si="10"/>
      </c>
      <c r="R88" s="14"/>
      <c r="S88" s="187">
        <f t="shared" si="11"/>
      </c>
      <c r="T88" s="190">
        <f t="shared" si="12"/>
      </c>
    </row>
    <row r="89" spans="1:20" x14ac:dyDescent="0.35">
      <c r="A89" s="183">
        <f t="shared" si="8"/>
      </c>
      <c r="B89" s="185">
        <f t="shared" si="7"/>
      </c>
      <c r="C89" s="328"/>
      <c r="D89" s="327"/>
      <c r="E89" s="325"/>
      <c r="F89" s="14"/>
      <c r="G89" s="1"/>
      <c r="H89" s="1"/>
      <c r="I89" s="1"/>
      <c r="J89" s="1"/>
      <c r="K89" s="321"/>
      <c r="L89" s="14"/>
      <c r="M89" s="65"/>
      <c r="N89" s="65"/>
      <c r="O89" s="323"/>
      <c r="P89" s="186">
        <f t="shared" si="9"/>
      </c>
      <c r="Q89" s="187">
        <f t="shared" ca="1" si="10"/>
      </c>
      <c r="R89" s="14"/>
      <c r="S89" s="187">
        <f t="shared" si="11"/>
      </c>
      <c r="T89" s="190">
        <f t="shared" si="12"/>
      </c>
    </row>
    <row r="90" spans="1:20" x14ac:dyDescent="0.35">
      <c r="A90" s="183">
        <f t="shared" si="8"/>
      </c>
      <c r="B90" s="185">
        <f t="shared" si="7"/>
      </c>
      <c r="C90" s="328"/>
      <c r="D90" s="327"/>
      <c r="E90" s="325"/>
      <c r="F90" s="14"/>
      <c r="G90" s="1"/>
      <c r="H90" s="1"/>
      <c r="I90" s="1"/>
      <c r="J90" s="1"/>
      <c r="K90" s="321"/>
      <c r="L90" s="14"/>
      <c r="M90" s="65"/>
      <c r="N90" s="65"/>
      <c r="O90" s="323"/>
      <c r="P90" s="186">
        <f t="shared" si="9"/>
      </c>
      <c r="Q90" s="187">
        <f t="shared" ca="1" si="10"/>
      </c>
      <c r="R90" s="14"/>
      <c r="S90" s="187">
        <f t="shared" si="11"/>
      </c>
      <c r="T90" s="190">
        <f t="shared" si="12"/>
      </c>
    </row>
    <row r="91" spans="1:20" x14ac:dyDescent="0.35">
      <c r="A91" s="183">
        <f t="shared" si="8"/>
      </c>
      <c r="B91" s="185">
        <f t="shared" si="7"/>
      </c>
      <c r="C91" s="328"/>
      <c r="D91" s="327"/>
      <c r="E91" s="325"/>
      <c r="F91" s="14"/>
      <c r="G91" s="1"/>
      <c r="H91" s="1"/>
      <c r="I91" s="1"/>
      <c r="J91" s="1"/>
      <c r="K91" s="321"/>
      <c r="L91" s="14"/>
      <c r="M91" s="65"/>
      <c r="N91" s="65"/>
      <c r="O91" s="323"/>
      <c r="P91" s="186">
        <f t="shared" si="9"/>
      </c>
      <c r="Q91" s="187">
        <f t="shared" ca="1" si="10"/>
      </c>
      <c r="R91" s="14"/>
      <c r="S91" s="187">
        <f t="shared" si="11"/>
      </c>
      <c r="T91" s="190">
        <f t="shared" si="12"/>
      </c>
    </row>
    <row r="92" spans="1:20" x14ac:dyDescent="0.35">
      <c r="A92" s="183">
        <f t="shared" si="8"/>
      </c>
      <c r="B92" s="185">
        <f t="shared" si="7"/>
      </c>
      <c r="C92" s="328"/>
      <c r="D92" s="327"/>
      <c r="E92" s="325"/>
      <c r="F92" s="14"/>
      <c r="G92" s="1"/>
      <c r="H92" s="1"/>
      <c r="I92" s="1"/>
      <c r="J92" s="1"/>
      <c r="K92" s="321"/>
      <c r="L92" s="14"/>
      <c r="M92" s="65"/>
      <c r="N92" s="65"/>
      <c r="O92" s="323"/>
      <c r="P92" s="186">
        <f t="shared" si="9"/>
      </c>
      <c r="Q92" s="187">
        <f t="shared" ca="1" si="10"/>
      </c>
      <c r="R92" s="14"/>
      <c r="S92" s="187">
        <f t="shared" si="11"/>
      </c>
      <c r="T92" s="190">
        <f t="shared" si="12"/>
      </c>
    </row>
    <row r="93" spans="1:20" x14ac:dyDescent="0.35">
      <c r="A93" s="183">
        <f t="shared" si="8"/>
      </c>
      <c r="B93" s="185">
        <f t="shared" si="7"/>
      </c>
      <c r="C93" s="328"/>
      <c r="D93" s="327"/>
      <c r="E93" s="325"/>
      <c r="F93" s="14"/>
      <c r="G93" s="1"/>
      <c r="H93" s="1"/>
      <c r="I93" s="1"/>
      <c r="J93" s="1"/>
      <c r="K93" s="321"/>
      <c r="L93" s="14"/>
      <c r="M93" s="65"/>
      <c r="N93" s="65"/>
      <c r="O93" s="323"/>
      <c r="P93" s="186">
        <f t="shared" si="9"/>
      </c>
      <c r="Q93" s="187">
        <f t="shared" ca="1" si="10"/>
      </c>
      <c r="R93" s="14"/>
      <c r="S93" s="187">
        <f t="shared" si="11"/>
      </c>
      <c r="T93" s="190">
        <f t="shared" si="12"/>
      </c>
    </row>
    <row r="94" spans="1:20" x14ac:dyDescent="0.35">
      <c r="A94" s="183">
        <f t="shared" si="8"/>
      </c>
      <c r="B94" s="185">
        <f t="shared" si="7"/>
      </c>
      <c r="C94" s="328"/>
      <c r="D94" s="327"/>
      <c r="E94" s="325"/>
      <c r="F94" s="14"/>
      <c r="G94" s="1"/>
      <c r="H94" s="1"/>
      <c r="I94" s="1"/>
      <c r="J94" s="1"/>
      <c r="K94" s="321"/>
      <c r="L94" s="14"/>
      <c r="M94" s="65"/>
      <c r="N94" s="65"/>
      <c r="O94" s="323"/>
      <c r="P94" s="186">
        <f t="shared" si="9"/>
      </c>
      <c r="Q94" s="187">
        <f t="shared" ca="1" si="10"/>
      </c>
      <c r="R94" s="14"/>
      <c r="S94" s="187">
        <f t="shared" si="11"/>
      </c>
      <c r="T94" s="190">
        <f t="shared" si="12"/>
      </c>
    </row>
    <row r="95" spans="1:20" x14ac:dyDescent="0.35">
      <c r="A95" s="183">
        <f t="shared" si="8"/>
      </c>
      <c r="B95" s="185">
        <f t="shared" si="7"/>
      </c>
      <c r="C95" s="328"/>
      <c r="D95" s="327"/>
      <c r="E95" s="325"/>
      <c r="F95" s="14"/>
      <c r="G95" s="1"/>
      <c r="H95" s="1"/>
      <c r="I95" s="1"/>
      <c r="J95" s="1"/>
      <c r="K95" s="321"/>
      <c r="L95" s="14"/>
      <c r="M95" s="65"/>
      <c r="N95" s="65"/>
      <c r="O95" s="323"/>
      <c r="P95" s="186">
        <f t="shared" si="9"/>
      </c>
      <c r="Q95" s="187">
        <f t="shared" ca="1" si="10"/>
      </c>
      <c r="R95" s="14"/>
      <c r="S95" s="187">
        <f t="shared" si="11"/>
      </c>
      <c r="T95" s="190">
        <f t="shared" si="12"/>
      </c>
    </row>
    <row r="96" spans="1:20" x14ac:dyDescent="0.35">
      <c r="A96" s="183">
        <f t="shared" si="8"/>
      </c>
      <c r="B96" s="185">
        <f t="shared" si="7"/>
      </c>
      <c r="C96" s="328"/>
      <c r="D96" s="327"/>
      <c r="E96" s="325"/>
      <c r="F96" s="14"/>
      <c r="G96" s="1"/>
      <c r="H96" s="1"/>
      <c r="I96" s="1"/>
      <c r="J96" s="1"/>
      <c r="K96" s="321"/>
      <c r="L96" s="14"/>
      <c r="M96" s="65"/>
      <c r="N96" s="65"/>
      <c r="O96" s="323"/>
      <c r="P96" s="186">
        <f t="shared" si="9"/>
      </c>
      <c r="Q96" s="187">
        <f t="shared" ca="1" si="10"/>
      </c>
      <c r="R96" s="14"/>
      <c r="S96" s="187">
        <f t="shared" si="11"/>
      </c>
      <c r="T96" s="190">
        <f t="shared" si="12"/>
      </c>
    </row>
    <row r="97" spans="1:20" x14ac:dyDescent="0.35">
      <c r="A97" s="183">
        <f t="shared" si="8"/>
      </c>
      <c r="B97" s="185">
        <f t="shared" si="7"/>
      </c>
      <c r="C97" s="328"/>
      <c r="D97" s="327"/>
      <c r="E97" s="325"/>
      <c r="F97" s="14"/>
      <c r="G97" s="1"/>
      <c r="H97" s="1"/>
      <c r="I97" s="1"/>
      <c r="J97" s="1"/>
      <c r="K97" s="321"/>
      <c r="L97" s="14"/>
      <c r="M97" s="65"/>
      <c r="N97" s="65"/>
      <c r="O97" s="323"/>
      <c r="P97" s="186">
        <f t="shared" si="9"/>
      </c>
      <c r="Q97" s="187">
        <f t="shared" ca="1" si="10"/>
      </c>
      <c r="R97" s="14"/>
      <c r="S97" s="187">
        <f t="shared" si="11"/>
      </c>
      <c r="T97" s="190">
        <f t="shared" si="12"/>
      </c>
    </row>
    <row r="98" spans="1:20" x14ac:dyDescent="0.35">
      <c r="A98" s="183">
        <f t="shared" si="8"/>
      </c>
      <c r="B98" s="185">
        <f t="shared" si="7"/>
      </c>
      <c r="C98" s="328"/>
      <c r="D98" s="327"/>
      <c r="E98" s="325"/>
      <c r="F98" s="14"/>
      <c r="G98" s="1"/>
      <c r="H98" s="1"/>
      <c r="I98" s="1"/>
      <c r="J98" s="1"/>
      <c r="K98" s="321"/>
      <c r="L98" s="14"/>
      <c r="M98" s="65"/>
      <c r="N98" s="65"/>
      <c r="O98" s="323"/>
      <c r="P98" s="186">
        <f t="shared" si="9"/>
      </c>
      <c r="Q98" s="187">
        <f t="shared" ca="1" si="10"/>
      </c>
      <c r="R98" s="14"/>
      <c r="S98" s="187">
        <f t="shared" si="11"/>
      </c>
      <c r="T98" s="190">
        <f t="shared" si="12"/>
      </c>
    </row>
    <row r="99" spans="1:20" x14ac:dyDescent="0.35">
      <c r="A99" s="183">
        <f t="shared" si="8"/>
      </c>
      <c r="B99" s="185">
        <f t="shared" si="7"/>
      </c>
      <c r="C99" s="328"/>
      <c r="D99" s="327"/>
      <c r="E99" s="325"/>
      <c r="F99" s="14"/>
      <c r="G99" s="1"/>
      <c r="H99" s="1"/>
      <c r="I99" s="1"/>
      <c r="J99" s="1"/>
      <c r="K99" s="321"/>
      <c r="L99" s="14"/>
      <c r="M99" s="65"/>
      <c r="N99" s="65"/>
      <c r="O99" s="323"/>
      <c r="P99" s="186">
        <f t="shared" si="9"/>
      </c>
      <c r="Q99" s="187">
        <f t="shared" ca="1" si="10"/>
      </c>
      <c r="R99" s="14"/>
      <c r="S99" s="187">
        <f t="shared" si="11"/>
      </c>
      <c r="T99" s="190">
        <f t="shared" si="12"/>
      </c>
    </row>
    <row r="100" spans="1:20" x14ac:dyDescent="0.35">
      <c r="A100" s="183">
        <f t="shared" si="8"/>
      </c>
      <c r="B100" s="185">
        <f t="shared" si="7"/>
      </c>
      <c r="C100" s="328"/>
      <c r="D100" s="327"/>
      <c r="E100" s="325"/>
      <c r="F100" s="14"/>
      <c r="G100" s="1"/>
      <c r="H100" s="1"/>
      <c r="I100" s="1"/>
      <c r="J100" s="1"/>
      <c r="K100" s="321"/>
      <c r="L100" s="14"/>
      <c r="M100" s="65"/>
      <c r="N100" s="65"/>
      <c r="O100" s="323"/>
      <c r="P100" s="186">
        <f t="shared" si="9"/>
      </c>
      <c r="Q100" s="187">
        <f t="shared" ca="1" si="10"/>
      </c>
      <c r="R100" s="14"/>
      <c r="S100" s="187">
        <f t="shared" si="11"/>
      </c>
      <c r="T100" s="190">
        <f t="shared" si="12"/>
      </c>
    </row>
    <row r="101" spans="1:20" x14ac:dyDescent="0.35">
      <c r="A101" s="183">
        <f t="shared" si="8"/>
      </c>
      <c r="B101" s="185">
        <f t="shared" ref="B101:B132" si="13">IF(AND($C101="",$D101="",$E101=""),"","DR-"&amp;TEXT($A101,"000"))</f>
      </c>
      <c r="C101" s="328"/>
      <c r="D101" s="327"/>
      <c r="E101" s="325"/>
      <c r="F101" s="14"/>
      <c r="G101" s="1"/>
      <c r="H101" s="1"/>
      <c r="I101" s="1"/>
      <c r="J101" s="1"/>
      <c r="K101" s="321"/>
      <c r="L101" s="14"/>
      <c r="M101" s="65"/>
      <c r="N101" s="65"/>
      <c r="O101" s="323"/>
      <c r="P101" s="186">
        <f t="shared" si="9"/>
      </c>
      <c r="Q101" s="187">
        <f t="shared" ca="1" si="10"/>
      </c>
      <c r="R101" s="14"/>
      <c r="S101" s="187">
        <f t="shared" si="11"/>
      </c>
      <c r="T101" s="190">
        <f t="shared" si="12"/>
      </c>
    </row>
    <row r="102" spans="1:20" x14ac:dyDescent="0.35">
      <c r="A102" s="183">
        <f t="shared" si="8"/>
      </c>
      <c r="B102" s="185">
        <f t="shared" si="13"/>
      </c>
      <c r="C102" s="328"/>
      <c r="D102" s="327"/>
      <c r="E102" s="325"/>
      <c r="F102" s="14"/>
      <c r="G102" s="1"/>
      <c r="H102" s="1"/>
      <c r="I102" s="1"/>
      <c r="J102" s="1"/>
      <c r="K102" s="321"/>
      <c r="L102" s="14"/>
      <c r="M102" s="65"/>
      <c r="N102" s="65"/>
      <c r="O102" s="323"/>
      <c r="P102" s="186">
        <f t="shared" si="9"/>
      </c>
      <c r="Q102" s="187">
        <f t="shared" ca="1" si="10"/>
      </c>
      <c r="R102" s="14"/>
      <c r="S102" s="187">
        <f t="shared" si="11"/>
      </c>
      <c r="T102" s="190">
        <f t="shared" si="12"/>
      </c>
    </row>
    <row r="103" spans="1:20" x14ac:dyDescent="0.35">
      <c r="A103" s="183">
        <f t="shared" si="8"/>
      </c>
      <c r="B103" s="185">
        <f t="shared" si="13"/>
      </c>
      <c r="C103" s="328"/>
      <c r="D103" s="327"/>
      <c r="E103" s="325"/>
      <c r="F103" s="14"/>
      <c r="G103" s="1"/>
      <c r="H103" s="1"/>
      <c r="I103" s="1"/>
      <c r="J103" s="1"/>
      <c r="K103" s="321"/>
      <c r="L103" s="14"/>
      <c r="M103" s="65"/>
      <c r="N103" s="65"/>
      <c r="O103" s="323"/>
      <c r="P103" s="186">
        <f t="shared" si="9"/>
      </c>
      <c r="Q103" s="187">
        <f t="shared" ca="1" si="10"/>
      </c>
      <c r="R103" s="14"/>
      <c r="S103" s="187">
        <f t="shared" si="11"/>
      </c>
      <c r="T103" s="190">
        <f t="shared" si="12"/>
      </c>
    </row>
    <row r="104" spans="1:20" x14ac:dyDescent="0.35">
      <c r="A104" s="183">
        <f t="shared" si="8"/>
      </c>
      <c r="B104" s="185">
        <f t="shared" si="13"/>
      </c>
      <c r="C104" s="328"/>
      <c r="D104" s="327"/>
      <c r="E104" s="325"/>
      <c r="F104" s="14"/>
      <c r="G104" s="1"/>
      <c r="H104" s="1"/>
      <c r="I104" s="1"/>
      <c r="J104" s="1"/>
      <c r="K104" s="321"/>
      <c r="L104" s="14"/>
      <c r="M104" s="65"/>
      <c r="N104" s="65"/>
      <c r="O104" s="323"/>
      <c r="P104" s="186">
        <f t="shared" si="9"/>
      </c>
      <c r="Q104" s="187">
        <f t="shared" ca="1" si="10"/>
      </c>
      <c r="R104" s="14"/>
      <c r="S104" s="187">
        <f t="shared" si="11"/>
      </c>
      <c r="T104" s="190">
        <f t="shared" si="12"/>
      </c>
    </row>
    <row r="105" spans="1:20" x14ac:dyDescent="0.35">
      <c r="A105" s="183">
        <f t="shared" si="8"/>
      </c>
      <c r="B105" s="185">
        <f t="shared" si="13"/>
      </c>
      <c r="C105" s="328"/>
      <c r="D105" s="327"/>
      <c r="E105" s="325"/>
      <c r="F105" s="14"/>
      <c r="G105" s="1"/>
      <c r="H105" s="1"/>
      <c r="I105" s="1"/>
      <c r="J105" s="1"/>
      <c r="K105" s="321"/>
      <c r="L105" s="14"/>
      <c r="M105" s="65"/>
      <c r="N105" s="65"/>
      <c r="O105" s="323"/>
      <c r="P105" s="186">
        <f t="shared" si="9"/>
      </c>
      <c r="Q105" s="187">
        <f t="shared" ca="1" si="10"/>
      </c>
      <c r="R105" s="14"/>
      <c r="S105" s="187">
        <f t="shared" si="11"/>
      </c>
      <c r="T105" s="190">
        <f t="shared" si="12"/>
      </c>
    </row>
    <row r="106" spans="1:20" x14ac:dyDescent="0.35">
      <c r="A106" s="183">
        <f t="shared" si="8"/>
      </c>
      <c r="B106" s="185">
        <f t="shared" si="13"/>
      </c>
      <c r="C106" s="328"/>
      <c r="D106" s="327"/>
      <c r="E106" s="325"/>
      <c r="F106" s="14"/>
      <c r="G106" s="1"/>
      <c r="H106" s="1"/>
      <c r="I106" s="1"/>
      <c r="J106" s="1"/>
      <c r="K106" s="321"/>
      <c r="L106" s="14"/>
      <c r="M106" s="65"/>
      <c r="N106" s="65"/>
      <c r="O106" s="323"/>
      <c r="P106" s="186">
        <f t="shared" si="9"/>
      </c>
      <c r="Q106" s="187">
        <f t="shared" ca="1" si="10"/>
      </c>
      <c r="R106" s="14"/>
      <c r="S106" s="187">
        <f t="shared" si="11"/>
      </c>
      <c r="T106" s="190">
        <f t="shared" si="12"/>
      </c>
    </row>
    <row r="107" spans="1:20" x14ac:dyDescent="0.35">
      <c r="A107" s="183">
        <f t="shared" si="8"/>
      </c>
      <c r="B107" s="185">
        <f t="shared" si="13"/>
      </c>
      <c r="C107" s="328"/>
      <c r="D107" s="327"/>
      <c r="E107" s="325"/>
      <c r="F107" s="14"/>
      <c r="G107" s="1"/>
      <c r="H107" s="1"/>
      <c r="I107" s="1"/>
      <c r="J107" s="1"/>
      <c r="K107" s="321"/>
      <c r="L107" s="14"/>
      <c r="M107" s="65"/>
      <c r="N107" s="65"/>
      <c r="O107" s="323"/>
      <c r="P107" s="186">
        <f t="shared" si="9"/>
      </c>
      <c r="Q107" s="187">
        <f t="shared" ca="1" si="10"/>
      </c>
      <c r="R107" s="14"/>
      <c r="S107" s="187">
        <f t="shared" si="11"/>
      </c>
      <c r="T107" s="190">
        <f t="shared" si="12"/>
      </c>
    </row>
    <row r="108" spans="1:20" x14ac:dyDescent="0.35">
      <c r="A108" s="183">
        <f t="shared" si="8"/>
      </c>
      <c r="B108" s="185">
        <f t="shared" si="13"/>
      </c>
      <c r="C108" s="328"/>
      <c r="D108" s="327"/>
      <c r="E108" s="325"/>
      <c r="F108" s="14"/>
      <c r="G108" s="1"/>
      <c r="H108" s="1"/>
      <c r="I108" s="1"/>
      <c r="J108" s="1"/>
      <c r="K108" s="321"/>
      <c r="L108" s="14"/>
      <c r="M108" s="65"/>
      <c r="N108" s="65"/>
      <c r="O108" s="323"/>
      <c r="P108" s="186">
        <f t="shared" si="9"/>
      </c>
      <c r="Q108" s="187">
        <f t="shared" ca="1" si="10"/>
      </c>
      <c r="R108" s="14"/>
      <c r="S108" s="187">
        <f t="shared" si="11"/>
      </c>
      <c r="T108" s="190">
        <f t="shared" si="12"/>
      </c>
    </row>
    <row r="109" spans="1:20" x14ac:dyDescent="0.35">
      <c r="A109" s="183">
        <f t="shared" si="8"/>
      </c>
      <c r="B109" s="185">
        <f t="shared" si="13"/>
      </c>
      <c r="C109" s="328"/>
      <c r="D109" s="327"/>
      <c r="E109" s="325"/>
      <c r="F109" s="14"/>
      <c r="G109" s="1"/>
      <c r="H109" s="1"/>
      <c r="I109" s="1"/>
      <c r="J109" s="1"/>
      <c r="K109" s="321"/>
      <c r="L109" s="14"/>
      <c r="M109" s="65"/>
      <c r="N109" s="65"/>
      <c r="O109" s="323"/>
      <c r="P109" s="186">
        <f t="shared" si="9"/>
      </c>
      <c r="Q109" s="187">
        <f t="shared" ca="1" si="10"/>
      </c>
      <c r="R109" s="14"/>
      <c r="S109" s="187">
        <f t="shared" si="11"/>
      </c>
      <c r="T109" s="190">
        <f t="shared" si="12"/>
      </c>
    </row>
    <row r="110" spans="1:20" x14ac:dyDescent="0.35">
      <c r="A110" s="183">
        <f t="shared" si="8"/>
      </c>
      <c r="B110" s="185">
        <f t="shared" si="13"/>
      </c>
      <c r="C110" s="328"/>
      <c r="D110" s="327"/>
      <c r="E110" s="325"/>
      <c r="F110" s="14"/>
      <c r="G110" s="1"/>
      <c r="H110" s="1"/>
      <c r="I110" s="1"/>
      <c r="J110" s="1"/>
      <c r="K110" s="321"/>
      <c r="L110" s="14"/>
      <c r="M110" s="65"/>
      <c r="N110" s="65"/>
      <c r="O110" s="323"/>
      <c r="P110" s="186">
        <f t="shared" si="9"/>
      </c>
      <c r="Q110" s="187">
        <f t="shared" ca="1" si="10"/>
      </c>
      <c r="R110" s="14"/>
      <c r="S110" s="187">
        <f t="shared" si="11"/>
      </c>
      <c r="T110" s="190">
        <f t="shared" si="12"/>
      </c>
    </row>
    <row r="111" spans="1:20" x14ac:dyDescent="0.35">
      <c r="A111" s="183">
        <f t="shared" si="8"/>
      </c>
      <c r="B111" s="185">
        <f t="shared" si="13"/>
      </c>
      <c r="C111" s="328"/>
      <c r="D111" s="327"/>
      <c r="E111" s="325"/>
      <c r="F111" s="14"/>
      <c r="G111" s="1"/>
      <c r="H111" s="1"/>
      <c r="I111" s="1"/>
      <c r="J111" s="1"/>
      <c r="K111" s="321"/>
      <c r="L111" s="14"/>
      <c r="M111" s="65"/>
      <c r="N111" s="65"/>
      <c r="O111" s="323"/>
      <c r="P111" s="186">
        <f t="shared" si="9"/>
      </c>
      <c r="Q111" s="187">
        <f t="shared" ca="1" si="10"/>
      </c>
      <c r="R111" s="14"/>
      <c r="S111" s="187">
        <f t="shared" si="11"/>
      </c>
      <c r="T111" s="190">
        <f t="shared" si="12"/>
      </c>
    </row>
    <row r="112" spans="1:20" x14ac:dyDescent="0.35">
      <c r="A112" s="183">
        <f t="shared" si="8"/>
      </c>
      <c r="B112" s="185">
        <f t="shared" si="13"/>
      </c>
      <c r="C112" s="328"/>
      <c r="D112" s="327"/>
      <c r="E112" s="325"/>
      <c r="F112" s="14"/>
      <c r="G112" s="1"/>
      <c r="H112" s="1"/>
      <c r="I112" s="1"/>
      <c r="J112" s="1"/>
      <c r="K112" s="321"/>
      <c r="L112" s="14"/>
      <c r="M112" s="65"/>
      <c r="N112" s="65"/>
      <c r="O112" s="323"/>
      <c r="P112" s="186">
        <f t="shared" si="9"/>
      </c>
      <c r="Q112" s="187">
        <f t="shared" ca="1" si="10"/>
      </c>
      <c r="R112" s="14"/>
      <c r="S112" s="187">
        <f t="shared" si="11"/>
      </c>
      <c r="T112" s="190">
        <f t="shared" si="12"/>
      </c>
    </row>
    <row r="113" spans="1:20" x14ac:dyDescent="0.35">
      <c r="A113" s="183">
        <f t="shared" si="8"/>
      </c>
      <c r="B113" s="185">
        <f t="shared" si="13"/>
      </c>
      <c r="C113" s="328"/>
      <c r="D113" s="327"/>
      <c r="E113" s="325"/>
      <c r="F113" s="14"/>
      <c r="G113" s="1"/>
      <c r="H113" s="1"/>
      <c r="I113" s="1"/>
      <c r="J113" s="1"/>
      <c r="K113" s="321"/>
      <c r="L113" s="14"/>
      <c r="M113" s="65"/>
      <c r="N113" s="65"/>
      <c r="O113" s="323"/>
      <c r="P113" s="186">
        <f t="shared" si="9"/>
      </c>
      <c r="Q113" s="187">
        <f t="shared" ca="1" si="10"/>
      </c>
      <c r="R113" s="14"/>
      <c r="S113" s="187">
        <f t="shared" si="11"/>
      </c>
      <c r="T113" s="190">
        <f t="shared" si="12"/>
      </c>
    </row>
    <row r="114" spans="1:20" x14ac:dyDescent="0.35">
      <c r="A114" s="183">
        <f t="shared" si="8"/>
      </c>
      <c r="B114" s="185">
        <f t="shared" si="13"/>
      </c>
      <c r="C114" s="328"/>
      <c r="D114" s="327"/>
      <c r="E114" s="325"/>
      <c r="F114" s="14"/>
      <c r="G114" s="1"/>
      <c r="H114" s="1"/>
      <c r="I114" s="1"/>
      <c r="J114" s="1"/>
      <c r="K114" s="321"/>
      <c r="L114" s="14"/>
      <c r="M114" s="65"/>
      <c r="N114" s="65"/>
      <c r="O114" s="323"/>
      <c r="P114" s="186">
        <f t="shared" si="9"/>
      </c>
      <c r="Q114" s="187">
        <f t="shared" ca="1" si="10"/>
      </c>
      <c r="R114" s="14"/>
      <c r="S114" s="187">
        <f t="shared" si="11"/>
      </c>
      <c r="T114" s="190">
        <f t="shared" si="12"/>
      </c>
    </row>
    <row r="115" spans="1:20" x14ac:dyDescent="0.35">
      <c r="A115" s="183">
        <f t="shared" si="8"/>
      </c>
      <c r="B115" s="185">
        <f t="shared" si="13"/>
      </c>
      <c r="C115" s="328"/>
      <c r="D115" s="327"/>
      <c r="E115" s="325"/>
      <c r="F115" s="14"/>
      <c r="G115" s="1"/>
      <c r="H115" s="1"/>
      <c r="I115" s="1"/>
      <c r="J115" s="1"/>
      <c r="K115" s="321"/>
      <c r="L115" s="14"/>
      <c r="M115" s="65"/>
      <c r="N115" s="65"/>
      <c r="O115" s="323"/>
      <c r="P115" s="186">
        <f t="shared" si="9"/>
      </c>
      <c r="Q115" s="187">
        <f t="shared" ca="1" si="10"/>
      </c>
      <c r="R115" s="14"/>
      <c r="S115" s="187">
        <f t="shared" si="11"/>
      </c>
      <c r="T115" s="190">
        <f t="shared" si="12"/>
      </c>
    </row>
    <row r="116" spans="1:20" x14ac:dyDescent="0.35">
      <c r="A116" s="183">
        <f t="shared" si="8"/>
      </c>
      <c r="B116" s="185">
        <f t="shared" si="13"/>
      </c>
      <c r="C116" s="328"/>
      <c r="D116" s="327"/>
      <c r="E116" s="325"/>
      <c r="F116" s="14"/>
      <c r="G116" s="1"/>
      <c r="H116" s="1"/>
      <c r="I116" s="1"/>
      <c r="J116" s="1"/>
      <c r="K116" s="321"/>
      <c r="L116" s="14"/>
      <c r="M116" s="65"/>
      <c r="N116" s="65"/>
      <c r="O116" s="323"/>
      <c r="P116" s="186">
        <f t="shared" si="9"/>
      </c>
      <c r="Q116" s="187">
        <f t="shared" ca="1" si="10"/>
      </c>
      <c r="R116" s="14"/>
      <c r="S116" s="187">
        <f t="shared" si="11"/>
      </c>
      <c r="T116" s="190">
        <f t="shared" si="12"/>
      </c>
    </row>
    <row r="117" spans="1:20" x14ac:dyDescent="0.35">
      <c r="A117" s="183">
        <f t="shared" si="8"/>
      </c>
      <c r="B117" s="185">
        <f t="shared" si="13"/>
      </c>
      <c r="C117" s="328"/>
      <c r="D117" s="327"/>
      <c r="E117" s="325"/>
      <c r="F117" s="14"/>
      <c r="G117" s="1"/>
      <c r="H117" s="1"/>
      <c r="I117" s="1"/>
      <c r="J117" s="1"/>
      <c r="K117" s="321"/>
      <c r="L117" s="14"/>
      <c r="M117" s="65"/>
      <c r="N117" s="65"/>
      <c r="O117" s="323"/>
      <c r="P117" s="186">
        <f t="shared" si="9"/>
      </c>
      <c r="Q117" s="187">
        <f t="shared" ca="1" si="10"/>
      </c>
      <c r="R117" s="14"/>
      <c r="S117" s="187">
        <f t="shared" si="11"/>
      </c>
      <c r="T117" s="190">
        <f t="shared" si="12"/>
      </c>
    </row>
    <row r="118" spans="1:20" x14ac:dyDescent="0.35">
      <c r="A118" s="183">
        <f t="shared" si="8"/>
      </c>
      <c r="B118" s="185">
        <f t="shared" si="13"/>
      </c>
      <c r="C118" s="328"/>
      <c r="D118" s="327"/>
      <c r="E118" s="325"/>
      <c r="F118" s="14"/>
      <c r="G118" s="1"/>
      <c r="H118" s="1"/>
      <c r="I118" s="1"/>
      <c r="J118" s="1"/>
      <c r="K118" s="321"/>
      <c r="L118" s="14"/>
      <c r="M118" s="65"/>
      <c r="N118" s="65"/>
      <c r="O118" s="323"/>
      <c r="P118" s="186">
        <f t="shared" si="9"/>
      </c>
      <c r="Q118" s="187">
        <f t="shared" ca="1" si="10"/>
      </c>
      <c r="R118" s="14"/>
      <c r="S118" s="187">
        <f t="shared" si="11"/>
      </c>
      <c r="T118" s="190">
        <f t="shared" si="12"/>
      </c>
    </row>
    <row r="119" spans="1:20" x14ac:dyDescent="0.35">
      <c r="A119" s="183">
        <f t="shared" si="8"/>
      </c>
      <c r="B119" s="185">
        <f t="shared" si="13"/>
      </c>
      <c r="C119" s="328"/>
      <c r="D119" s="327"/>
      <c r="E119" s="325"/>
      <c r="F119" s="14"/>
      <c r="G119" s="1"/>
      <c r="H119" s="1"/>
      <c r="I119" s="1"/>
      <c r="J119" s="1"/>
      <c r="K119" s="321"/>
      <c r="L119" s="14"/>
      <c r="M119" s="65"/>
      <c r="N119" s="65"/>
      <c r="O119" s="323"/>
      <c r="P119" s="186">
        <f t="shared" si="9"/>
      </c>
      <c r="Q119" s="187">
        <f t="shared" ca="1" si="10"/>
      </c>
      <c r="R119" s="14"/>
      <c r="S119" s="187">
        <f t="shared" si="11"/>
      </c>
      <c r="T119" s="190">
        <f t="shared" si="12"/>
      </c>
    </row>
    <row r="120" spans="1:20" x14ac:dyDescent="0.35">
      <c r="A120" s="183">
        <f t="shared" si="8"/>
      </c>
      <c r="B120" s="185">
        <f t="shared" si="13"/>
      </c>
      <c r="C120" s="328"/>
      <c r="D120" s="327"/>
      <c r="E120" s="325"/>
      <c r="F120" s="14"/>
      <c r="G120" s="1"/>
      <c r="H120" s="1"/>
      <c r="I120" s="1"/>
      <c r="J120" s="1"/>
      <c r="K120" s="321"/>
      <c r="L120" s="14"/>
      <c r="M120" s="65"/>
      <c r="N120" s="65"/>
      <c r="O120" s="323"/>
      <c r="P120" s="186">
        <f t="shared" si="9"/>
      </c>
      <c r="Q120" s="187">
        <f t="shared" ca="1" si="10"/>
      </c>
      <c r="R120" s="14"/>
      <c r="S120" s="187">
        <f t="shared" si="11"/>
      </c>
      <c r="T120" s="190">
        <f t="shared" si="12"/>
      </c>
    </row>
    <row r="121" spans="1:20" x14ac:dyDescent="0.35">
      <c r="A121" s="183">
        <f t="shared" si="8"/>
      </c>
      <c r="B121" s="185">
        <f t="shared" si="13"/>
      </c>
      <c r="C121" s="328"/>
      <c r="D121" s="327"/>
      <c r="E121" s="325"/>
      <c r="F121" s="14"/>
      <c r="G121" s="1"/>
      <c r="H121" s="1"/>
      <c r="I121" s="1"/>
      <c r="J121" s="1"/>
      <c r="K121" s="321"/>
      <c r="L121" s="14"/>
      <c r="M121" s="65"/>
      <c r="N121" s="65"/>
      <c r="O121" s="323"/>
      <c r="P121" s="186">
        <f t="shared" si="9"/>
      </c>
      <c r="Q121" s="187">
        <f t="shared" ca="1" si="10"/>
      </c>
      <c r="R121" s="14"/>
      <c r="S121" s="187">
        <f t="shared" si="11"/>
      </c>
      <c r="T121" s="190">
        <f t="shared" si="12"/>
      </c>
    </row>
    <row r="122" spans="1:20" x14ac:dyDescent="0.35">
      <c r="A122" s="183">
        <f t="shared" si="8"/>
      </c>
      <c r="B122" s="185">
        <f t="shared" si="13"/>
      </c>
      <c r="C122" s="328"/>
      <c r="D122" s="327"/>
      <c r="E122" s="325"/>
      <c r="F122" s="14"/>
      <c r="G122" s="1"/>
      <c r="H122" s="1"/>
      <c r="I122" s="1"/>
      <c r="J122" s="1"/>
      <c r="K122" s="321"/>
      <c r="L122" s="14"/>
      <c r="M122" s="65"/>
      <c r="N122" s="65"/>
      <c r="O122" s="323"/>
      <c r="P122" s="186">
        <f t="shared" si="9"/>
      </c>
      <c r="Q122" s="187">
        <f t="shared" ca="1" si="10"/>
      </c>
      <c r="R122" s="14"/>
      <c r="S122" s="187">
        <f t="shared" si="11"/>
      </c>
      <c r="T122" s="190">
        <f t="shared" si="12"/>
      </c>
    </row>
    <row r="123" spans="1:20" x14ac:dyDescent="0.35">
      <c r="A123" s="183">
        <f t="shared" si="8"/>
      </c>
      <c r="B123" s="185">
        <f t="shared" si="13"/>
      </c>
      <c r="C123" s="328"/>
      <c r="D123" s="327"/>
      <c r="E123" s="325"/>
      <c r="F123" s="14"/>
      <c r="G123" s="1"/>
      <c r="H123" s="1"/>
      <c r="I123" s="1"/>
      <c r="J123" s="1"/>
      <c r="K123" s="321"/>
      <c r="L123" s="14"/>
      <c r="M123" s="65"/>
      <c r="N123" s="65"/>
      <c r="O123" s="323"/>
      <c r="P123" s="186">
        <f t="shared" si="9"/>
      </c>
      <c r="Q123" s="187">
        <f t="shared" ca="1" si="10"/>
      </c>
      <c r="R123" s="14"/>
      <c r="S123" s="187">
        <f t="shared" si="11"/>
      </c>
      <c r="T123" s="190">
        <f t="shared" si="12"/>
      </c>
    </row>
    <row r="124" spans="1:20" x14ac:dyDescent="0.35">
      <c r="A124" s="183">
        <f t="shared" si="8"/>
      </c>
      <c r="B124" s="185">
        <f t="shared" si="13"/>
      </c>
      <c r="C124" s="328"/>
      <c r="D124" s="327"/>
      <c r="E124" s="325"/>
      <c r="F124" s="14"/>
      <c r="G124" s="1"/>
      <c r="H124" s="1"/>
      <c r="I124" s="1"/>
      <c r="J124" s="1"/>
      <c r="K124" s="321"/>
      <c r="L124" s="14"/>
      <c r="M124" s="65"/>
      <c r="N124" s="65"/>
      <c r="O124" s="323"/>
      <c r="P124" s="186">
        <f t="shared" si="9"/>
      </c>
      <c r="Q124" s="187">
        <f t="shared" ca="1" si="10"/>
      </c>
      <c r="R124" s="14"/>
      <c r="S124" s="187">
        <f t="shared" si="11"/>
      </c>
      <c r="T124" s="190">
        <f t="shared" si="12"/>
      </c>
    </row>
    <row r="125" spans="1:20" x14ac:dyDescent="0.35">
      <c r="A125" s="183">
        <f t="shared" si="8"/>
      </c>
      <c r="B125" s="185">
        <f t="shared" si="13"/>
      </c>
      <c r="C125" s="328"/>
      <c r="D125" s="327"/>
      <c r="E125" s="325"/>
      <c r="F125" s="14"/>
      <c r="G125" s="1"/>
      <c r="H125" s="1"/>
      <c r="I125" s="1"/>
      <c r="J125" s="1"/>
      <c r="K125" s="321"/>
      <c r="L125" s="14"/>
      <c r="M125" s="65"/>
      <c r="N125" s="65"/>
      <c r="O125" s="323"/>
      <c r="P125" s="186">
        <f t="shared" si="9"/>
      </c>
      <c r="Q125" s="187">
        <f t="shared" ca="1" si="10"/>
      </c>
      <c r="R125" s="14"/>
      <c r="S125" s="187">
        <f t="shared" si="11"/>
      </c>
      <c r="T125" s="190">
        <f t="shared" si="12"/>
      </c>
    </row>
    <row r="126" spans="1:20" x14ac:dyDescent="0.35">
      <c r="A126" s="183">
        <f t="shared" si="8"/>
      </c>
      <c r="B126" s="185">
        <f t="shared" si="13"/>
      </c>
      <c r="C126" s="328"/>
      <c r="D126" s="327"/>
      <c r="E126" s="325"/>
      <c r="F126" s="14"/>
      <c r="G126" s="1"/>
      <c r="H126" s="1"/>
      <c r="I126" s="1"/>
      <c r="J126" s="1"/>
      <c r="K126" s="321"/>
      <c r="L126" s="14"/>
      <c r="M126" s="65"/>
      <c r="N126" s="65"/>
      <c r="O126" s="323"/>
      <c r="P126" s="186">
        <f t="shared" si="9"/>
      </c>
      <c r="Q126" s="187">
        <f t="shared" ca="1" si="10"/>
      </c>
      <c r="R126" s="14"/>
      <c r="S126" s="187">
        <f t="shared" si="11"/>
      </c>
      <c r="T126" s="190">
        <f t="shared" si="12"/>
      </c>
    </row>
    <row r="127" spans="1:20" x14ac:dyDescent="0.35">
      <c r="A127" s="183">
        <f t="shared" si="8"/>
      </c>
      <c r="B127" s="185">
        <f t="shared" si="13"/>
      </c>
      <c r="C127" s="328"/>
      <c r="D127" s="327"/>
      <c r="E127" s="325"/>
      <c r="F127" s="14"/>
      <c r="G127" s="1"/>
      <c r="H127" s="1"/>
      <c r="I127" s="1"/>
      <c r="J127" s="1"/>
      <c r="K127" s="321"/>
      <c r="L127" s="14"/>
      <c r="M127" s="65"/>
      <c r="N127" s="65"/>
      <c r="O127" s="323"/>
      <c r="P127" s="186">
        <f t="shared" si="9"/>
      </c>
      <c r="Q127" s="187">
        <f t="shared" ca="1" si="10"/>
      </c>
      <c r="R127" s="14"/>
      <c r="S127" s="187">
        <f t="shared" si="11"/>
      </c>
      <c r="T127" s="190">
        <f t="shared" si="12"/>
      </c>
    </row>
    <row r="128" spans="1:20" x14ac:dyDescent="0.35">
      <c r="A128" s="183">
        <f t="shared" si="8"/>
      </c>
      <c r="B128" s="185">
        <f t="shared" si="13"/>
      </c>
      <c r="C128" s="328"/>
      <c r="D128" s="327"/>
      <c r="E128" s="325"/>
      <c r="F128" s="14"/>
      <c r="G128" s="1"/>
      <c r="H128" s="1"/>
      <c r="I128" s="1"/>
      <c r="J128" s="1"/>
      <c r="K128" s="321"/>
      <c r="L128" s="14"/>
      <c r="M128" s="65"/>
      <c r="N128" s="65"/>
      <c r="O128" s="323"/>
      <c r="P128" s="186">
        <f t="shared" si="9"/>
      </c>
      <c r="Q128" s="187">
        <f t="shared" ca="1" si="10"/>
      </c>
      <c r="R128" s="14"/>
      <c r="S128" s="187">
        <f t="shared" si="11"/>
      </c>
      <c r="T128" s="190">
        <f t="shared" si="12"/>
      </c>
    </row>
    <row r="129" spans="1:20" x14ac:dyDescent="0.35">
      <c r="A129" s="183">
        <f t="shared" si="8"/>
      </c>
      <c r="B129" s="185">
        <f t="shared" si="13"/>
      </c>
      <c r="C129" s="328"/>
      <c r="D129" s="327"/>
      <c r="E129" s="325"/>
      <c r="F129" s="14"/>
      <c r="G129" s="1"/>
      <c r="H129" s="1"/>
      <c r="I129" s="1"/>
      <c r="J129" s="1"/>
      <c r="K129" s="321"/>
      <c r="L129" s="14"/>
      <c r="M129" s="65"/>
      <c r="N129" s="65"/>
      <c r="O129" s="323"/>
      <c r="P129" s="186">
        <f t="shared" si="9"/>
      </c>
      <c r="Q129" s="187">
        <f t="shared" ca="1" si="10"/>
      </c>
      <c r="R129" s="14"/>
      <c r="S129" s="187">
        <f t="shared" si="11"/>
      </c>
      <c r="T129" s="190">
        <f t="shared" si="12"/>
      </c>
    </row>
    <row r="130" spans="1:20" x14ac:dyDescent="0.35">
      <c r="A130" s="183">
        <f t="shared" si="8"/>
      </c>
      <c r="B130" s="185">
        <f t="shared" si="13"/>
      </c>
      <c r="C130" s="328"/>
      <c r="D130" s="327"/>
      <c r="E130" s="325"/>
      <c r="F130" s="14"/>
      <c r="G130" s="1"/>
      <c r="H130" s="1"/>
      <c r="I130" s="1"/>
      <c r="J130" s="1"/>
      <c r="K130" s="321"/>
      <c r="L130" s="14"/>
      <c r="M130" s="65"/>
      <c r="N130" s="65"/>
      <c r="O130" s="323"/>
      <c r="P130" s="186">
        <f t="shared" si="9"/>
      </c>
      <c r="Q130" s="187">
        <f t="shared" ca="1" si="10"/>
      </c>
      <c r="R130" s="14"/>
      <c r="S130" s="187">
        <f t="shared" si="11"/>
      </c>
      <c r="T130" s="190">
        <f t="shared" si="12"/>
      </c>
    </row>
    <row r="131" spans="1:20" x14ac:dyDescent="0.35">
      <c r="A131" s="183">
        <f t="shared" si="8"/>
      </c>
      <c r="B131" s="185">
        <f t="shared" si="13"/>
      </c>
      <c r="C131" s="328"/>
      <c r="D131" s="327"/>
      <c r="E131" s="325"/>
      <c r="F131" s="14"/>
      <c r="G131" s="1"/>
      <c r="H131" s="1"/>
      <c r="I131" s="1"/>
      <c r="J131" s="1"/>
      <c r="K131" s="321"/>
      <c r="L131" s="14"/>
      <c r="M131" s="65"/>
      <c r="N131" s="65"/>
      <c r="O131" s="323"/>
      <c r="P131" s="186">
        <f t="shared" si="9"/>
      </c>
      <c r="Q131" s="187">
        <f t="shared" ca="1" si="10"/>
      </c>
      <c r="R131" s="14"/>
      <c r="S131" s="187">
        <f t="shared" si="11"/>
      </c>
      <c r="T131" s="190">
        <f t="shared" si="12"/>
      </c>
    </row>
    <row r="132" spans="1:20" x14ac:dyDescent="0.35">
      <c r="A132" s="183">
        <f t="shared" si="8"/>
      </c>
      <c r="B132" s="185">
        <f t="shared" si="13"/>
      </c>
      <c r="C132" s="328"/>
      <c r="D132" s="327"/>
      <c r="E132" s="325"/>
      <c r="F132" s="14"/>
      <c r="G132" s="1"/>
      <c r="H132" s="1"/>
      <c r="I132" s="1"/>
      <c r="J132" s="1"/>
      <c r="K132" s="321"/>
      <c r="L132" s="14"/>
      <c r="M132" s="65"/>
      <c r="N132" s="65"/>
      <c r="O132" s="323"/>
      <c r="P132" s="186">
        <f t="shared" si="9"/>
      </c>
      <c r="Q132" s="187">
        <f t="shared" ca="1" si="10"/>
      </c>
      <c r="R132" s="14"/>
      <c r="S132" s="187">
        <f t="shared" si="11"/>
      </c>
      <c r="T132" s="190">
        <f t="shared" si="12"/>
      </c>
    </row>
    <row r="133" spans="1:20" x14ac:dyDescent="0.35">
      <c r="A133" s="183">
        <f t="shared" si="8"/>
      </c>
      <c r="B133" s="185">
        <f t="shared" ref="B133:B164" si="14">IF(AND($C133="",$D133="",$E133=""),"","DR-"&amp;TEXT($A133,"000"))</f>
      </c>
      <c r="C133" s="328"/>
      <c r="D133" s="327"/>
      <c r="E133" s="325"/>
      <c r="F133" s="14"/>
      <c r="G133" s="1"/>
      <c r="H133" s="1"/>
      <c r="I133" s="1"/>
      <c r="J133" s="1"/>
      <c r="K133" s="321"/>
      <c r="L133" s="14"/>
      <c r="M133" s="65"/>
      <c r="N133" s="65"/>
      <c r="O133" s="323"/>
      <c r="P133" s="186">
        <f t="shared" si="9"/>
      </c>
      <c r="Q133" s="187">
        <f t="shared" ca="1" si="10"/>
      </c>
      <c r="R133" s="14"/>
      <c r="S133" s="187">
        <f t="shared" si="11"/>
      </c>
      <c r="T133" s="190">
        <f t="shared" si="12"/>
      </c>
    </row>
    <row r="134" spans="1:20" x14ac:dyDescent="0.35">
      <c r="A134" s="183">
        <f t="shared" ref="A134:A197" si="15">ROW()-4</f>
      </c>
      <c r="B134" s="185">
        <f t="shared" si="14"/>
      </c>
      <c r="C134" s="328"/>
      <c r="D134" s="327"/>
      <c r="E134" s="325"/>
      <c r="F134" s="14"/>
      <c r="G134" s="1"/>
      <c r="H134" s="1"/>
      <c r="I134" s="1"/>
      <c r="J134" s="1"/>
      <c r="K134" s="321"/>
      <c r="L134" s="14"/>
      <c r="M134" s="65"/>
      <c r="N134" s="65"/>
      <c r="O134" s="323"/>
      <c r="P134" s="186">
        <f t="shared" ref="P134:P197" si="16">IF($M134="","",EDATE($M134,12))</f>
      </c>
      <c r="Q134" s="187">
        <f t="shared" ref="Q134:Q197" ca="1" si="17">IF($E134="","",IF($K134="None (gap)","GAP - no DR",IF(OR($S134="Not Assessed",$T134="Not Assessed"),"Recovery Targets Incomplete",IF($M134="","Not Tested",IF(AND($P134&lt;&gt;"",$P134&lt;TODAY()),"Test Overdue",IF($O134="","Not Tested",IF($O134&lt;&gt;"Pass","Retest Required",IF(OR($S134&lt;&gt;"RTO Complied",$T134&lt;&gt;"RPO Complied"),"Recovery Not Compliant","Tested &amp; Current"))))))))</f>
      </c>
      <c r="R134" s="14"/>
      <c r="S134" s="187">
        <f t="shared" ref="S134:S197" si="18">IF($E134="","",IF(OR(NOT(ISNUMBER($G134)),NOT(ISNUMBER($I134))),"Not Assessed",IF($I134&lt;=$G134,"RTO Complied","RTO Not Complied")))</f>
      </c>
      <c r="T134" s="190">
        <f t="shared" ref="T134:T197" si="19">IF($E134="","",IF(OR(NOT(ISNUMBER($H134)),NOT(ISNUMBER($J134))),"Not Assessed",IF($J134&lt;=$H134,"RPO Complied","RPO Not Complied")))</f>
      </c>
    </row>
    <row r="135" spans="1:20" x14ac:dyDescent="0.35">
      <c r="A135" s="183">
        <f t="shared" si="15"/>
      </c>
      <c r="B135" s="185">
        <f t="shared" si="14"/>
      </c>
      <c r="C135" s="328"/>
      <c r="D135" s="327"/>
      <c r="E135" s="325"/>
      <c r="F135" s="14"/>
      <c r="G135" s="1"/>
      <c r="H135" s="1"/>
      <c r="I135" s="1"/>
      <c r="J135" s="1"/>
      <c r="K135" s="321"/>
      <c r="L135" s="14"/>
      <c r="M135" s="65"/>
      <c r="N135" s="65"/>
      <c r="O135" s="323"/>
      <c r="P135" s="186">
        <f t="shared" si="16"/>
      </c>
      <c r="Q135" s="187">
        <f t="shared" ca="1" si="17"/>
      </c>
      <c r="R135" s="14"/>
      <c r="S135" s="187">
        <f t="shared" si="18"/>
      </c>
      <c r="T135" s="190">
        <f t="shared" si="19"/>
      </c>
    </row>
    <row r="136" spans="1:20" x14ac:dyDescent="0.35">
      <c r="A136" s="183">
        <f t="shared" si="15"/>
      </c>
      <c r="B136" s="185">
        <f t="shared" si="14"/>
      </c>
      <c r="C136" s="328"/>
      <c r="D136" s="327"/>
      <c r="E136" s="325"/>
      <c r="F136" s="14"/>
      <c r="G136" s="1"/>
      <c r="H136" s="1"/>
      <c r="I136" s="1"/>
      <c r="J136" s="1"/>
      <c r="K136" s="321"/>
      <c r="L136" s="14"/>
      <c r="M136" s="65"/>
      <c r="N136" s="65"/>
      <c r="O136" s="323"/>
      <c r="P136" s="186">
        <f t="shared" si="16"/>
      </c>
      <c r="Q136" s="187">
        <f t="shared" ca="1" si="17"/>
      </c>
      <c r="R136" s="14"/>
      <c r="S136" s="187">
        <f t="shared" si="18"/>
      </c>
      <c r="T136" s="190">
        <f t="shared" si="19"/>
      </c>
    </row>
    <row r="137" spans="1:20" x14ac:dyDescent="0.35">
      <c r="A137" s="183">
        <f t="shared" si="15"/>
      </c>
      <c r="B137" s="185">
        <f t="shared" si="14"/>
      </c>
      <c r="C137" s="328"/>
      <c r="D137" s="327"/>
      <c r="E137" s="325"/>
      <c r="F137" s="14"/>
      <c r="G137" s="1"/>
      <c r="H137" s="1"/>
      <c r="I137" s="1"/>
      <c r="J137" s="1"/>
      <c r="K137" s="321"/>
      <c r="L137" s="14"/>
      <c r="M137" s="65"/>
      <c r="N137" s="65"/>
      <c r="O137" s="323"/>
      <c r="P137" s="186">
        <f t="shared" si="16"/>
      </c>
      <c r="Q137" s="187">
        <f t="shared" ca="1" si="17"/>
      </c>
      <c r="R137" s="14"/>
      <c r="S137" s="187">
        <f t="shared" si="18"/>
      </c>
      <c r="T137" s="190">
        <f t="shared" si="19"/>
      </c>
    </row>
    <row r="138" spans="1:20" x14ac:dyDescent="0.35">
      <c r="A138" s="183">
        <f t="shared" si="15"/>
      </c>
      <c r="B138" s="185">
        <f t="shared" si="14"/>
      </c>
      <c r="C138" s="328"/>
      <c r="D138" s="327"/>
      <c r="E138" s="325"/>
      <c r="F138" s="14"/>
      <c r="G138" s="1"/>
      <c r="H138" s="1"/>
      <c r="I138" s="1"/>
      <c r="J138" s="1"/>
      <c r="K138" s="321"/>
      <c r="L138" s="14"/>
      <c r="M138" s="65"/>
      <c r="N138" s="65"/>
      <c r="O138" s="323"/>
      <c r="P138" s="186">
        <f t="shared" si="16"/>
      </c>
      <c r="Q138" s="187">
        <f t="shared" ca="1" si="17"/>
      </c>
      <c r="R138" s="14"/>
      <c r="S138" s="187">
        <f t="shared" si="18"/>
      </c>
      <c r="T138" s="190">
        <f t="shared" si="19"/>
      </c>
    </row>
    <row r="139" spans="1:20" x14ac:dyDescent="0.35">
      <c r="A139" s="183">
        <f t="shared" si="15"/>
      </c>
      <c r="B139" s="185">
        <f t="shared" si="14"/>
      </c>
      <c r="C139" s="328"/>
      <c r="D139" s="327"/>
      <c r="E139" s="325"/>
      <c r="F139" s="14"/>
      <c r="G139" s="1"/>
      <c r="H139" s="1"/>
      <c r="I139" s="1"/>
      <c r="J139" s="1"/>
      <c r="K139" s="321"/>
      <c r="L139" s="14"/>
      <c r="M139" s="65"/>
      <c r="N139" s="65"/>
      <c r="O139" s="323"/>
      <c r="P139" s="186">
        <f t="shared" si="16"/>
      </c>
      <c r="Q139" s="187">
        <f t="shared" ca="1" si="17"/>
      </c>
      <c r="R139" s="14"/>
      <c r="S139" s="187">
        <f t="shared" si="18"/>
      </c>
      <c r="T139" s="190">
        <f t="shared" si="19"/>
      </c>
    </row>
    <row r="140" spans="1:20" x14ac:dyDescent="0.35">
      <c r="A140" s="183">
        <f t="shared" si="15"/>
      </c>
      <c r="B140" s="185">
        <f t="shared" si="14"/>
      </c>
      <c r="C140" s="328"/>
      <c r="D140" s="327"/>
      <c r="E140" s="325"/>
      <c r="F140" s="14"/>
      <c r="G140" s="1"/>
      <c r="H140" s="1"/>
      <c r="I140" s="1"/>
      <c r="J140" s="1"/>
      <c r="K140" s="321"/>
      <c r="L140" s="14"/>
      <c r="M140" s="65"/>
      <c r="N140" s="65"/>
      <c r="O140" s="323"/>
      <c r="P140" s="186">
        <f t="shared" si="16"/>
      </c>
      <c r="Q140" s="187">
        <f t="shared" ca="1" si="17"/>
      </c>
      <c r="R140" s="14"/>
      <c r="S140" s="187">
        <f t="shared" si="18"/>
      </c>
      <c r="T140" s="190">
        <f t="shared" si="19"/>
      </c>
    </row>
    <row r="141" spans="1:20" x14ac:dyDescent="0.35">
      <c r="A141" s="183">
        <f t="shared" si="15"/>
      </c>
      <c r="B141" s="185">
        <f t="shared" si="14"/>
      </c>
      <c r="C141" s="328"/>
      <c r="D141" s="327"/>
      <c r="E141" s="325"/>
      <c r="F141" s="14"/>
      <c r="G141" s="1"/>
      <c r="H141" s="1"/>
      <c r="I141" s="1"/>
      <c r="J141" s="1"/>
      <c r="K141" s="321"/>
      <c r="L141" s="14"/>
      <c r="M141" s="65"/>
      <c r="N141" s="65"/>
      <c r="O141" s="323"/>
      <c r="P141" s="186">
        <f t="shared" si="16"/>
      </c>
      <c r="Q141" s="187">
        <f t="shared" ca="1" si="17"/>
      </c>
      <c r="R141" s="14"/>
      <c r="S141" s="187">
        <f t="shared" si="18"/>
      </c>
      <c r="T141" s="190">
        <f t="shared" si="19"/>
      </c>
    </row>
    <row r="142" spans="1:20" x14ac:dyDescent="0.35">
      <c r="A142" s="183">
        <f t="shared" si="15"/>
      </c>
      <c r="B142" s="185">
        <f t="shared" si="14"/>
      </c>
      <c r="C142" s="328"/>
      <c r="D142" s="327"/>
      <c r="E142" s="325"/>
      <c r="F142" s="14"/>
      <c r="G142" s="1"/>
      <c r="H142" s="1"/>
      <c r="I142" s="1"/>
      <c r="J142" s="1"/>
      <c r="K142" s="321"/>
      <c r="L142" s="14"/>
      <c r="M142" s="65"/>
      <c r="N142" s="65"/>
      <c r="O142" s="323"/>
      <c r="P142" s="186">
        <f t="shared" si="16"/>
      </c>
      <c r="Q142" s="187">
        <f t="shared" ca="1" si="17"/>
      </c>
      <c r="R142" s="14"/>
      <c r="S142" s="187">
        <f t="shared" si="18"/>
      </c>
      <c r="T142" s="190">
        <f t="shared" si="19"/>
      </c>
    </row>
    <row r="143" spans="1:20" x14ac:dyDescent="0.35">
      <c r="A143" s="183">
        <f t="shared" si="15"/>
      </c>
      <c r="B143" s="185">
        <f t="shared" si="14"/>
      </c>
      <c r="C143" s="328"/>
      <c r="D143" s="327"/>
      <c r="E143" s="325"/>
      <c r="F143" s="14"/>
      <c r="G143" s="1"/>
      <c r="H143" s="1"/>
      <c r="I143" s="1"/>
      <c r="J143" s="1"/>
      <c r="K143" s="321"/>
      <c r="L143" s="14"/>
      <c r="M143" s="65"/>
      <c r="N143" s="65"/>
      <c r="O143" s="323"/>
      <c r="P143" s="186">
        <f t="shared" si="16"/>
      </c>
      <c r="Q143" s="187">
        <f t="shared" ca="1" si="17"/>
      </c>
      <c r="R143" s="14"/>
      <c r="S143" s="187">
        <f t="shared" si="18"/>
      </c>
      <c r="T143" s="190">
        <f t="shared" si="19"/>
      </c>
    </row>
    <row r="144" spans="1:20" x14ac:dyDescent="0.35">
      <c r="A144" s="183">
        <f t="shared" si="15"/>
      </c>
      <c r="B144" s="185">
        <f t="shared" si="14"/>
      </c>
      <c r="C144" s="328"/>
      <c r="D144" s="327"/>
      <c r="E144" s="325"/>
      <c r="F144" s="14"/>
      <c r="G144" s="1"/>
      <c r="H144" s="1"/>
      <c r="I144" s="1"/>
      <c r="J144" s="1"/>
      <c r="K144" s="321"/>
      <c r="L144" s="14"/>
      <c r="M144" s="65"/>
      <c r="N144" s="65"/>
      <c r="O144" s="323"/>
      <c r="P144" s="186">
        <f t="shared" si="16"/>
      </c>
      <c r="Q144" s="187">
        <f t="shared" ca="1" si="17"/>
      </c>
      <c r="R144" s="14"/>
      <c r="S144" s="187">
        <f t="shared" si="18"/>
      </c>
      <c r="T144" s="190">
        <f t="shared" si="19"/>
      </c>
    </row>
    <row r="145" spans="1:20" x14ac:dyDescent="0.35">
      <c r="A145" s="183">
        <f t="shared" si="15"/>
      </c>
      <c r="B145" s="185">
        <f t="shared" si="14"/>
      </c>
      <c r="C145" s="328"/>
      <c r="D145" s="327"/>
      <c r="E145" s="325"/>
      <c r="F145" s="14"/>
      <c r="G145" s="1"/>
      <c r="H145" s="1"/>
      <c r="I145" s="1"/>
      <c r="J145" s="1"/>
      <c r="K145" s="321"/>
      <c r="L145" s="14"/>
      <c r="M145" s="65"/>
      <c r="N145" s="65"/>
      <c r="O145" s="323"/>
      <c r="P145" s="186">
        <f t="shared" si="16"/>
      </c>
      <c r="Q145" s="187">
        <f t="shared" ca="1" si="17"/>
      </c>
      <c r="R145" s="14"/>
      <c r="S145" s="187">
        <f t="shared" si="18"/>
      </c>
      <c r="T145" s="190">
        <f t="shared" si="19"/>
      </c>
    </row>
    <row r="146" spans="1:20" x14ac:dyDescent="0.35">
      <c r="A146" s="183">
        <f t="shared" si="15"/>
      </c>
      <c r="B146" s="185">
        <f t="shared" si="14"/>
      </c>
      <c r="C146" s="328"/>
      <c r="D146" s="327"/>
      <c r="E146" s="325"/>
      <c r="F146" s="14"/>
      <c r="G146" s="1"/>
      <c r="H146" s="1"/>
      <c r="I146" s="1"/>
      <c r="J146" s="1"/>
      <c r="K146" s="321"/>
      <c r="L146" s="14"/>
      <c r="M146" s="65"/>
      <c r="N146" s="65"/>
      <c r="O146" s="323"/>
      <c r="P146" s="186">
        <f t="shared" si="16"/>
      </c>
      <c r="Q146" s="187">
        <f t="shared" ca="1" si="17"/>
      </c>
      <c r="R146" s="14"/>
      <c r="S146" s="187">
        <f t="shared" si="18"/>
      </c>
      <c r="T146" s="190">
        <f t="shared" si="19"/>
      </c>
    </row>
    <row r="147" spans="1:20" x14ac:dyDescent="0.35">
      <c r="A147" s="183">
        <f t="shared" si="15"/>
      </c>
      <c r="B147" s="185">
        <f t="shared" si="14"/>
      </c>
      <c r="C147" s="328"/>
      <c r="D147" s="327"/>
      <c r="E147" s="325"/>
      <c r="F147" s="14"/>
      <c r="G147" s="1"/>
      <c r="H147" s="1"/>
      <c r="I147" s="1"/>
      <c r="J147" s="1"/>
      <c r="K147" s="321"/>
      <c r="L147" s="14"/>
      <c r="M147" s="65"/>
      <c r="N147" s="65"/>
      <c r="O147" s="323"/>
      <c r="P147" s="186">
        <f t="shared" si="16"/>
      </c>
      <c r="Q147" s="187">
        <f t="shared" ca="1" si="17"/>
      </c>
      <c r="R147" s="14"/>
      <c r="S147" s="187">
        <f t="shared" si="18"/>
      </c>
      <c r="T147" s="190">
        <f t="shared" si="19"/>
      </c>
    </row>
    <row r="148" spans="1:20" x14ac:dyDescent="0.35">
      <c r="A148" s="183">
        <f t="shared" si="15"/>
      </c>
      <c r="B148" s="185">
        <f t="shared" si="14"/>
      </c>
      <c r="C148" s="328"/>
      <c r="D148" s="327"/>
      <c r="E148" s="325"/>
      <c r="F148" s="14"/>
      <c r="G148" s="1"/>
      <c r="H148" s="1"/>
      <c r="I148" s="1"/>
      <c r="J148" s="1"/>
      <c r="K148" s="321"/>
      <c r="L148" s="14"/>
      <c r="M148" s="65"/>
      <c r="N148" s="65"/>
      <c r="O148" s="323"/>
      <c r="P148" s="186">
        <f t="shared" si="16"/>
      </c>
      <c r="Q148" s="187">
        <f t="shared" ca="1" si="17"/>
      </c>
      <c r="R148" s="14"/>
      <c r="S148" s="187">
        <f t="shared" si="18"/>
      </c>
      <c r="T148" s="190">
        <f t="shared" si="19"/>
      </c>
    </row>
    <row r="149" spans="1:20" x14ac:dyDescent="0.35">
      <c r="A149" s="183">
        <f t="shared" si="15"/>
      </c>
      <c r="B149" s="185">
        <f t="shared" si="14"/>
      </c>
      <c r="C149" s="328"/>
      <c r="D149" s="327"/>
      <c r="E149" s="325"/>
      <c r="F149" s="14"/>
      <c r="G149" s="1"/>
      <c r="H149" s="1"/>
      <c r="I149" s="1"/>
      <c r="J149" s="1"/>
      <c r="K149" s="321"/>
      <c r="L149" s="14"/>
      <c r="M149" s="65"/>
      <c r="N149" s="65"/>
      <c r="O149" s="323"/>
      <c r="P149" s="186">
        <f t="shared" si="16"/>
      </c>
      <c r="Q149" s="187">
        <f t="shared" ca="1" si="17"/>
      </c>
      <c r="R149" s="14"/>
      <c r="S149" s="187">
        <f t="shared" si="18"/>
      </c>
      <c r="T149" s="190">
        <f t="shared" si="19"/>
      </c>
    </row>
    <row r="150" spans="1:20" x14ac:dyDescent="0.35">
      <c r="A150" s="183">
        <f t="shared" si="15"/>
      </c>
      <c r="B150" s="185">
        <f t="shared" si="14"/>
      </c>
      <c r="C150" s="328"/>
      <c r="D150" s="327"/>
      <c r="E150" s="325"/>
      <c r="F150" s="14"/>
      <c r="G150" s="1"/>
      <c r="H150" s="1"/>
      <c r="I150" s="1"/>
      <c r="J150" s="1"/>
      <c r="K150" s="321"/>
      <c r="L150" s="14"/>
      <c r="M150" s="65"/>
      <c r="N150" s="65"/>
      <c r="O150" s="323"/>
      <c r="P150" s="186">
        <f t="shared" si="16"/>
      </c>
      <c r="Q150" s="187">
        <f t="shared" ca="1" si="17"/>
      </c>
      <c r="R150" s="14"/>
      <c r="S150" s="187">
        <f t="shared" si="18"/>
      </c>
      <c r="T150" s="190">
        <f t="shared" si="19"/>
      </c>
    </row>
    <row r="151" spans="1:20" x14ac:dyDescent="0.35">
      <c r="A151" s="183">
        <f t="shared" si="15"/>
      </c>
      <c r="B151" s="185">
        <f t="shared" si="14"/>
      </c>
      <c r="C151" s="328"/>
      <c r="D151" s="327"/>
      <c r="E151" s="325"/>
      <c r="F151" s="14"/>
      <c r="G151" s="1"/>
      <c r="H151" s="1"/>
      <c r="I151" s="1"/>
      <c r="J151" s="1"/>
      <c r="K151" s="321"/>
      <c r="L151" s="14"/>
      <c r="M151" s="65"/>
      <c r="N151" s="65"/>
      <c r="O151" s="323"/>
      <c r="P151" s="186">
        <f t="shared" si="16"/>
      </c>
      <c r="Q151" s="187">
        <f t="shared" ca="1" si="17"/>
      </c>
      <c r="R151" s="14"/>
      <c r="S151" s="187">
        <f t="shared" si="18"/>
      </c>
      <c r="T151" s="190">
        <f t="shared" si="19"/>
      </c>
    </row>
    <row r="152" spans="1:20" x14ac:dyDescent="0.35">
      <c r="A152" s="183">
        <f t="shared" si="15"/>
      </c>
      <c r="B152" s="185">
        <f t="shared" si="14"/>
      </c>
      <c r="C152" s="328"/>
      <c r="D152" s="327"/>
      <c r="E152" s="325"/>
      <c r="F152" s="14"/>
      <c r="G152" s="1"/>
      <c r="H152" s="1"/>
      <c r="I152" s="1"/>
      <c r="J152" s="1"/>
      <c r="K152" s="321"/>
      <c r="L152" s="14"/>
      <c r="M152" s="65"/>
      <c r="N152" s="65"/>
      <c r="O152" s="323"/>
      <c r="P152" s="186">
        <f t="shared" si="16"/>
      </c>
      <c r="Q152" s="187">
        <f t="shared" ca="1" si="17"/>
      </c>
      <c r="R152" s="14"/>
      <c r="S152" s="187">
        <f t="shared" si="18"/>
      </c>
      <c r="T152" s="190">
        <f t="shared" si="19"/>
      </c>
    </row>
    <row r="153" spans="1:20" x14ac:dyDescent="0.35">
      <c r="A153" s="183">
        <f t="shared" si="15"/>
      </c>
      <c r="B153" s="185">
        <f t="shared" si="14"/>
      </c>
      <c r="C153" s="328"/>
      <c r="D153" s="327"/>
      <c r="E153" s="325"/>
      <c r="F153" s="14"/>
      <c r="G153" s="1"/>
      <c r="H153" s="1"/>
      <c r="I153" s="1"/>
      <c r="J153" s="1"/>
      <c r="K153" s="321"/>
      <c r="L153" s="14"/>
      <c r="M153" s="65"/>
      <c r="N153" s="65"/>
      <c r="O153" s="323"/>
      <c r="P153" s="186">
        <f t="shared" si="16"/>
      </c>
      <c r="Q153" s="187">
        <f t="shared" ca="1" si="17"/>
      </c>
      <c r="R153" s="14"/>
      <c r="S153" s="187">
        <f t="shared" si="18"/>
      </c>
      <c r="T153" s="190">
        <f t="shared" si="19"/>
      </c>
    </row>
    <row r="154" spans="1:20" x14ac:dyDescent="0.35">
      <c r="A154" s="183">
        <f t="shared" si="15"/>
      </c>
      <c r="B154" s="185">
        <f t="shared" si="14"/>
      </c>
      <c r="C154" s="328"/>
      <c r="D154" s="327"/>
      <c r="E154" s="325"/>
      <c r="F154" s="14"/>
      <c r="G154" s="1"/>
      <c r="H154" s="1"/>
      <c r="I154" s="1"/>
      <c r="J154" s="1"/>
      <c r="K154" s="321"/>
      <c r="L154" s="14"/>
      <c r="M154" s="65"/>
      <c r="N154" s="65"/>
      <c r="O154" s="323"/>
      <c r="P154" s="186">
        <f t="shared" si="16"/>
      </c>
      <c r="Q154" s="187">
        <f t="shared" ca="1" si="17"/>
      </c>
      <c r="R154" s="14"/>
      <c r="S154" s="187">
        <f t="shared" si="18"/>
      </c>
      <c r="T154" s="190">
        <f t="shared" si="19"/>
      </c>
    </row>
    <row r="155" spans="1:20" x14ac:dyDescent="0.35">
      <c r="A155" s="183">
        <f t="shared" si="15"/>
      </c>
      <c r="B155" s="185">
        <f t="shared" si="14"/>
      </c>
      <c r="C155" s="328"/>
      <c r="D155" s="327"/>
      <c r="E155" s="325"/>
      <c r="F155" s="14"/>
      <c r="G155" s="1"/>
      <c r="H155" s="1"/>
      <c r="I155" s="1"/>
      <c r="J155" s="1"/>
      <c r="K155" s="321"/>
      <c r="L155" s="14"/>
      <c r="M155" s="65"/>
      <c r="N155" s="65"/>
      <c r="O155" s="323"/>
      <c r="P155" s="186">
        <f t="shared" si="16"/>
      </c>
      <c r="Q155" s="187">
        <f t="shared" ca="1" si="17"/>
      </c>
      <c r="R155" s="14"/>
      <c r="S155" s="187">
        <f t="shared" si="18"/>
      </c>
      <c r="T155" s="190">
        <f t="shared" si="19"/>
      </c>
    </row>
    <row r="156" spans="1:20" x14ac:dyDescent="0.35">
      <c r="A156" s="183">
        <f t="shared" si="15"/>
      </c>
      <c r="B156" s="185">
        <f t="shared" si="14"/>
      </c>
      <c r="C156" s="328"/>
      <c r="D156" s="327"/>
      <c r="E156" s="325"/>
      <c r="F156" s="14"/>
      <c r="G156" s="1"/>
      <c r="H156" s="1"/>
      <c r="I156" s="1"/>
      <c r="J156" s="1"/>
      <c r="K156" s="321"/>
      <c r="L156" s="14"/>
      <c r="M156" s="65"/>
      <c r="N156" s="65"/>
      <c r="O156" s="323"/>
      <c r="P156" s="186">
        <f t="shared" si="16"/>
      </c>
      <c r="Q156" s="187">
        <f t="shared" ca="1" si="17"/>
      </c>
      <c r="R156" s="14"/>
      <c r="S156" s="187">
        <f t="shared" si="18"/>
      </c>
      <c r="T156" s="190">
        <f t="shared" si="19"/>
      </c>
    </row>
    <row r="157" spans="1:20" x14ac:dyDescent="0.35">
      <c r="A157" s="183">
        <f t="shared" si="15"/>
      </c>
      <c r="B157" s="185">
        <f t="shared" si="14"/>
      </c>
      <c r="C157" s="328"/>
      <c r="D157" s="327"/>
      <c r="E157" s="325"/>
      <c r="F157" s="14"/>
      <c r="G157" s="1"/>
      <c r="H157" s="1"/>
      <c r="I157" s="1"/>
      <c r="J157" s="1"/>
      <c r="K157" s="321"/>
      <c r="L157" s="14"/>
      <c r="M157" s="65"/>
      <c r="N157" s="65"/>
      <c r="O157" s="323"/>
      <c r="P157" s="186">
        <f t="shared" si="16"/>
      </c>
      <c r="Q157" s="187">
        <f t="shared" ca="1" si="17"/>
      </c>
      <c r="R157" s="14"/>
      <c r="S157" s="187">
        <f t="shared" si="18"/>
      </c>
      <c r="T157" s="190">
        <f t="shared" si="19"/>
      </c>
    </row>
    <row r="158" spans="1:20" x14ac:dyDescent="0.35">
      <c r="A158" s="183">
        <f t="shared" si="15"/>
      </c>
      <c r="B158" s="185">
        <f t="shared" si="14"/>
      </c>
      <c r="C158" s="328"/>
      <c r="D158" s="327"/>
      <c r="E158" s="325"/>
      <c r="F158" s="14"/>
      <c r="G158" s="1"/>
      <c r="H158" s="1"/>
      <c r="I158" s="1"/>
      <c r="J158" s="1"/>
      <c r="K158" s="321"/>
      <c r="L158" s="14"/>
      <c r="M158" s="65"/>
      <c r="N158" s="65"/>
      <c r="O158" s="323"/>
      <c r="P158" s="186">
        <f t="shared" si="16"/>
      </c>
      <c r="Q158" s="187">
        <f t="shared" ca="1" si="17"/>
      </c>
      <c r="R158" s="14"/>
      <c r="S158" s="187">
        <f t="shared" si="18"/>
      </c>
      <c r="T158" s="190">
        <f t="shared" si="19"/>
      </c>
    </row>
    <row r="159" spans="1:20" x14ac:dyDescent="0.35">
      <c r="A159" s="183">
        <f t="shared" si="15"/>
      </c>
      <c r="B159" s="185">
        <f t="shared" si="14"/>
      </c>
      <c r="C159" s="328"/>
      <c r="D159" s="327"/>
      <c r="E159" s="325"/>
      <c r="F159" s="14"/>
      <c r="G159" s="1"/>
      <c r="H159" s="1"/>
      <c r="I159" s="1"/>
      <c r="J159" s="1"/>
      <c r="K159" s="321"/>
      <c r="L159" s="14"/>
      <c r="M159" s="65"/>
      <c r="N159" s="65"/>
      <c r="O159" s="323"/>
      <c r="P159" s="186">
        <f t="shared" si="16"/>
      </c>
      <c r="Q159" s="187">
        <f t="shared" ca="1" si="17"/>
      </c>
      <c r="R159" s="14"/>
      <c r="S159" s="187">
        <f t="shared" si="18"/>
      </c>
      <c r="T159" s="190">
        <f t="shared" si="19"/>
      </c>
    </row>
    <row r="160" spans="1:20" x14ac:dyDescent="0.35">
      <c r="A160" s="183">
        <f t="shared" si="15"/>
      </c>
      <c r="B160" s="185">
        <f t="shared" si="14"/>
      </c>
      <c r="C160" s="328"/>
      <c r="D160" s="327"/>
      <c r="E160" s="325"/>
      <c r="F160" s="14"/>
      <c r="G160" s="1"/>
      <c r="H160" s="1"/>
      <c r="I160" s="1"/>
      <c r="J160" s="1"/>
      <c r="K160" s="321"/>
      <c r="L160" s="14"/>
      <c r="M160" s="65"/>
      <c r="N160" s="65"/>
      <c r="O160" s="323"/>
      <c r="P160" s="186">
        <f t="shared" si="16"/>
      </c>
      <c r="Q160" s="187">
        <f t="shared" ca="1" si="17"/>
      </c>
      <c r="R160" s="14"/>
      <c r="S160" s="187">
        <f t="shared" si="18"/>
      </c>
      <c r="T160" s="190">
        <f t="shared" si="19"/>
      </c>
    </row>
    <row r="161" spans="1:20" x14ac:dyDescent="0.35">
      <c r="A161" s="183">
        <f t="shared" si="15"/>
      </c>
      <c r="B161" s="185">
        <f t="shared" si="14"/>
      </c>
      <c r="C161" s="328"/>
      <c r="D161" s="327"/>
      <c r="E161" s="325"/>
      <c r="F161" s="14"/>
      <c r="G161" s="1"/>
      <c r="H161" s="1"/>
      <c r="I161" s="1"/>
      <c r="J161" s="1"/>
      <c r="K161" s="321"/>
      <c r="L161" s="14"/>
      <c r="M161" s="65"/>
      <c r="N161" s="65"/>
      <c r="O161" s="323"/>
      <c r="P161" s="186">
        <f t="shared" si="16"/>
      </c>
      <c r="Q161" s="187">
        <f t="shared" ca="1" si="17"/>
      </c>
      <c r="R161" s="14"/>
      <c r="S161" s="187">
        <f t="shared" si="18"/>
      </c>
      <c r="T161" s="190">
        <f t="shared" si="19"/>
      </c>
    </row>
    <row r="162" spans="1:20" x14ac:dyDescent="0.35">
      <c r="A162" s="183">
        <f t="shared" si="15"/>
      </c>
      <c r="B162" s="185">
        <f t="shared" si="14"/>
      </c>
      <c r="C162" s="328"/>
      <c r="D162" s="327"/>
      <c r="E162" s="325"/>
      <c r="F162" s="14"/>
      <c r="G162" s="1"/>
      <c r="H162" s="1"/>
      <c r="I162" s="1"/>
      <c r="J162" s="1"/>
      <c r="K162" s="321"/>
      <c r="L162" s="14"/>
      <c r="M162" s="65"/>
      <c r="N162" s="65"/>
      <c r="O162" s="323"/>
      <c r="P162" s="186">
        <f t="shared" si="16"/>
      </c>
      <c r="Q162" s="187">
        <f t="shared" ca="1" si="17"/>
      </c>
      <c r="R162" s="14"/>
      <c r="S162" s="187">
        <f t="shared" si="18"/>
      </c>
      <c r="T162" s="190">
        <f t="shared" si="19"/>
      </c>
    </row>
    <row r="163" spans="1:20" x14ac:dyDescent="0.35">
      <c r="A163" s="183">
        <f t="shared" si="15"/>
      </c>
      <c r="B163" s="185">
        <f t="shared" si="14"/>
      </c>
      <c r="C163" s="328"/>
      <c r="D163" s="327"/>
      <c r="E163" s="325"/>
      <c r="F163" s="14"/>
      <c r="G163" s="1"/>
      <c r="H163" s="1"/>
      <c r="I163" s="1"/>
      <c r="J163" s="1"/>
      <c r="K163" s="321"/>
      <c r="L163" s="14"/>
      <c r="M163" s="65"/>
      <c r="N163" s="65"/>
      <c r="O163" s="323"/>
      <c r="P163" s="186">
        <f t="shared" si="16"/>
      </c>
      <c r="Q163" s="187">
        <f t="shared" ca="1" si="17"/>
      </c>
      <c r="R163" s="14"/>
      <c r="S163" s="187">
        <f t="shared" si="18"/>
      </c>
      <c r="T163" s="190">
        <f t="shared" si="19"/>
      </c>
    </row>
    <row r="164" spans="1:20" x14ac:dyDescent="0.35">
      <c r="A164" s="183">
        <f t="shared" si="15"/>
      </c>
      <c r="B164" s="185">
        <f t="shared" si="14"/>
      </c>
      <c r="C164" s="328"/>
      <c r="D164" s="327"/>
      <c r="E164" s="325"/>
      <c r="F164" s="14"/>
      <c r="G164" s="1"/>
      <c r="H164" s="1"/>
      <c r="I164" s="1"/>
      <c r="J164" s="1"/>
      <c r="K164" s="321"/>
      <c r="L164" s="14"/>
      <c r="M164" s="65"/>
      <c r="N164" s="65"/>
      <c r="O164" s="323"/>
      <c r="P164" s="186">
        <f t="shared" si="16"/>
      </c>
      <c r="Q164" s="187">
        <f t="shared" ca="1" si="17"/>
      </c>
      <c r="R164" s="14"/>
      <c r="S164" s="187">
        <f t="shared" si="18"/>
      </c>
      <c r="T164" s="190">
        <f t="shared" si="19"/>
      </c>
    </row>
    <row r="165" spans="1:20" x14ac:dyDescent="0.35">
      <c r="A165" s="183">
        <f t="shared" si="15"/>
      </c>
      <c r="B165" s="185">
        <f t="shared" ref="B165:B196" si="20">IF(AND($C165="",$D165="",$E165=""),"","DR-"&amp;TEXT($A165,"000"))</f>
      </c>
      <c r="C165" s="328"/>
      <c r="D165" s="327"/>
      <c r="E165" s="325"/>
      <c r="F165" s="14"/>
      <c r="G165" s="1"/>
      <c r="H165" s="1"/>
      <c r="I165" s="1"/>
      <c r="J165" s="1"/>
      <c r="K165" s="321"/>
      <c r="L165" s="14"/>
      <c r="M165" s="65"/>
      <c r="N165" s="65"/>
      <c r="O165" s="323"/>
      <c r="P165" s="186">
        <f t="shared" si="16"/>
      </c>
      <c r="Q165" s="187">
        <f t="shared" ca="1" si="17"/>
      </c>
      <c r="R165" s="14"/>
      <c r="S165" s="187">
        <f t="shared" si="18"/>
      </c>
      <c r="T165" s="190">
        <f t="shared" si="19"/>
      </c>
    </row>
    <row r="166" spans="1:20" x14ac:dyDescent="0.35">
      <c r="A166" s="183">
        <f t="shared" si="15"/>
      </c>
      <c r="B166" s="185">
        <f t="shared" si="20"/>
      </c>
      <c r="C166" s="328"/>
      <c r="D166" s="327"/>
      <c r="E166" s="325"/>
      <c r="F166" s="14"/>
      <c r="G166" s="1"/>
      <c r="H166" s="1"/>
      <c r="I166" s="1"/>
      <c r="J166" s="1"/>
      <c r="K166" s="321"/>
      <c r="L166" s="14"/>
      <c r="M166" s="65"/>
      <c r="N166" s="65"/>
      <c r="O166" s="323"/>
      <c r="P166" s="186">
        <f t="shared" si="16"/>
      </c>
      <c r="Q166" s="187">
        <f t="shared" ca="1" si="17"/>
      </c>
      <c r="R166" s="14"/>
      <c r="S166" s="187">
        <f t="shared" si="18"/>
      </c>
      <c r="T166" s="190">
        <f t="shared" si="19"/>
      </c>
    </row>
    <row r="167" spans="1:20" x14ac:dyDescent="0.35">
      <c r="A167" s="183">
        <f t="shared" si="15"/>
      </c>
      <c r="B167" s="185">
        <f t="shared" si="20"/>
      </c>
      <c r="C167" s="328"/>
      <c r="D167" s="327"/>
      <c r="E167" s="325"/>
      <c r="F167" s="14"/>
      <c r="G167" s="1"/>
      <c r="H167" s="1"/>
      <c r="I167" s="1"/>
      <c r="J167" s="1"/>
      <c r="K167" s="321"/>
      <c r="L167" s="14"/>
      <c r="M167" s="65"/>
      <c r="N167" s="65"/>
      <c r="O167" s="323"/>
      <c r="P167" s="186">
        <f t="shared" si="16"/>
      </c>
      <c r="Q167" s="187">
        <f t="shared" ca="1" si="17"/>
      </c>
      <c r="R167" s="14"/>
      <c r="S167" s="187">
        <f t="shared" si="18"/>
      </c>
      <c r="T167" s="190">
        <f t="shared" si="19"/>
      </c>
    </row>
    <row r="168" spans="1:20" x14ac:dyDescent="0.35">
      <c r="A168" s="183">
        <f t="shared" si="15"/>
      </c>
      <c r="B168" s="185">
        <f t="shared" si="20"/>
      </c>
      <c r="C168" s="328"/>
      <c r="D168" s="327"/>
      <c r="E168" s="325"/>
      <c r="F168" s="14"/>
      <c r="G168" s="1"/>
      <c r="H168" s="1"/>
      <c r="I168" s="1"/>
      <c r="J168" s="1"/>
      <c r="K168" s="321"/>
      <c r="L168" s="14"/>
      <c r="M168" s="65"/>
      <c r="N168" s="65"/>
      <c r="O168" s="323"/>
      <c r="P168" s="186">
        <f t="shared" si="16"/>
      </c>
      <c r="Q168" s="187">
        <f t="shared" ca="1" si="17"/>
      </c>
      <c r="R168" s="14"/>
      <c r="S168" s="187">
        <f t="shared" si="18"/>
      </c>
      <c r="T168" s="190">
        <f t="shared" si="19"/>
      </c>
    </row>
    <row r="169" spans="1:20" x14ac:dyDescent="0.35">
      <c r="A169" s="183">
        <f t="shared" si="15"/>
      </c>
      <c r="B169" s="185">
        <f t="shared" si="20"/>
      </c>
      <c r="C169" s="328"/>
      <c r="D169" s="327"/>
      <c r="E169" s="325"/>
      <c r="F169" s="14"/>
      <c r="G169" s="1"/>
      <c r="H169" s="1"/>
      <c r="I169" s="1"/>
      <c r="J169" s="1"/>
      <c r="K169" s="321"/>
      <c r="L169" s="14"/>
      <c r="M169" s="65"/>
      <c r="N169" s="65"/>
      <c r="O169" s="323"/>
      <c r="P169" s="186">
        <f t="shared" si="16"/>
      </c>
      <c r="Q169" s="187">
        <f t="shared" ca="1" si="17"/>
      </c>
      <c r="R169" s="14"/>
      <c r="S169" s="187">
        <f t="shared" si="18"/>
      </c>
      <c r="T169" s="190">
        <f t="shared" si="19"/>
      </c>
    </row>
    <row r="170" spans="1:20" x14ac:dyDescent="0.35">
      <c r="A170" s="183">
        <f t="shared" si="15"/>
      </c>
      <c r="B170" s="185">
        <f t="shared" si="20"/>
      </c>
      <c r="C170" s="328"/>
      <c r="D170" s="327"/>
      <c r="E170" s="325"/>
      <c r="F170" s="14"/>
      <c r="G170" s="1"/>
      <c r="H170" s="1"/>
      <c r="I170" s="1"/>
      <c r="J170" s="1"/>
      <c r="K170" s="321"/>
      <c r="L170" s="14"/>
      <c r="M170" s="65"/>
      <c r="N170" s="65"/>
      <c r="O170" s="323"/>
      <c r="P170" s="186">
        <f t="shared" si="16"/>
      </c>
      <c r="Q170" s="187">
        <f t="shared" ca="1" si="17"/>
      </c>
      <c r="R170" s="14"/>
      <c r="S170" s="187">
        <f t="shared" si="18"/>
      </c>
      <c r="T170" s="190">
        <f t="shared" si="19"/>
      </c>
    </row>
    <row r="171" spans="1:20" x14ac:dyDescent="0.35">
      <c r="A171" s="183">
        <f t="shared" si="15"/>
      </c>
      <c r="B171" s="185">
        <f t="shared" si="20"/>
      </c>
      <c r="C171" s="328"/>
      <c r="D171" s="327"/>
      <c r="E171" s="325"/>
      <c r="F171" s="14"/>
      <c r="G171" s="1"/>
      <c r="H171" s="1"/>
      <c r="I171" s="1"/>
      <c r="J171" s="1"/>
      <c r="K171" s="321"/>
      <c r="L171" s="14"/>
      <c r="M171" s="65"/>
      <c r="N171" s="65"/>
      <c r="O171" s="323"/>
      <c r="P171" s="186">
        <f t="shared" si="16"/>
      </c>
      <c r="Q171" s="187">
        <f t="shared" ca="1" si="17"/>
      </c>
      <c r="R171" s="14"/>
      <c r="S171" s="187">
        <f t="shared" si="18"/>
      </c>
      <c r="T171" s="190">
        <f t="shared" si="19"/>
      </c>
    </row>
    <row r="172" spans="1:20" x14ac:dyDescent="0.35">
      <c r="A172" s="183">
        <f t="shared" si="15"/>
      </c>
      <c r="B172" s="185">
        <f t="shared" si="20"/>
      </c>
      <c r="C172" s="328"/>
      <c r="D172" s="327"/>
      <c r="E172" s="325"/>
      <c r="F172" s="14"/>
      <c r="G172" s="1"/>
      <c r="H172" s="1"/>
      <c r="I172" s="1"/>
      <c r="J172" s="1"/>
      <c r="K172" s="321"/>
      <c r="L172" s="14"/>
      <c r="M172" s="65"/>
      <c r="N172" s="65"/>
      <c r="O172" s="323"/>
      <c r="P172" s="186">
        <f t="shared" si="16"/>
      </c>
      <c r="Q172" s="187">
        <f t="shared" ca="1" si="17"/>
      </c>
      <c r="R172" s="14"/>
      <c r="S172" s="187">
        <f t="shared" si="18"/>
      </c>
      <c r="T172" s="190">
        <f t="shared" si="19"/>
      </c>
    </row>
    <row r="173" spans="1:20" x14ac:dyDescent="0.35">
      <c r="A173" s="183">
        <f t="shared" si="15"/>
      </c>
      <c r="B173" s="185">
        <f t="shared" si="20"/>
      </c>
      <c r="C173" s="328"/>
      <c r="D173" s="327"/>
      <c r="E173" s="325"/>
      <c r="F173" s="14"/>
      <c r="G173" s="1"/>
      <c r="H173" s="1"/>
      <c r="I173" s="1"/>
      <c r="J173" s="1"/>
      <c r="K173" s="321"/>
      <c r="L173" s="14"/>
      <c r="M173" s="65"/>
      <c r="N173" s="65"/>
      <c r="O173" s="323"/>
      <c r="P173" s="186">
        <f t="shared" si="16"/>
      </c>
      <c r="Q173" s="187">
        <f t="shared" ca="1" si="17"/>
      </c>
      <c r="R173" s="14"/>
      <c r="S173" s="187">
        <f t="shared" si="18"/>
      </c>
      <c r="T173" s="190">
        <f t="shared" si="19"/>
      </c>
    </row>
    <row r="174" spans="1:20" x14ac:dyDescent="0.35">
      <c r="A174" s="183">
        <f t="shared" si="15"/>
      </c>
      <c r="B174" s="185">
        <f t="shared" si="20"/>
      </c>
      <c r="C174" s="328"/>
      <c r="D174" s="327"/>
      <c r="E174" s="325"/>
      <c r="F174" s="14"/>
      <c r="G174" s="1"/>
      <c r="H174" s="1"/>
      <c r="I174" s="1"/>
      <c r="J174" s="1"/>
      <c r="K174" s="321"/>
      <c r="L174" s="14"/>
      <c r="M174" s="65"/>
      <c r="N174" s="65"/>
      <c r="O174" s="323"/>
      <c r="P174" s="186">
        <f t="shared" si="16"/>
      </c>
      <c r="Q174" s="187">
        <f t="shared" ca="1" si="17"/>
      </c>
      <c r="R174" s="14"/>
      <c r="S174" s="187">
        <f t="shared" si="18"/>
      </c>
      <c r="T174" s="190">
        <f t="shared" si="19"/>
      </c>
    </row>
    <row r="175" spans="1:20" x14ac:dyDescent="0.35">
      <c r="A175" s="183">
        <f t="shared" si="15"/>
      </c>
      <c r="B175" s="185">
        <f t="shared" si="20"/>
      </c>
      <c r="C175" s="328"/>
      <c r="D175" s="327"/>
      <c r="E175" s="325"/>
      <c r="F175" s="14"/>
      <c r="G175" s="1"/>
      <c r="H175" s="1"/>
      <c r="I175" s="1"/>
      <c r="J175" s="1"/>
      <c r="K175" s="321"/>
      <c r="L175" s="14"/>
      <c r="M175" s="65"/>
      <c r="N175" s="65"/>
      <c r="O175" s="323"/>
      <c r="P175" s="186">
        <f t="shared" si="16"/>
      </c>
      <c r="Q175" s="187">
        <f t="shared" ca="1" si="17"/>
      </c>
      <c r="R175" s="14"/>
      <c r="S175" s="187">
        <f t="shared" si="18"/>
      </c>
      <c r="T175" s="190">
        <f t="shared" si="19"/>
      </c>
    </row>
    <row r="176" spans="1:20" x14ac:dyDescent="0.35">
      <c r="A176" s="183">
        <f t="shared" si="15"/>
      </c>
      <c r="B176" s="185">
        <f t="shared" si="20"/>
      </c>
      <c r="C176" s="328"/>
      <c r="D176" s="327"/>
      <c r="E176" s="325"/>
      <c r="F176" s="14"/>
      <c r="G176" s="1"/>
      <c r="H176" s="1"/>
      <c r="I176" s="1"/>
      <c r="J176" s="1"/>
      <c r="K176" s="321"/>
      <c r="L176" s="14"/>
      <c r="M176" s="65"/>
      <c r="N176" s="65"/>
      <c r="O176" s="323"/>
      <c r="P176" s="186">
        <f t="shared" si="16"/>
      </c>
      <c r="Q176" s="187">
        <f t="shared" ca="1" si="17"/>
      </c>
      <c r="R176" s="14"/>
      <c r="S176" s="187">
        <f t="shared" si="18"/>
      </c>
      <c r="T176" s="190">
        <f t="shared" si="19"/>
      </c>
    </row>
    <row r="177" spans="1:20" x14ac:dyDescent="0.35">
      <c r="A177" s="183">
        <f t="shared" si="15"/>
      </c>
      <c r="B177" s="185">
        <f t="shared" si="20"/>
      </c>
      <c r="C177" s="328"/>
      <c r="D177" s="327"/>
      <c r="E177" s="325"/>
      <c r="F177" s="14"/>
      <c r="G177" s="1"/>
      <c r="H177" s="1"/>
      <c r="I177" s="1"/>
      <c r="J177" s="1"/>
      <c r="K177" s="321"/>
      <c r="L177" s="14"/>
      <c r="M177" s="65"/>
      <c r="N177" s="65"/>
      <c r="O177" s="323"/>
      <c r="P177" s="186">
        <f t="shared" si="16"/>
      </c>
      <c r="Q177" s="187">
        <f t="shared" ca="1" si="17"/>
      </c>
      <c r="R177" s="14"/>
      <c r="S177" s="187">
        <f t="shared" si="18"/>
      </c>
      <c r="T177" s="190">
        <f t="shared" si="19"/>
      </c>
    </row>
    <row r="178" spans="1:20" x14ac:dyDescent="0.35">
      <c r="A178" s="183">
        <f t="shared" si="15"/>
      </c>
      <c r="B178" s="185">
        <f t="shared" si="20"/>
      </c>
      <c r="C178" s="328"/>
      <c r="D178" s="327"/>
      <c r="E178" s="325"/>
      <c r="F178" s="14"/>
      <c r="G178" s="1"/>
      <c r="H178" s="1"/>
      <c r="I178" s="1"/>
      <c r="J178" s="1"/>
      <c r="K178" s="321"/>
      <c r="L178" s="14"/>
      <c r="M178" s="65"/>
      <c r="N178" s="65"/>
      <c r="O178" s="323"/>
      <c r="P178" s="186">
        <f t="shared" si="16"/>
      </c>
      <c r="Q178" s="187">
        <f t="shared" ca="1" si="17"/>
      </c>
      <c r="R178" s="14"/>
      <c r="S178" s="187">
        <f t="shared" si="18"/>
      </c>
      <c r="T178" s="190">
        <f t="shared" si="19"/>
      </c>
    </row>
    <row r="179" spans="1:20" x14ac:dyDescent="0.35">
      <c r="A179" s="183">
        <f t="shared" si="15"/>
      </c>
      <c r="B179" s="185">
        <f t="shared" si="20"/>
      </c>
      <c r="C179" s="328"/>
      <c r="D179" s="327"/>
      <c r="E179" s="325"/>
      <c r="F179" s="14"/>
      <c r="G179" s="1"/>
      <c r="H179" s="1"/>
      <c r="I179" s="1"/>
      <c r="J179" s="1"/>
      <c r="K179" s="321"/>
      <c r="L179" s="14"/>
      <c r="M179" s="65"/>
      <c r="N179" s="65"/>
      <c r="O179" s="323"/>
      <c r="P179" s="186">
        <f t="shared" si="16"/>
      </c>
      <c r="Q179" s="187">
        <f t="shared" ca="1" si="17"/>
      </c>
      <c r="R179" s="14"/>
      <c r="S179" s="187">
        <f t="shared" si="18"/>
      </c>
      <c r="T179" s="190">
        <f t="shared" si="19"/>
      </c>
    </row>
    <row r="180" spans="1:20" x14ac:dyDescent="0.35">
      <c r="A180" s="183">
        <f t="shared" si="15"/>
      </c>
      <c r="B180" s="185">
        <f t="shared" si="20"/>
      </c>
      <c r="C180" s="328"/>
      <c r="D180" s="327"/>
      <c r="E180" s="325"/>
      <c r="F180" s="14"/>
      <c r="G180" s="1"/>
      <c r="H180" s="1"/>
      <c r="I180" s="1"/>
      <c r="J180" s="1"/>
      <c r="K180" s="321"/>
      <c r="L180" s="14"/>
      <c r="M180" s="65"/>
      <c r="N180" s="65"/>
      <c r="O180" s="323"/>
      <c r="P180" s="186">
        <f t="shared" si="16"/>
      </c>
      <c r="Q180" s="187">
        <f t="shared" ca="1" si="17"/>
      </c>
      <c r="R180" s="14"/>
      <c r="S180" s="187">
        <f t="shared" si="18"/>
      </c>
      <c r="T180" s="190">
        <f t="shared" si="19"/>
      </c>
    </row>
    <row r="181" spans="1:20" x14ac:dyDescent="0.35">
      <c r="A181" s="183">
        <f t="shared" si="15"/>
      </c>
      <c r="B181" s="185">
        <f t="shared" si="20"/>
      </c>
      <c r="C181" s="328"/>
      <c r="D181" s="327"/>
      <c r="E181" s="325"/>
      <c r="F181" s="14"/>
      <c r="G181" s="1"/>
      <c r="H181" s="1"/>
      <c r="I181" s="1"/>
      <c r="J181" s="1"/>
      <c r="K181" s="321"/>
      <c r="L181" s="14"/>
      <c r="M181" s="65"/>
      <c r="N181" s="65"/>
      <c r="O181" s="323"/>
      <c r="P181" s="186">
        <f t="shared" si="16"/>
      </c>
      <c r="Q181" s="187">
        <f t="shared" ca="1" si="17"/>
      </c>
      <c r="R181" s="14"/>
      <c r="S181" s="187">
        <f t="shared" si="18"/>
      </c>
      <c r="T181" s="190">
        <f t="shared" si="19"/>
      </c>
    </row>
    <row r="182" spans="1:20" x14ac:dyDescent="0.35">
      <c r="A182" s="183">
        <f t="shared" si="15"/>
      </c>
      <c r="B182" s="185">
        <f t="shared" si="20"/>
      </c>
      <c r="C182" s="328"/>
      <c r="D182" s="327"/>
      <c r="E182" s="325"/>
      <c r="F182" s="14"/>
      <c r="G182" s="1"/>
      <c r="H182" s="1"/>
      <c r="I182" s="1"/>
      <c r="J182" s="1"/>
      <c r="K182" s="321"/>
      <c r="L182" s="14"/>
      <c r="M182" s="65"/>
      <c r="N182" s="65"/>
      <c r="O182" s="323"/>
      <c r="P182" s="186">
        <f t="shared" si="16"/>
      </c>
      <c r="Q182" s="187">
        <f t="shared" ca="1" si="17"/>
      </c>
      <c r="R182" s="14"/>
      <c r="S182" s="187">
        <f t="shared" si="18"/>
      </c>
      <c r="T182" s="190">
        <f t="shared" si="19"/>
      </c>
    </row>
    <row r="183" spans="1:20" x14ac:dyDescent="0.35">
      <c r="A183" s="183">
        <f t="shared" si="15"/>
      </c>
      <c r="B183" s="185">
        <f t="shared" si="20"/>
      </c>
      <c r="C183" s="328"/>
      <c r="D183" s="327"/>
      <c r="E183" s="325"/>
      <c r="F183" s="14"/>
      <c r="G183" s="1"/>
      <c r="H183" s="1"/>
      <c r="I183" s="1"/>
      <c r="J183" s="1"/>
      <c r="K183" s="321"/>
      <c r="L183" s="14"/>
      <c r="M183" s="65"/>
      <c r="N183" s="65"/>
      <c r="O183" s="323"/>
      <c r="P183" s="186">
        <f t="shared" si="16"/>
      </c>
      <c r="Q183" s="187">
        <f t="shared" ca="1" si="17"/>
      </c>
      <c r="R183" s="14"/>
      <c r="S183" s="187">
        <f t="shared" si="18"/>
      </c>
      <c r="T183" s="190">
        <f t="shared" si="19"/>
      </c>
    </row>
    <row r="184" spans="1:20" x14ac:dyDescent="0.35">
      <c r="A184" s="183">
        <f t="shared" si="15"/>
      </c>
      <c r="B184" s="185">
        <f t="shared" si="20"/>
      </c>
      <c r="C184" s="328"/>
      <c r="D184" s="327"/>
      <c r="E184" s="325"/>
      <c r="F184" s="14"/>
      <c r="G184" s="1"/>
      <c r="H184" s="1"/>
      <c r="I184" s="1"/>
      <c r="J184" s="1"/>
      <c r="K184" s="321"/>
      <c r="L184" s="14"/>
      <c r="M184" s="65"/>
      <c r="N184" s="65"/>
      <c r="O184" s="323"/>
      <c r="P184" s="186">
        <f t="shared" si="16"/>
      </c>
      <c r="Q184" s="187">
        <f t="shared" ca="1" si="17"/>
      </c>
      <c r="R184" s="14"/>
      <c r="S184" s="187">
        <f t="shared" si="18"/>
      </c>
      <c r="T184" s="190">
        <f t="shared" si="19"/>
      </c>
    </row>
    <row r="185" spans="1:20" x14ac:dyDescent="0.35">
      <c r="A185" s="183">
        <f t="shared" si="15"/>
      </c>
      <c r="B185" s="185">
        <f t="shared" si="20"/>
      </c>
      <c r="C185" s="328"/>
      <c r="D185" s="327"/>
      <c r="E185" s="325"/>
      <c r="F185" s="14"/>
      <c r="G185" s="1"/>
      <c r="H185" s="1"/>
      <c r="I185" s="1"/>
      <c r="J185" s="1"/>
      <c r="K185" s="321"/>
      <c r="L185" s="14"/>
      <c r="M185" s="65"/>
      <c r="N185" s="65"/>
      <c r="O185" s="323"/>
      <c r="P185" s="186">
        <f t="shared" si="16"/>
      </c>
      <c r="Q185" s="187">
        <f t="shared" ca="1" si="17"/>
      </c>
      <c r="R185" s="14"/>
      <c r="S185" s="187">
        <f t="shared" si="18"/>
      </c>
      <c r="T185" s="190">
        <f t="shared" si="19"/>
      </c>
    </row>
    <row r="186" spans="1:20" x14ac:dyDescent="0.35">
      <c r="A186" s="183">
        <f t="shared" si="15"/>
      </c>
      <c r="B186" s="185">
        <f t="shared" si="20"/>
      </c>
      <c r="C186" s="328"/>
      <c r="D186" s="327"/>
      <c r="E186" s="325"/>
      <c r="F186" s="14"/>
      <c r="G186" s="1"/>
      <c r="H186" s="1"/>
      <c r="I186" s="1"/>
      <c r="J186" s="1"/>
      <c r="K186" s="321"/>
      <c r="L186" s="14"/>
      <c r="M186" s="65"/>
      <c r="N186" s="65"/>
      <c r="O186" s="323"/>
      <c r="P186" s="186">
        <f t="shared" si="16"/>
      </c>
      <c r="Q186" s="187">
        <f t="shared" ca="1" si="17"/>
      </c>
      <c r="R186" s="14"/>
      <c r="S186" s="187">
        <f t="shared" si="18"/>
      </c>
      <c r="T186" s="190">
        <f t="shared" si="19"/>
      </c>
    </row>
    <row r="187" spans="1:20" x14ac:dyDescent="0.35">
      <c r="A187" s="183">
        <f t="shared" si="15"/>
      </c>
      <c r="B187" s="185">
        <f t="shared" si="20"/>
      </c>
      <c r="C187" s="328"/>
      <c r="D187" s="327"/>
      <c r="E187" s="325"/>
      <c r="F187" s="14"/>
      <c r="G187" s="1"/>
      <c r="H187" s="1"/>
      <c r="I187" s="1"/>
      <c r="J187" s="1"/>
      <c r="K187" s="321"/>
      <c r="L187" s="14"/>
      <c r="M187" s="65"/>
      <c r="N187" s="65"/>
      <c r="O187" s="323"/>
      <c r="P187" s="186">
        <f t="shared" si="16"/>
      </c>
      <c r="Q187" s="187">
        <f t="shared" ca="1" si="17"/>
      </c>
      <c r="R187" s="14"/>
      <c r="S187" s="187">
        <f t="shared" si="18"/>
      </c>
      <c r="T187" s="190">
        <f t="shared" si="19"/>
      </c>
    </row>
    <row r="188" spans="1:20" x14ac:dyDescent="0.35">
      <c r="A188" s="183">
        <f t="shared" si="15"/>
      </c>
      <c r="B188" s="185">
        <f t="shared" si="20"/>
      </c>
      <c r="C188" s="328"/>
      <c r="D188" s="327"/>
      <c r="E188" s="325"/>
      <c r="F188" s="14"/>
      <c r="G188" s="1"/>
      <c r="H188" s="1"/>
      <c r="I188" s="1"/>
      <c r="J188" s="1"/>
      <c r="K188" s="321"/>
      <c r="L188" s="14"/>
      <c r="M188" s="65"/>
      <c r="N188" s="65"/>
      <c r="O188" s="323"/>
      <c r="P188" s="186">
        <f t="shared" si="16"/>
      </c>
      <c r="Q188" s="187">
        <f t="shared" ca="1" si="17"/>
      </c>
      <c r="R188" s="14"/>
      <c r="S188" s="187">
        <f t="shared" si="18"/>
      </c>
      <c r="T188" s="190">
        <f t="shared" si="19"/>
      </c>
    </row>
    <row r="189" spans="1:20" x14ac:dyDescent="0.35">
      <c r="A189" s="183">
        <f t="shared" si="15"/>
      </c>
      <c r="B189" s="185">
        <f t="shared" si="20"/>
      </c>
      <c r="C189" s="328"/>
      <c r="D189" s="327"/>
      <c r="E189" s="325"/>
      <c r="F189" s="14"/>
      <c r="G189" s="1"/>
      <c r="H189" s="1"/>
      <c r="I189" s="1"/>
      <c r="J189" s="1"/>
      <c r="K189" s="321"/>
      <c r="L189" s="14"/>
      <c r="M189" s="65"/>
      <c r="N189" s="65"/>
      <c r="O189" s="323"/>
      <c r="P189" s="186">
        <f t="shared" si="16"/>
      </c>
      <c r="Q189" s="187">
        <f t="shared" ca="1" si="17"/>
      </c>
      <c r="R189" s="14"/>
      <c r="S189" s="187">
        <f t="shared" si="18"/>
      </c>
      <c r="T189" s="190">
        <f t="shared" si="19"/>
      </c>
    </row>
    <row r="190" spans="1:20" x14ac:dyDescent="0.35">
      <c r="A190" s="183">
        <f t="shared" si="15"/>
      </c>
      <c r="B190" s="185">
        <f t="shared" si="20"/>
      </c>
      <c r="C190" s="328"/>
      <c r="D190" s="327"/>
      <c r="E190" s="325"/>
      <c r="F190" s="14"/>
      <c r="G190" s="1"/>
      <c r="H190" s="1"/>
      <c r="I190" s="1"/>
      <c r="J190" s="1"/>
      <c r="K190" s="321"/>
      <c r="L190" s="14"/>
      <c r="M190" s="65"/>
      <c r="N190" s="65"/>
      <c r="O190" s="323"/>
      <c r="P190" s="186">
        <f t="shared" si="16"/>
      </c>
      <c r="Q190" s="187">
        <f t="shared" ca="1" si="17"/>
      </c>
      <c r="R190" s="14"/>
      <c r="S190" s="187">
        <f t="shared" si="18"/>
      </c>
      <c r="T190" s="190">
        <f t="shared" si="19"/>
      </c>
    </row>
    <row r="191" spans="1:20" x14ac:dyDescent="0.35">
      <c r="A191" s="183">
        <f t="shared" si="15"/>
      </c>
      <c r="B191" s="185">
        <f t="shared" si="20"/>
      </c>
      <c r="C191" s="328"/>
      <c r="D191" s="327"/>
      <c r="E191" s="325"/>
      <c r="F191" s="14"/>
      <c r="G191" s="1"/>
      <c r="H191" s="1"/>
      <c r="I191" s="1"/>
      <c r="J191" s="1"/>
      <c r="K191" s="321"/>
      <c r="L191" s="14"/>
      <c r="M191" s="65"/>
      <c r="N191" s="65"/>
      <c r="O191" s="323"/>
      <c r="P191" s="186">
        <f t="shared" si="16"/>
      </c>
      <c r="Q191" s="187">
        <f t="shared" ca="1" si="17"/>
      </c>
      <c r="R191" s="14"/>
      <c r="S191" s="187">
        <f t="shared" si="18"/>
      </c>
      <c r="T191" s="190">
        <f t="shared" si="19"/>
      </c>
    </row>
    <row r="192" spans="1:20" x14ac:dyDescent="0.35">
      <c r="A192" s="183">
        <f t="shared" si="15"/>
      </c>
      <c r="B192" s="185">
        <f t="shared" si="20"/>
      </c>
      <c r="C192" s="328"/>
      <c r="D192" s="327"/>
      <c r="E192" s="325"/>
      <c r="F192" s="14"/>
      <c r="G192" s="1"/>
      <c r="H192" s="1"/>
      <c r="I192" s="1"/>
      <c r="J192" s="1"/>
      <c r="K192" s="321"/>
      <c r="L192" s="14"/>
      <c r="M192" s="65"/>
      <c r="N192" s="65"/>
      <c r="O192" s="323"/>
      <c r="P192" s="186">
        <f t="shared" si="16"/>
      </c>
      <c r="Q192" s="187">
        <f t="shared" ca="1" si="17"/>
      </c>
      <c r="R192" s="14"/>
      <c r="S192" s="187">
        <f t="shared" si="18"/>
      </c>
      <c r="T192" s="190">
        <f t="shared" si="19"/>
      </c>
    </row>
    <row r="193" spans="1:20" x14ac:dyDescent="0.35">
      <c r="A193" s="183">
        <f t="shared" si="15"/>
      </c>
      <c r="B193" s="185">
        <f t="shared" si="20"/>
      </c>
      <c r="C193" s="328"/>
      <c r="D193" s="327"/>
      <c r="E193" s="325"/>
      <c r="F193" s="14"/>
      <c r="G193" s="1"/>
      <c r="H193" s="1"/>
      <c r="I193" s="1"/>
      <c r="J193" s="1"/>
      <c r="K193" s="321"/>
      <c r="L193" s="14"/>
      <c r="M193" s="65"/>
      <c r="N193" s="65"/>
      <c r="O193" s="323"/>
      <c r="P193" s="186">
        <f t="shared" si="16"/>
      </c>
      <c r="Q193" s="187">
        <f t="shared" ca="1" si="17"/>
      </c>
      <c r="R193" s="14"/>
      <c r="S193" s="187">
        <f t="shared" si="18"/>
      </c>
      <c r="T193" s="190">
        <f t="shared" si="19"/>
      </c>
    </row>
    <row r="194" spans="1:20" x14ac:dyDescent="0.35">
      <c r="A194" s="183">
        <f t="shared" si="15"/>
      </c>
      <c r="B194" s="185">
        <f t="shared" si="20"/>
      </c>
      <c r="C194" s="328"/>
      <c r="D194" s="327"/>
      <c r="E194" s="325"/>
      <c r="F194" s="14"/>
      <c r="G194" s="1"/>
      <c r="H194" s="1"/>
      <c r="I194" s="1"/>
      <c r="J194" s="1"/>
      <c r="K194" s="321"/>
      <c r="L194" s="14"/>
      <c r="M194" s="65"/>
      <c r="N194" s="65"/>
      <c r="O194" s="323"/>
      <c r="P194" s="186">
        <f t="shared" si="16"/>
      </c>
      <c r="Q194" s="187">
        <f t="shared" ca="1" si="17"/>
      </c>
      <c r="R194" s="14"/>
      <c r="S194" s="187">
        <f t="shared" si="18"/>
      </c>
      <c r="T194" s="190">
        <f t="shared" si="19"/>
      </c>
    </row>
    <row r="195" spans="1:20" x14ac:dyDescent="0.35">
      <c r="A195" s="183">
        <f t="shared" si="15"/>
      </c>
      <c r="B195" s="185">
        <f t="shared" si="20"/>
      </c>
      <c r="C195" s="328"/>
      <c r="D195" s="327"/>
      <c r="E195" s="325"/>
      <c r="F195" s="14"/>
      <c r="G195" s="1"/>
      <c r="H195" s="1"/>
      <c r="I195" s="1"/>
      <c r="J195" s="1"/>
      <c r="K195" s="321"/>
      <c r="L195" s="14"/>
      <c r="M195" s="65"/>
      <c r="N195" s="65"/>
      <c r="O195" s="323"/>
      <c r="P195" s="186">
        <f t="shared" si="16"/>
      </c>
      <c r="Q195" s="187">
        <f t="shared" ca="1" si="17"/>
      </c>
      <c r="R195" s="14"/>
      <c r="S195" s="187">
        <f t="shared" si="18"/>
      </c>
      <c r="T195" s="190">
        <f t="shared" si="19"/>
      </c>
    </row>
    <row r="196" spans="1:20" x14ac:dyDescent="0.35">
      <c r="A196" s="183">
        <f t="shared" si="15"/>
      </c>
      <c r="B196" s="185">
        <f t="shared" si="20"/>
      </c>
      <c r="C196" s="328"/>
      <c r="D196" s="327"/>
      <c r="E196" s="325"/>
      <c r="F196" s="14"/>
      <c r="G196" s="1"/>
      <c r="H196" s="1"/>
      <c r="I196" s="1"/>
      <c r="J196" s="1"/>
      <c r="K196" s="321"/>
      <c r="L196" s="14"/>
      <c r="M196" s="65"/>
      <c r="N196" s="65"/>
      <c r="O196" s="323"/>
      <c r="P196" s="186">
        <f t="shared" si="16"/>
      </c>
      <c r="Q196" s="187">
        <f t="shared" ca="1" si="17"/>
      </c>
      <c r="R196" s="14"/>
      <c r="S196" s="187">
        <f t="shared" si="18"/>
      </c>
      <c r="T196" s="190">
        <f t="shared" si="19"/>
      </c>
    </row>
    <row r="197" spans="1:20" x14ac:dyDescent="0.35">
      <c r="A197" s="183">
        <f t="shared" si="15"/>
      </c>
      <c r="B197" s="185">
        <f t="shared" ref="B197:B204" si="21">IF(AND($C197="",$D197="",$E197=""),"","DR-"&amp;TEXT($A197,"000"))</f>
      </c>
      <c r="C197" s="328"/>
      <c r="D197" s="327"/>
      <c r="E197" s="325"/>
      <c r="F197" s="14"/>
      <c r="G197" s="1"/>
      <c r="H197" s="1"/>
      <c r="I197" s="1"/>
      <c r="J197" s="1"/>
      <c r="K197" s="321"/>
      <c r="L197" s="14"/>
      <c r="M197" s="65"/>
      <c r="N197" s="65"/>
      <c r="O197" s="323"/>
      <c r="P197" s="186">
        <f t="shared" si="16"/>
      </c>
      <c r="Q197" s="187">
        <f t="shared" ca="1" si="17"/>
      </c>
      <c r="R197" s="14"/>
      <c r="S197" s="187">
        <f t="shared" si="18"/>
      </c>
      <c r="T197" s="190">
        <f t="shared" si="19"/>
      </c>
    </row>
    <row r="198" spans="1:20" x14ac:dyDescent="0.35">
      <c r="A198" s="183">
        <f t="shared" ref="A198:A204" si="22">ROW()-4</f>
      </c>
      <c r="B198" s="185">
        <f t="shared" si="21"/>
      </c>
      <c r="C198" s="328"/>
      <c r="D198" s="327"/>
      <c r="E198" s="325"/>
      <c r="F198" s="14"/>
      <c r="G198" s="1"/>
      <c r="H198" s="1"/>
      <c r="I198" s="1"/>
      <c r="J198" s="1"/>
      <c r="K198" s="321"/>
      <c r="L198" s="14"/>
      <c r="M198" s="65"/>
      <c r="N198" s="65"/>
      <c r="O198" s="323"/>
      <c r="P198" s="186">
        <f t="shared" ref="P198:P204" si="23">IF($M198="","",EDATE($M198,12))</f>
      </c>
      <c r="Q198" s="187">
        <f t="shared" ref="Q198:Q204" ca="1" si="24">IF($E198="","",IF($K198="None (gap)","GAP - no DR",IF(OR($S198="Not Assessed",$T198="Not Assessed"),"Recovery Targets Incomplete",IF($M198="","Not Tested",IF(AND($P198&lt;&gt;"",$P198&lt;TODAY()),"Test Overdue",IF($O198="","Not Tested",IF($O198&lt;&gt;"Pass","Retest Required",IF(OR($S198&lt;&gt;"RTO Complied",$T198&lt;&gt;"RPO Complied"),"Recovery Not Compliant","Tested &amp; Current"))))))))</f>
      </c>
      <c r="R198" s="14"/>
      <c r="S198" s="187">
        <f t="shared" ref="S198:S204" si="25">IF($E198="","",IF(OR(NOT(ISNUMBER($G198)),NOT(ISNUMBER($I198))),"Not Assessed",IF($I198&lt;=$G198,"RTO Complied","RTO Not Complied")))</f>
      </c>
      <c r="T198" s="190">
        <f t="shared" ref="T198:T204" si="26">IF($E198="","",IF(OR(NOT(ISNUMBER($H198)),NOT(ISNUMBER($J198))),"Not Assessed",IF($J198&lt;=$H198,"RPO Complied","RPO Not Complied")))</f>
      </c>
    </row>
    <row r="199" spans="1:20" x14ac:dyDescent="0.35">
      <c r="A199" s="183">
        <f t="shared" si="22"/>
      </c>
      <c r="B199" s="185">
        <f t="shared" si="21"/>
      </c>
      <c r="C199" s="328"/>
      <c r="D199" s="327"/>
      <c r="E199" s="325"/>
      <c r="F199" s="14"/>
      <c r="G199" s="1"/>
      <c r="H199" s="1"/>
      <c r="I199" s="1"/>
      <c r="J199" s="1"/>
      <c r="K199" s="321"/>
      <c r="L199" s="14"/>
      <c r="M199" s="65"/>
      <c r="N199" s="65"/>
      <c r="O199" s="323"/>
      <c r="P199" s="186">
        <f t="shared" si="23"/>
      </c>
      <c r="Q199" s="187">
        <f t="shared" ca="1" si="24"/>
      </c>
      <c r="R199" s="14"/>
      <c r="S199" s="187">
        <f t="shared" si="25"/>
      </c>
      <c r="T199" s="190">
        <f t="shared" si="26"/>
      </c>
    </row>
    <row r="200" spans="1:20" x14ac:dyDescent="0.35">
      <c r="A200" s="183">
        <f t="shared" si="22"/>
      </c>
      <c r="B200" s="185">
        <f t="shared" si="21"/>
      </c>
      <c r="C200" s="328"/>
      <c r="D200" s="327"/>
      <c r="E200" s="325"/>
      <c r="F200" s="14"/>
      <c r="G200" s="1"/>
      <c r="H200" s="1"/>
      <c r="I200" s="1"/>
      <c r="J200" s="1"/>
      <c r="K200" s="321"/>
      <c r="L200" s="14"/>
      <c r="M200" s="65"/>
      <c r="N200" s="65"/>
      <c r="O200" s="323"/>
      <c r="P200" s="186">
        <f t="shared" si="23"/>
      </c>
      <c r="Q200" s="187">
        <f t="shared" ca="1" si="24"/>
      </c>
      <c r="R200" s="14"/>
      <c r="S200" s="187">
        <f t="shared" si="25"/>
      </c>
      <c r="T200" s="190">
        <f t="shared" si="26"/>
      </c>
    </row>
    <row r="201" spans="1:20" x14ac:dyDescent="0.35">
      <c r="A201" s="183">
        <f t="shared" si="22"/>
      </c>
      <c r="B201" s="185">
        <f t="shared" si="21"/>
      </c>
      <c r="C201" s="328"/>
      <c r="D201" s="327"/>
      <c r="E201" s="325"/>
      <c r="F201" s="14"/>
      <c r="G201" s="1"/>
      <c r="H201" s="1"/>
      <c r="I201" s="1"/>
      <c r="J201" s="1"/>
      <c r="K201" s="321"/>
      <c r="L201" s="14"/>
      <c r="M201" s="65"/>
      <c r="N201" s="65"/>
      <c r="O201" s="323"/>
      <c r="P201" s="186">
        <f t="shared" si="23"/>
      </c>
      <c r="Q201" s="187">
        <f t="shared" ca="1" si="24"/>
      </c>
      <c r="R201" s="14"/>
      <c r="S201" s="187">
        <f t="shared" si="25"/>
      </c>
      <c r="T201" s="190">
        <f t="shared" si="26"/>
      </c>
    </row>
    <row r="202" spans="1:20" x14ac:dyDescent="0.35">
      <c r="A202" s="183">
        <f t="shared" si="22"/>
      </c>
      <c r="B202" s="185">
        <f t="shared" si="21"/>
      </c>
      <c r="C202" s="328"/>
      <c r="D202" s="327"/>
      <c r="E202" s="325"/>
      <c r="F202" s="14"/>
      <c r="G202" s="1"/>
      <c r="H202" s="1"/>
      <c r="I202" s="1"/>
      <c r="J202" s="1"/>
      <c r="K202" s="321"/>
      <c r="L202" s="14"/>
      <c r="M202" s="65"/>
      <c r="N202" s="65"/>
      <c r="O202" s="323"/>
      <c r="P202" s="186">
        <f t="shared" si="23"/>
      </c>
      <c r="Q202" s="187">
        <f t="shared" ca="1" si="24"/>
      </c>
      <c r="R202" s="14"/>
      <c r="S202" s="187">
        <f t="shared" si="25"/>
      </c>
      <c r="T202" s="190">
        <f t="shared" si="26"/>
      </c>
    </row>
    <row r="203" spans="1:20" x14ac:dyDescent="0.35">
      <c r="A203" s="183">
        <f t="shared" si="22"/>
      </c>
      <c r="B203" s="185">
        <f t="shared" si="21"/>
      </c>
      <c r="C203" s="328"/>
      <c r="D203" s="327"/>
      <c r="E203" s="325"/>
      <c r="F203" s="14"/>
      <c r="G203" s="1"/>
      <c r="H203" s="1"/>
      <c r="I203" s="1"/>
      <c r="J203" s="1"/>
      <c r="K203" s="321"/>
      <c r="L203" s="14"/>
      <c r="M203" s="65"/>
      <c r="N203" s="65"/>
      <c r="O203" s="323"/>
      <c r="P203" s="186">
        <f t="shared" si="23"/>
      </c>
      <c r="Q203" s="187">
        <f t="shared" ca="1" si="24"/>
      </c>
      <c r="R203" s="14"/>
      <c r="S203" s="187">
        <f t="shared" si="25"/>
      </c>
      <c r="T203" s="190">
        <f t="shared" si="26"/>
      </c>
    </row>
    <row r="204" spans="1:20" x14ac:dyDescent="0.35">
      <c r="A204" s="183">
        <f t="shared" si="22"/>
      </c>
      <c r="B204" s="184">
        <f t="shared" si="21"/>
      </c>
      <c r="C204" s="329"/>
      <c r="D204" s="327"/>
      <c r="E204" s="326"/>
      <c r="F204" s="117"/>
      <c r="G204" s="118"/>
      <c r="H204" s="118"/>
      <c r="I204" s="118"/>
      <c r="J204" s="118"/>
      <c r="K204" s="322"/>
      <c r="L204" s="117"/>
      <c r="M204" s="120"/>
      <c r="N204" s="120"/>
      <c r="O204" s="324"/>
      <c r="P204" s="188">
        <f t="shared" si="23"/>
      </c>
      <c r="Q204" s="189">
        <f t="shared" ca="1" si="24"/>
      </c>
      <c r="R204" s="117"/>
      <c r="S204" s="189">
        <f t="shared" si="25"/>
      </c>
      <c r="T204" s="191">
        <f t="shared" si="26"/>
      </c>
    </row>
  </sheetData>
  <mergeCells count="2">
    <mergeCell ref="A1:R1"/>
    <mergeCell ref="A2:R2"/>
  </mergeCells>
  <conditionalFormatting sqref="Q5:Q204">
    <cfRule type="cellIs" dxfId="53" priority="5" operator="equal">
      <formula>"Retest required"</formula>
    </cfRule>
    <cfRule type="cellIs" dxfId="52" priority="7" operator="equal">
      <formula>"Correction in progress"</formula>
    </cfRule>
    <cfRule type="cellIs" dxfId="51" priority="15" operator="equal">
      <formula>"Tested &amp; Current"</formula>
    </cfRule>
    <cfRule type="cellIs" dxfId="50" priority="16" operator="equal">
      <formula>"Test Overdue"</formula>
    </cfRule>
    <cfRule type="cellIs" dxfId="49" priority="17" operator="equal">
      <formula>"GAP - no DR"</formula>
    </cfRule>
    <cfRule type="cellIs" dxfId="48" priority="18" operator="equal">
      <formula>"Not Tested"</formula>
    </cfRule>
  </conditionalFormatting>
  <conditionalFormatting sqref="S5:T204">
    <cfRule type="cellIs" dxfId="47" priority="1" operator="equal">
      <formula>"Tested &amp; Current"</formula>
    </cfRule>
    <cfRule type="cellIs" dxfId="46" priority="2" operator="equal">
      <formula>"Test Overdue"</formula>
    </cfRule>
    <cfRule type="cellIs" dxfId="45" priority="3" operator="equal">
      <formula>"GAP - no DR"</formula>
    </cfRule>
    <cfRule type="cellIs" dxfId="44" priority="4" operator="equal">
      <formula>"Not Tested"</formula>
    </cfRule>
  </conditionalFormatting>
  <conditionalFormatting sqref="C5:D204 G5:K204 M5:M204">
    <cfRule type="expression" dxfId="250" priority="19">
      <formula>AND($E5&lt;&gt;"",C5="")</formula>
    </cfRule>
  </conditionalFormatting>
  <dataValidations count="5">
    <dataValidation type="list" allowBlank="1" sqref="K5:K204" xr:uid="{00000000-0002-0000-1500-000002000000}">
      <formula1>lstDRStrategy</formula1>
      <formula2>0</formula2>
    </dataValidation>
    <dataValidation type="list" allowBlank="1" sqref="O5:O204" xr:uid="{00000000-0002-0000-1500-000003000000}">
      <formula1>lstTestResult</formula1>
    </dataValidation>
    <dataValidation type="list" allowBlank="1" showInputMessage="1" showErrorMessage="1" sqref="E5:E204" xr:uid="{F3F02D7E-4677-4905-A394-762952068E24}">
      <formula1>IF(AND(C5="ICT",D5="Application"),I_A,IF(AND(C5="ICT",D5="Service"),I_S,IF(AND(C5="Equipment / Building / Utilities",D5="Equipment / Building / Utilities"),E_E,IF(AND(C5="Equipment / Building / Utilities",D5="Application"),E_A,"No"))))</formula1>
    </dataValidation>
    <dataValidation type="custom" allowBlank="1" showInputMessage="1" showErrorMessage="1" sqref="M5:M204" xr:uid="{7D61F23F-E8AA-429B-9C23-E867EEA9F385}">
      <formula1>OR($E5="",M5="",AND(ISNUMBER(M5),M5&lt;=TODAY()))</formula1>
    </dataValidation>
    <dataValidation type="list" allowBlank="1" showInputMessage="1" showErrorMessage="1" sqref="D5:D204" xr:uid="{2DCF734D-1BE5-4404-8675-6B91477F2CFB}">
      <formula1>IF(C5="ICT",ICT_List,IF(C5="Equipment / Building / Utilities",E_1,""))</formula1>
    </dataValidation>
  </dataValidations>
  <pageMargins left="0.75" right="0.75" top="1" bottom="1" header="0.511811023622047" footer="0.51180555555555596"/>
  <pageSetup paperSize="9" orientation="portrait" horizontalDpi="300" verticalDpi="300"/>
  <headerFooter>
    <oddFooter>&amp;L&amp;A&amp;RPage &amp;P of &amp;N</oddFooter>
  </headerFooter>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9D826D8A-67F7-49BB-8FA1-B0E0225A3D03}">
          <x14:formula1>
            <xm:f>'06. Application &amp; Equipment'!$A$10:$A$11</xm:f>
          </x14:formula1>
          <xm:sqref>C5:C204</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9137"/>
  </sheetPr>
  <dimension ref="A1:R110"/>
  <sheetViews>
    <sheetView showGridLines="0" zoomScale="85" zoomScaleNormal="85" workbookViewId="0">
      <pane xSplit="4" ySplit="4" topLeftCell="F5" activePane="bottomRight" state="frozen"/>
      <selection pane="topRight" activeCell="F1" sqref="F1"/>
      <selection pane="bottomLeft" activeCell="A6" sqref="A6"/>
      <selection pane="bottomRight" activeCell="A2" sqref="A2:P2"/>
    </sheetView>
  </sheetViews>
  <sheetFormatPr defaultColWidth="8.54296875" defaultRowHeight="14.5" x14ac:dyDescent="0.35"/>
  <cols>
    <col min="1" max="1" width="8" bestFit="1" customWidth="1"/>
    <col min="2" max="2" width="11.1796875" bestFit="1" customWidth="1"/>
    <col min="3" max="3" width="10.81640625" bestFit="1" customWidth="1"/>
    <col min="4" max="4" width="18.81640625" bestFit="1" customWidth="1"/>
    <col min="5" max="5" width="28.54296875" bestFit="1" customWidth="1"/>
    <col min="6" max="6" width="29.453125" bestFit="1" customWidth="1"/>
    <col min="7" max="7" width="15" bestFit="1" customWidth="1"/>
    <col min="8" max="8" width="18.1796875" bestFit="1" customWidth="1"/>
    <col min="9" max="9" width="20.7265625" bestFit="1" customWidth="1"/>
    <col min="10" max="10" width="12" bestFit="1" customWidth="1"/>
    <col min="11" max="11" width="17.54296875" bestFit="1" customWidth="1"/>
    <col min="12" max="12" width="23" bestFit="1" customWidth="1"/>
    <col min="13" max="13" width="21.54296875" bestFit="1" customWidth="1"/>
    <col min="14" max="14" width="17.453125" bestFit="1" customWidth="1"/>
    <col min="15" max="15" width="19.54296875" bestFit="1" customWidth="1"/>
    <col min="16" max="16" width="17.453125" bestFit="1" customWidth="1"/>
    <col min="17" max="17" width="16.81640625" hidden="1" customWidth="1"/>
    <col min="18" max="18" width="10.453125" bestFit="1" customWidth="1"/>
  </cols>
  <sheetData>
    <row r="1" spans="1:18" ht="23" x14ac:dyDescent="0.35">
      <c r="A1" s="236" t="s">
        <v>438</v>
      </c>
      <c r="B1" s="236"/>
      <c r="C1" s="236"/>
      <c r="D1" s="236"/>
      <c r="E1" s="236"/>
      <c r="F1" s="236"/>
      <c r="G1" s="236"/>
      <c r="H1" s="236"/>
      <c r="I1" s="236"/>
      <c r="J1" s="236"/>
      <c r="K1" s="236"/>
      <c r="L1" s="236"/>
      <c r="M1" s="236"/>
      <c r="N1" s="236"/>
      <c r="O1" s="236"/>
      <c r="P1" s="236"/>
    </row>
    <row r="2" spans="1:18" ht="16.5" x14ac:dyDescent="0.35">
      <c r="A2" s="237"/>
      <c r="B2" s="237"/>
      <c r="C2" s="237"/>
      <c r="D2" s="237"/>
      <c r="E2" s="237"/>
      <c r="F2" s="237"/>
      <c r="G2" s="237"/>
      <c r="H2" s="237"/>
      <c r="I2" s="237"/>
      <c r="J2" s="237"/>
      <c r="K2" s="237"/>
      <c r="L2" s="237"/>
      <c r="M2" s="237"/>
      <c r="N2" s="237"/>
      <c r="O2" s="237"/>
      <c r="P2" s="237"/>
    </row>
    <row r="4" spans="1:18" x14ac:dyDescent="0.35">
      <c r="A4" s="100" t="s">
        <v>131</v>
      </c>
      <c r="B4" s="2" t="s">
        <v>320</v>
      </c>
      <c r="C4" s="8" t="s">
        <v>277</v>
      </c>
      <c r="D4" s="2" t="s">
        <v>135</v>
      </c>
      <c r="E4" s="8" t="s">
        <v>321</v>
      </c>
      <c r="F4" s="8" t="s">
        <v>322</v>
      </c>
      <c r="G4" s="2" t="s">
        <v>278</v>
      </c>
      <c r="H4" s="2" t="s">
        <v>279</v>
      </c>
      <c r="I4" s="2" t="s">
        <v>280</v>
      </c>
      <c r="J4" s="2" t="s">
        <v>282</v>
      </c>
      <c r="K4" s="2" t="s">
        <v>323</v>
      </c>
      <c r="L4" s="8" t="s">
        <v>324</v>
      </c>
      <c r="M4" s="8" t="s">
        <v>325</v>
      </c>
      <c r="N4" s="2" t="s">
        <v>326</v>
      </c>
      <c r="O4" s="2" t="s">
        <v>327</v>
      </c>
      <c r="P4" s="8" t="s">
        <v>328</v>
      </c>
      <c r="Q4" t="s">
        <v>329</v>
      </c>
      <c r="R4" t="s">
        <v>220</v>
      </c>
    </row>
    <row r="5" spans="1:18" x14ac:dyDescent="0.35">
      <c r="A5" s="192">
        <v>1</v>
      </c>
      <c r="B5" s="193">
        <f t="shared" ref="B5:B36" si="0">IF($C5="","","RR-"&amp;TEXT($A5,"000"))</f>
      </c>
      <c r="C5" s="316"/>
      <c r="D5" s="194">
        <f>IF($C5="","",_xlfn.XLOOKUP($C5,StrategiesSolutions[S&amp;S ID],StrategiesSolutions[Products / Services],""))</f>
      </c>
      <c r="E5" s="61"/>
      <c r="F5" s="61"/>
      <c r="G5" s="195">
        <f>IF($C5="","",_xlfn.XLOOKUP($C5,StrategiesSolutions[S&amp;S ID],StrategiesSolutions[Dependency],""))</f>
      </c>
      <c r="H5" s="194">
        <f>IF($C5="","",_xlfn.XLOOKUP($C5,StrategiesSolutions[S&amp;S ID],StrategiesSolutions[Risk Assumption],""))</f>
      </c>
      <c r="I5" s="194">
        <f>IF($C5="","",_xlfn.XLOOKUP($C5,StrategiesSolutions[S&amp;S ID],StrategiesSolutions[Disruption Scenario],""))</f>
      </c>
      <c r="J5" s="194">
        <f>IF($C5="","",_xlfn.XLOOKUP($C5,StrategiesSolutions[S&amp;S ID],StrategiesSolutions[Strategy],""))</f>
      </c>
      <c r="K5" s="194">
        <f>IF($C5="","",_xlfn.LET(_xlpm.x,_xlfn.XLOOKUP($C5,StrategiesSolutions[S&amp;S ID],StrategiesSolutions[Strategy Details / Do nothing Justification],""),IF(_xlpm.x=0,"",_xlpm.x)))</f>
      </c>
      <c r="L5" s="62"/>
      <c r="M5" s="62"/>
      <c r="N5" s="330"/>
      <c r="O5" s="196">
        <f>IF($M5="","",EDATE($M5,12))</f>
      </c>
      <c r="P5" s="197">
        <f ca="1">IF($C5="","",_xlfn.LET(_xlpm.ssStatus,_xlfn.XLOOKUP($C5,StrategiesSolutions[S&amp;S ID],StrategiesSolutions[Status],""),IF($L5="","Not Scheduled",IF($M5="",IF($L5&lt;TODAY(),"Overdue","Scheduled"),IF($N5="","Result Required",IF(OR($E5="",$F5="",$Q5=""),"Incomplete Exercise",IF($N5="Fail","Failed",IF(OR($N5="Pass with Findings",_xlpm.ssStatus&lt;&gt;"Completed"),"Pass with Findings","Passed"))))))))</f>
      </c>
      <c r="Q5">
        <f>IF($C5="","",IF(SUMPRODUCT(--($C$5:$C$104=$C5),--($D$5:$D$104=$D5),--($E$5:$E$104=$E5))&gt;1,"DUPLICATE","OK"))</f>
      </c>
    </row>
    <row r="6" spans="1:18" x14ac:dyDescent="0.35">
      <c r="A6" s="192">
        <v>2</v>
      </c>
      <c r="B6" s="193">
        <f t="shared" si="0"/>
      </c>
      <c r="C6" s="316"/>
      <c r="D6" s="194">
        <f>IF($C6="","",_xlfn.XLOOKUP($C6,StrategiesSolutions[S&amp;S ID],StrategiesSolutions[Products / Services],""))</f>
      </c>
      <c r="E6" s="61"/>
      <c r="F6" s="61"/>
      <c r="G6" s="195">
        <f>IF($C6="","",_xlfn.XLOOKUP($C6,StrategiesSolutions[S&amp;S ID],StrategiesSolutions[Dependency],""))</f>
      </c>
      <c r="H6" s="194">
        <f>IF($C6="","",_xlfn.XLOOKUP($C6,StrategiesSolutions[S&amp;S ID],StrategiesSolutions[Risk Assumption],""))</f>
      </c>
      <c r="I6" s="194">
        <f>IF($C6="","",_xlfn.XLOOKUP($C6,StrategiesSolutions[S&amp;S ID],StrategiesSolutions[Disruption Scenario],""))</f>
      </c>
      <c r="J6" s="194">
        <f>IF($C6="","",_xlfn.XLOOKUP($C6,StrategiesSolutions[S&amp;S ID],StrategiesSolutions[Strategy],""))</f>
      </c>
      <c r="K6" s="194">
        <f>IF($C6="","",_xlfn.LET(_xlpm.x,_xlfn.XLOOKUP($C6,StrategiesSolutions[S&amp;S ID],StrategiesSolutions[Strategy Details / Do nothing Justification],""),IF(_xlpm.x=0,"",_xlpm.x)))</f>
      </c>
      <c r="L6" s="62"/>
      <c r="M6" s="62"/>
      <c r="N6" s="330"/>
      <c r="O6" s="196">
        <f t="shared" ref="O6:O69" si="1">IF($M6="","",EDATE($M6,12))</f>
      </c>
      <c r="P6" s="197">
        <f ca="1">IF($C6="","",_xlfn.LET(_xlpm.ssStatus,_xlfn.XLOOKUP($C6,StrategiesSolutions[S&amp;S ID],StrategiesSolutions[Status],""),IF($L6="","Not Scheduled",IF($M6="",IF($L6&lt;TODAY(),"Overdue","Scheduled"),IF($N6="","Result Required",IF(OR($E6="",$F6="",$Q6=""),"Incomplete Exercise",IF($N6="Fail","Failed",IF(OR($N6="Pass with Findings",_xlpm.ssStatus&lt;&gt;"Completed"),"Pass with Findings","Passed"))))))))</f>
      </c>
      <c r="Q6">
        <f t="shared" ref="Q6:Q69" si="2">IF($C6="","",IF(SUMPRODUCT(--($C$5:$C$104=$C6),--($D$5:$D$104=$D6),--($E$5:$E$104=$E6))&gt;1,"DUPLICATE","OK"))</f>
      </c>
    </row>
    <row r="7" spans="1:18" x14ac:dyDescent="0.35">
      <c r="A7" s="192">
        <v>3</v>
      </c>
      <c r="B7" s="193">
        <f t="shared" si="0"/>
      </c>
      <c r="C7" s="316"/>
      <c r="D7" s="194">
        <f>IF($C7="","",_xlfn.XLOOKUP($C7,StrategiesSolutions[S&amp;S ID],StrategiesSolutions[Products / Services],""))</f>
      </c>
      <c r="E7" s="61"/>
      <c r="F7" s="61"/>
      <c r="G7" s="195">
        <f>IF($C7="","",_xlfn.XLOOKUP($C7,StrategiesSolutions[S&amp;S ID],StrategiesSolutions[Dependency],""))</f>
      </c>
      <c r="H7" s="194">
        <f>IF($C7="","",_xlfn.XLOOKUP($C7,StrategiesSolutions[S&amp;S ID],StrategiesSolutions[Risk Assumption],""))</f>
      </c>
      <c r="I7" s="194">
        <f>IF($C7="","",_xlfn.XLOOKUP($C7,StrategiesSolutions[S&amp;S ID],StrategiesSolutions[Disruption Scenario],""))</f>
      </c>
      <c r="J7" s="194">
        <f>IF($C7="","",_xlfn.XLOOKUP($C7,StrategiesSolutions[S&amp;S ID],StrategiesSolutions[Strategy],""))</f>
      </c>
      <c r="K7" s="194">
        <f>IF($C7="","",_xlfn.LET(_xlpm.x,_xlfn.XLOOKUP($C7,StrategiesSolutions[S&amp;S ID],StrategiesSolutions[Strategy Details / Do nothing Justification],""),IF(_xlpm.x=0,"",_xlpm.x)))</f>
      </c>
      <c r="L7" s="62"/>
      <c r="M7" s="62"/>
      <c r="N7" s="330"/>
      <c r="O7" s="196">
        <f t="shared" si="1"/>
      </c>
      <c r="P7" s="197">
        <f ca="1">IF($C7="","",_xlfn.LET(_xlpm.ssStatus,_xlfn.XLOOKUP($C7,StrategiesSolutions[S&amp;S ID],StrategiesSolutions[Status],""),IF($L7="","Not Scheduled",IF($M7="",IF($L7&lt;TODAY(),"Overdue","Scheduled"),IF($N7="","Result Required",IF(OR($E7="",$F7="",$Q7=""),"Incomplete Exercise",IF($N7="Fail","Failed",IF(OR($N7="Pass with Findings",_xlpm.ssStatus&lt;&gt;"Completed"),"Pass with Findings","Passed"))))))))</f>
      </c>
      <c r="Q7">
        <f t="shared" si="2"/>
      </c>
    </row>
    <row r="8" spans="1:18" x14ac:dyDescent="0.35">
      <c r="A8" s="192">
        <v>4</v>
      </c>
      <c r="B8" s="193">
        <f t="shared" si="0"/>
      </c>
      <c r="C8" s="316"/>
      <c r="D8" s="194">
        <f>IF($C8="","",_xlfn.XLOOKUP($C8,StrategiesSolutions[S&amp;S ID],StrategiesSolutions[Products / Services],""))</f>
      </c>
      <c r="E8" s="61"/>
      <c r="F8" s="61"/>
      <c r="G8" s="195">
        <f>IF($C8="","",_xlfn.XLOOKUP($C8,StrategiesSolutions[S&amp;S ID],StrategiesSolutions[Dependency],""))</f>
      </c>
      <c r="H8" s="194">
        <f>IF($C8="","",_xlfn.XLOOKUP($C8,StrategiesSolutions[S&amp;S ID],StrategiesSolutions[Risk Assumption],""))</f>
      </c>
      <c r="I8" s="194">
        <f>IF($C8="","",_xlfn.XLOOKUP($C8,StrategiesSolutions[S&amp;S ID],StrategiesSolutions[Disruption Scenario],""))</f>
      </c>
      <c r="J8" s="194">
        <f>IF($C8="","",_xlfn.XLOOKUP($C8,StrategiesSolutions[S&amp;S ID],StrategiesSolutions[Strategy],""))</f>
      </c>
      <c r="K8" s="194">
        <f>IF($C8="","",_xlfn.LET(_xlpm.x,_xlfn.XLOOKUP($C8,StrategiesSolutions[S&amp;S ID],StrategiesSolutions[Strategy Details / Do nothing Justification],""),IF(_xlpm.x=0,"",_xlpm.x)))</f>
      </c>
      <c r="L8" s="62"/>
      <c r="M8" s="62"/>
      <c r="N8" s="330"/>
      <c r="O8" s="196">
        <f t="shared" si="1"/>
      </c>
      <c r="P8" s="197">
        <f ca="1">IF($C8="","",_xlfn.LET(_xlpm.ssStatus,_xlfn.XLOOKUP($C8,StrategiesSolutions[S&amp;S ID],StrategiesSolutions[Status],""),IF($L8="","Not Scheduled",IF($M8="",IF($L8&lt;TODAY(),"Overdue","Scheduled"),IF($N8="","Result Required",IF(OR($E8="",$F8="",$Q8=""),"Incomplete Exercise",IF($N8="Fail","Failed",IF(OR($N8="Pass with Findings",_xlpm.ssStatus&lt;&gt;"Completed"),"Pass with Findings","Passed"))))))))</f>
      </c>
      <c r="Q8">
        <f t="shared" si="2"/>
      </c>
    </row>
    <row r="9" spans="1:18" x14ac:dyDescent="0.35">
      <c r="A9" s="192">
        <v>5</v>
      </c>
      <c r="B9" s="193">
        <f t="shared" si="0"/>
      </c>
      <c r="C9" s="316"/>
      <c r="D9" s="194">
        <f>IF($C9="","",_xlfn.XLOOKUP($C9,StrategiesSolutions[S&amp;S ID],StrategiesSolutions[Products / Services],""))</f>
      </c>
      <c r="E9" s="61"/>
      <c r="F9" s="61"/>
      <c r="G9" s="195">
        <f>IF($C9="","",_xlfn.XLOOKUP($C9,StrategiesSolutions[S&amp;S ID],StrategiesSolutions[Dependency],""))</f>
      </c>
      <c r="H9" s="194">
        <f>IF($C9="","",_xlfn.XLOOKUP($C9,StrategiesSolutions[S&amp;S ID],StrategiesSolutions[Risk Assumption],""))</f>
      </c>
      <c r="I9" s="194">
        <f>IF($C9="","",_xlfn.XLOOKUP($C9,StrategiesSolutions[S&amp;S ID],StrategiesSolutions[Disruption Scenario],""))</f>
      </c>
      <c r="J9" s="194">
        <f>IF($C9="","",_xlfn.XLOOKUP($C9,StrategiesSolutions[S&amp;S ID],StrategiesSolutions[Strategy],""))</f>
      </c>
      <c r="K9" s="194">
        <f>IF($C9="","",_xlfn.LET(_xlpm.x,_xlfn.XLOOKUP($C9,StrategiesSolutions[S&amp;S ID],StrategiesSolutions[Strategy Details / Do nothing Justification],""),IF(_xlpm.x=0,"",_xlpm.x)))</f>
      </c>
      <c r="L9" s="62"/>
      <c r="M9" s="62"/>
      <c r="N9" s="330"/>
      <c r="O9" s="196">
        <f t="shared" si="1"/>
      </c>
      <c r="P9" s="197">
        <f ca="1">IF($C9="","",_xlfn.LET(_xlpm.ssStatus,_xlfn.XLOOKUP($C9,StrategiesSolutions[S&amp;S ID],StrategiesSolutions[Status],""),IF($L9="","Not Scheduled",IF($M9="",IF($L9&lt;TODAY(),"Overdue","Scheduled"),IF($N9="","Result Required",IF(OR($E9="",$F9="",$Q9=""),"Incomplete Exercise",IF($N9="Fail","Failed",IF(OR($N9="Pass with Findings",_xlpm.ssStatus&lt;&gt;"Completed"),"Pass with Findings","Passed"))))))))</f>
      </c>
      <c r="Q9">
        <f t="shared" si="2"/>
      </c>
    </row>
    <row r="10" spans="1:18" x14ac:dyDescent="0.35">
      <c r="A10" s="192">
        <v>6</v>
      </c>
      <c r="B10" s="193">
        <f t="shared" si="0"/>
      </c>
      <c r="C10" s="316"/>
      <c r="D10" s="194">
        <f>IF($C10="","",_xlfn.XLOOKUP($C10,StrategiesSolutions[S&amp;S ID],StrategiesSolutions[Products / Services],""))</f>
      </c>
      <c r="E10" s="61"/>
      <c r="F10" s="61"/>
      <c r="G10" s="195">
        <f>IF($C10="","",_xlfn.XLOOKUP($C10,StrategiesSolutions[S&amp;S ID],StrategiesSolutions[Dependency],""))</f>
      </c>
      <c r="H10" s="194">
        <f>IF($C10="","",_xlfn.XLOOKUP($C10,StrategiesSolutions[S&amp;S ID],StrategiesSolutions[Risk Assumption],""))</f>
      </c>
      <c r="I10" s="194">
        <f>IF($C10="","",_xlfn.XLOOKUP($C10,StrategiesSolutions[S&amp;S ID],StrategiesSolutions[Disruption Scenario],""))</f>
      </c>
      <c r="J10" s="194">
        <f>IF($C10="","",_xlfn.XLOOKUP($C10,StrategiesSolutions[S&amp;S ID],StrategiesSolutions[Strategy],""))</f>
      </c>
      <c r="K10" s="194">
        <f>IF($C10="","",_xlfn.LET(_xlpm.x,_xlfn.XLOOKUP($C10,StrategiesSolutions[S&amp;S ID],StrategiesSolutions[Strategy Details / Do nothing Justification],""),IF(_xlpm.x=0,"",_xlpm.x)))</f>
      </c>
      <c r="L10" s="62"/>
      <c r="M10" s="62"/>
      <c r="N10" s="330"/>
      <c r="O10" s="196">
        <f t="shared" si="1"/>
      </c>
      <c r="P10" s="197">
        <f ca="1">IF($C10="","",_xlfn.LET(_xlpm.ssStatus,_xlfn.XLOOKUP($C10,StrategiesSolutions[S&amp;S ID],StrategiesSolutions[Status],""),IF($L10="","Not Scheduled",IF($M10="",IF($L10&lt;TODAY(),"Overdue","Scheduled"),IF($N10="","Result Required",IF(OR($E10="",$F10="",$Q10=""),"Incomplete Exercise",IF($N10="Fail","Failed",IF(OR($N10="Pass with Findings",_xlpm.ssStatus&lt;&gt;"Completed"),"Pass with Findings","Passed"))))))))</f>
      </c>
      <c r="Q10">
        <f t="shared" si="2"/>
      </c>
    </row>
    <row r="11" spans="1:18" x14ac:dyDescent="0.35">
      <c r="A11" s="192">
        <v>7</v>
      </c>
      <c r="B11" s="193">
        <f t="shared" si="0"/>
      </c>
      <c r="C11" s="316"/>
      <c r="D11" s="194">
        <f>IF($C11="","",_xlfn.XLOOKUP($C11,StrategiesSolutions[S&amp;S ID],StrategiesSolutions[Products / Services],""))</f>
      </c>
      <c r="E11" s="61"/>
      <c r="F11" s="61"/>
      <c r="G11" s="195">
        <f>IF($C11="","",_xlfn.XLOOKUP($C11,StrategiesSolutions[S&amp;S ID],StrategiesSolutions[Dependency],""))</f>
      </c>
      <c r="H11" s="194">
        <f>IF($C11="","",_xlfn.XLOOKUP($C11,StrategiesSolutions[S&amp;S ID],StrategiesSolutions[Risk Assumption],""))</f>
      </c>
      <c r="I11" s="194">
        <f>IF($C11="","",_xlfn.XLOOKUP($C11,StrategiesSolutions[S&amp;S ID],StrategiesSolutions[Disruption Scenario],""))</f>
      </c>
      <c r="J11" s="194">
        <f>IF($C11="","",_xlfn.XLOOKUP($C11,StrategiesSolutions[S&amp;S ID],StrategiesSolutions[Strategy],""))</f>
      </c>
      <c r="K11" s="194">
        <f>IF($C11="","",_xlfn.LET(_xlpm.x,_xlfn.XLOOKUP($C11,StrategiesSolutions[S&amp;S ID],StrategiesSolutions[Strategy Details / Do nothing Justification],""),IF(_xlpm.x=0,"",_xlpm.x)))</f>
      </c>
      <c r="L11" s="62"/>
      <c r="M11" s="62"/>
      <c r="N11" s="330"/>
      <c r="O11" s="196">
        <f t="shared" si="1"/>
      </c>
      <c r="P11" s="197">
        <f ca="1">IF($C11="","",_xlfn.LET(_xlpm.ssStatus,_xlfn.XLOOKUP($C11,StrategiesSolutions[S&amp;S ID],StrategiesSolutions[Status],""),IF($L11="","Not Scheduled",IF($M11="",IF($L11&lt;TODAY(),"Overdue","Scheduled"),IF($N11="","Result Required",IF(OR($E11="",$F11="",$Q11=""),"Incomplete Exercise",IF($N11="Fail","Failed",IF(OR($N11="Pass with Findings",_xlpm.ssStatus&lt;&gt;"Completed"),"Pass with Findings","Passed"))))))))</f>
      </c>
      <c r="Q11">
        <f t="shared" si="2"/>
      </c>
    </row>
    <row r="12" spans="1:18" x14ac:dyDescent="0.35">
      <c r="A12" s="192">
        <v>8</v>
      </c>
      <c r="B12" s="193">
        <f t="shared" si="0"/>
      </c>
      <c r="C12" s="316"/>
      <c r="D12" s="194">
        <f>IF($C12="","",_xlfn.XLOOKUP($C12,StrategiesSolutions[S&amp;S ID],StrategiesSolutions[Products / Services],""))</f>
      </c>
      <c r="E12" s="61"/>
      <c r="F12" s="61"/>
      <c r="G12" s="195">
        <f>IF($C12="","",_xlfn.XLOOKUP($C12,StrategiesSolutions[S&amp;S ID],StrategiesSolutions[Dependency],""))</f>
      </c>
      <c r="H12" s="194">
        <f>IF($C12="","",_xlfn.XLOOKUP($C12,StrategiesSolutions[S&amp;S ID],StrategiesSolutions[Risk Assumption],""))</f>
      </c>
      <c r="I12" s="194">
        <f>IF($C12="","",_xlfn.XLOOKUP($C12,StrategiesSolutions[S&amp;S ID],StrategiesSolutions[Disruption Scenario],""))</f>
      </c>
      <c r="J12" s="194">
        <f>IF($C12="","",_xlfn.XLOOKUP($C12,StrategiesSolutions[S&amp;S ID],StrategiesSolutions[Strategy],""))</f>
      </c>
      <c r="K12" s="194">
        <f>IF($C12="","",_xlfn.LET(_xlpm.x,_xlfn.XLOOKUP($C12,StrategiesSolutions[S&amp;S ID],StrategiesSolutions[Strategy Details / Do nothing Justification],""),IF(_xlpm.x=0,"",_xlpm.x)))</f>
      </c>
      <c r="L12" s="62"/>
      <c r="M12" s="62"/>
      <c r="N12" s="330"/>
      <c r="O12" s="196">
        <f t="shared" si="1"/>
      </c>
      <c r="P12" s="197">
        <f ca="1">IF($C12="","",_xlfn.LET(_xlpm.ssStatus,_xlfn.XLOOKUP($C12,StrategiesSolutions[S&amp;S ID],StrategiesSolutions[Status],""),IF($L12="","Not Scheduled",IF($M12="",IF($L12&lt;TODAY(),"Overdue","Scheduled"),IF($N12="","Result Required",IF(OR($E12="",$F12="",$Q12=""),"Incomplete Exercise",IF($N12="Fail","Failed",IF(OR($N12="Pass with Findings",_xlpm.ssStatus&lt;&gt;"Completed"),"Pass with Findings","Passed"))))))))</f>
      </c>
      <c r="Q12">
        <f t="shared" si="2"/>
      </c>
    </row>
    <row r="13" spans="1:18" x14ac:dyDescent="0.35">
      <c r="A13" s="192">
        <v>9</v>
      </c>
      <c r="B13" s="193">
        <f t="shared" si="0"/>
      </c>
      <c r="C13" s="316"/>
      <c r="D13" s="194">
        <f>IF($C13="","",_xlfn.XLOOKUP($C13,StrategiesSolutions[S&amp;S ID],StrategiesSolutions[Products / Services],""))</f>
      </c>
      <c r="E13" s="61"/>
      <c r="F13" s="61"/>
      <c r="G13" s="195">
        <f>IF($C13="","",_xlfn.XLOOKUP($C13,StrategiesSolutions[S&amp;S ID],StrategiesSolutions[Dependency],""))</f>
      </c>
      <c r="H13" s="194">
        <f>IF($C13="","",_xlfn.XLOOKUP($C13,StrategiesSolutions[S&amp;S ID],StrategiesSolutions[Risk Assumption],""))</f>
      </c>
      <c r="I13" s="194">
        <f>IF($C13="","",_xlfn.XLOOKUP($C13,StrategiesSolutions[S&amp;S ID],StrategiesSolutions[Disruption Scenario],""))</f>
      </c>
      <c r="J13" s="194">
        <f>IF($C13="","",_xlfn.XLOOKUP($C13,StrategiesSolutions[S&amp;S ID],StrategiesSolutions[Strategy],""))</f>
      </c>
      <c r="K13" s="194">
        <f>IF($C13="","",_xlfn.LET(_xlpm.x,_xlfn.XLOOKUP($C13,StrategiesSolutions[S&amp;S ID],StrategiesSolutions[Strategy Details / Do nothing Justification],""),IF(_xlpm.x=0,"",_xlpm.x)))</f>
      </c>
      <c r="L13" s="62"/>
      <c r="M13" s="62"/>
      <c r="N13" s="330"/>
      <c r="O13" s="196">
        <f t="shared" si="1"/>
      </c>
      <c r="P13" s="197">
        <f ca="1">IF($C13="","",_xlfn.LET(_xlpm.ssStatus,_xlfn.XLOOKUP($C13,StrategiesSolutions[S&amp;S ID],StrategiesSolutions[Status],""),IF($L13="","Not Scheduled",IF($M13="",IF($L13&lt;TODAY(),"Overdue","Scheduled"),IF($N13="","Result Required",IF(OR($E13="",$F13="",$Q13=""),"Incomplete Exercise",IF($N13="Fail","Failed",IF(OR($N13="Pass with Findings",_xlpm.ssStatus&lt;&gt;"Completed"),"Pass with Findings","Passed"))))))))</f>
      </c>
      <c r="Q13">
        <f t="shared" si="2"/>
      </c>
    </row>
    <row r="14" spans="1:18" x14ac:dyDescent="0.35">
      <c r="A14" s="192">
        <v>10</v>
      </c>
      <c r="B14" s="193">
        <f t="shared" si="0"/>
      </c>
      <c r="C14" s="316"/>
      <c r="D14" s="194">
        <f>IF($C14="","",_xlfn.XLOOKUP($C14,StrategiesSolutions[S&amp;S ID],StrategiesSolutions[Products / Services],""))</f>
      </c>
      <c r="E14" s="61"/>
      <c r="F14" s="61"/>
      <c r="G14" s="195">
        <f>IF($C14="","",_xlfn.XLOOKUP($C14,StrategiesSolutions[S&amp;S ID],StrategiesSolutions[Dependency],""))</f>
      </c>
      <c r="H14" s="194">
        <f>IF($C14="","",_xlfn.XLOOKUP($C14,StrategiesSolutions[S&amp;S ID],StrategiesSolutions[Risk Assumption],""))</f>
      </c>
      <c r="I14" s="194">
        <f>IF($C14="","",_xlfn.XLOOKUP($C14,StrategiesSolutions[S&amp;S ID],StrategiesSolutions[Disruption Scenario],""))</f>
      </c>
      <c r="J14" s="194">
        <f>IF($C14="","",_xlfn.XLOOKUP($C14,StrategiesSolutions[S&amp;S ID],StrategiesSolutions[Strategy],""))</f>
      </c>
      <c r="K14" s="194">
        <f>IF($C14="","",_xlfn.LET(_xlpm.x,_xlfn.XLOOKUP($C14,StrategiesSolutions[S&amp;S ID],StrategiesSolutions[Strategy Details / Do nothing Justification],""),IF(_xlpm.x=0,"",_xlpm.x)))</f>
      </c>
      <c r="L14" s="62"/>
      <c r="M14" s="62"/>
      <c r="N14" s="330"/>
      <c r="O14" s="196">
        <f t="shared" si="1"/>
      </c>
      <c r="P14" s="197">
        <f ca="1">IF($C14="","",_xlfn.LET(_xlpm.ssStatus,_xlfn.XLOOKUP($C14,StrategiesSolutions[S&amp;S ID],StrategiesSolutions[Status],""),IF($L14="","Not Scheduled",IF($M14="",IF($L14&lt;TODAY(),"Overdue","Scheduled"),IF($N14="","Result Required",IF(OR($E14="",$F14="",$Q14=""),"Incomplete Exercise",IF($N14="Fail","Failed",IF(OR($N14="Pass with Findings",_xlpm.ssStatus&lt;&gt;"Completed"),"Pass with Findings","Passed"))))))))</f>
      </c>
      <c r="Q14">
        <f t="shared" si="2"/>
      </c>
    </row>
    <row r="15" spans="1:18" x14ac:dyDescent="0.35">
      <c r="A15" s="192">
        <v>11</v>
      </c>
      <c r="B15" s="193">
        <f t="shared" si="0"/>
      </c>
      <c r="C15" s="316"/>
      <c r="D15" s="194">
        <f>IF($C15="","",_xlfn.XLOOKUP($C15,StrategiesSolutions[S&amp;S ID],StrategiesSolutions[Products / Services],""))</f>
      </c>
      <c r="E15" s="61"/>
      <c r="F15" s="61"/>
      <c r="G15" s="195">
        <f>IF($C15="","",_xlfn.XLOOKUP($C15,StrategiesSolutions[S&amp;S ID],StrategiesSolutions[Dependency],""))</f>
      </c>
      <c r="H15" s="194">
        <f>IF($C15="","",_xlfn.XLOOKUP($C15,StrategiesSolutions[S&amp;S ID],StrategiesSolutions[Risk Assumption],""))</f>
      </c>
      <c r="I15" s="194">
        <f>IF($C15="","",_xlfn.XLOOKUP($C15,StrategiesSolutions[S&amp;S ID],StrategiesSolutions[Disruption Scenario],""))</f>
      </c>
      <c r="J15" s="194">
        <f>IF($C15="","",_xlfn.XLOOKUP($C15,StrategiesSolutions[S&amp;S ID],StrategiesSolutions[Strategy],""))</f>
      </c>
      <c r="K15" s="194">
        <f>IF($C15="","",_xlfn.LET(_xlpm.x,_xlfn.XLOOKUP($C15,StrategiesSolutions[S&amp;S ID],StrategiesSolutions[Strategy Details / Do nothing Justification],""),IF(_xlpm.x=0,"",_xlpm.x)))</f>
      </c>
      <c r="L15" s="62"/>
      <c r="M15" s="62"/>
      <c r="N15" s="330"/>
      <c r="O15" s="196">
        <f t="shared" si="1"/>
      </c>
      <c r="P15" s="197">
        <f ca="1">IF($C15="","",_xlfn.LET(_xlpm.ssStatus,_xlfn.XLOOKUP($C15,StrategiesSolutions[S&amp;S ID],StrategiesSolutions[Status],""),IF($L15="","Not Scheduled",IF($M15="",IF($L15&lt;TODAY(),"Overdue","Scheduled"),IF($N15="","Result Required",IF(OR($E15="",$F15="",$Q15=""),"Incomplete Exercise",IF($N15="Fail","Failed",IF(OR($N15="Pass with Findings",_xlpm.ssStatus&lt;&gt;"Completed"),"Pass with Findings","Passed"))))))))</f>
      </c>
      <c r="Q15">
        <f t="shared" si="2"/>
      </c>
    </row>
    <row r="16" spans="1:18" x14ac:dyDescent="0.35">
      <c r="A16" s="192">
        <v>12</v>
      </c>
      <c r="B16" s="193">
        <f t="shared" si="0"/>
      </c>
      <c r="C16" s="316"/>
      <c r="D16" s="194">
        <f>IF($C16="","",_xlfn.XLOOKUP($C16,StrategiesSolutions[S&amp;S ID],StrategiesSolutions[Products / Services],""))</f>
      </c>
      <c r="E16" s="61"/>
      <c r="F16" s="61"/>
      <c r="G16" s="195">
        <f>IF($C16="","",_xlfn.XLOOKUP($C16,StrategiesSolutions[S&amp;S ID],StrategiesSolutions[Dependency],""))</f>
      </c>
      <c r="H16" s="194">
        <f>IF($C16="","",_xlfn.XLOOKUP($C16,StrategiesSolutions[S&amp;S ID],StrategiesSolutions[Risk Assumption],""))</f>
      </c>
      <c r="I16" s="194">
        <f>IF($C16="","",_xlfn.XLOOKUP($C16,StrategiesSolutions[S&amp;S ID],StrategiesSolutions[Disruption Scenario],""))</f>
      </c>
      <c r="J16" s="194">
        <f>IF($C16="","",_xlfn.XLOOKUP($C16,StrategiesSolutions[S&amp;S ID],StrategiesSolutions[Strategy],""))</f>
      </c>
      <c r="K16" s="194">
        <f>IF($C16="","",_xlfn.LET(_xlpm.x,_xlfn.XLOOKUP($C16,StrategiesSolutions[S&amp;S ID],StrategiesSolutions[Strategy Details / Do nothing Justification],""),IF(_xlpm.x=0,"",_xlpm.x)))</f>
      </c>
      <c r="L16" s="62"/>
      <c r="M16" s="62"/>
      <c r="N16" s="330"/>
      <c r="O16" s="196">
        <f t="shared" si="1"/>
      </c>
      <c r="P16" s="197">
        <f ca="1">IF($C16="","",_xlfn.LET(_xlpm.ssStatus,_xlfn.XLOOKUP($C16,StrategiesSolutions[S&amp;S ID],StrategiesSolutions[Status],""),IF($L16="","Not Scheduled",IF($M16="",IF($L16&lt;TODAY(),"Overdue","Scheduled"),IF($N16="","Result Required",IF(OR($E16="",$F16="",$Q16=""),"Incomplete Exercise",IF($N16="Fail","Failed",IF(OR($N16="Pass with Findings",_xlpm.ssStatus&lt;&gt;"Completed"),"Pass with Findings","Passed"))))))))</f>
      </c>
      <c r="Q16">
        <f t="shared" si="2"/>
      </c>
    </row>
    <row r="17" spans="1:17" x14ac:dyDescent="0.35">
      <c r="A17" s="192">
        <v>13</v>
      </c>
      <c r="B17" s="193">
        <f t="shared" si="0"/>
      </c>
      <c r="C17" s="316"/>
      <c r="D17" s="194">
        <f>IF($C17="","",_xlfn.XLOOKUP($C17,StrategiesSolutions[S&amp;S ID],StrategiesSolutions[Products / Services],""))</f>
      </c>
      <c r="E17" s="61"/>
      <c r="F17" s="61"/>
      <c r="G17" s="195">
        <f>IF($C17="","",_xlfn.XLOOKUP($C17,StrategiesSolutions[S&amp;S ID],StrategiesSolutions[Dependency],""))</f>
      </c>
      <c r="H17" s="194">
        <f>IF($C17="","",_xlfn.XLOOKUP($C17,StrategiesSolutions[S&amp;S ID],StrategiesSolutions[Risk Assumption],""))</f>
      </c>
      <c r="I17" s="194">
        <f>IF($C17="","",_xlfn.XLOOKUP($C17,StrategiesSolutions[S&amp;S ID],StrategiesSolutions[Disruption Scenario],""))</f>
      </c>
      <c r="J17" s="194">
        <f>IF($C17="","",_xlfn.XLOOKUP($C17,StrategiesSolutions[S&amp;S ID],StrategiesSolutions[Strategy],""))</f>
      </c>
      <c r="K17" s="194">
        <f>IF($C17="","",_xlfn.LET(_xlpm.x,_xlfn.XLOOKUP($C17,StrategiesSolutions[S&amp;S ID],StrategiesSolutions[Strategy Details / Do nothing Justification],""),IF(_xlpm.x=0,"",_xlpm.x)))</f>
      </c>
      <c r="L17" s="62"/>
      <c r="M17" s="62"/>
      <c r="N17" s="330"/>
      <c r="O17" s="196">
        <f t="shared" si="1"/>
      </c>
      <c r="P17" s="197">
        <f ca="1">IF($C17="","",_xlfn.LET(_xlpm.ssStatus,_xlfn.XLOOKUP($C17,StrategiesSolutions[S&amp;S ID],StrategiesSolutions[Status],""),IF($L17="","Not Scheduled",IF($M17="",IF($L17&lt;TODAY(),"Overdue","Scheduled"),IF($N17="","Result Required",IF(OR($E17="",$F17="",$Q17=""),"Incomplete Exercise",IF($N17="Fail","Failed",IF(OR($N17="Pass with Findings",_xlpm.ssStatus&lt;&gt;"Completed"),"Pass with Findings","Passed"))))))))</f>
      </c>
      <c r="Q17">
        <f t="shared" si="2"/>
      </c>
    </row>
    <row r="18" spans="1:17" x14ac:dyDescent="0.35">
      <c r="A18" s="192">
        <v>14</v>
      </c>
      <c r="B18" s="193">
        <f t="shared" si="0"/>
      </c>
      <c r="C18" s="316"/>
      <c r="D18" s="194">
        <f>IF($C18="","",_xlfn.XLOOKUP($C18,StrategiesSolutions[S&amp;S ID],StrategiesSolutions[Products / Services],""))</f>
      </c>
      <c r="E18" s="61"/>
      <c r="F18" s="61"/>
      <c r="G18" s="195">
        <f>IF($C18="","",_xlfn.XLOOKUP($C18,StrategiesSolutions[S&amp;S ID],StrategiesSolutions[Dependency],""))</f>
      </c>
      <c r="H18" s="194">
        <f>IF($C18="","",_xlfn.XLOOKUP($C18,StrategiesSolutions[S&amp;S ID],StrategiesSolutions[Risk Assumption],""))</f>
      </c>
      <c r="I18" s="194">
        <f>IF($C18="","",_xlfn.XLOOKUP($C18,StrategiesSolutions[S&amp;S ID],StrategiesSolutions[Disruption Scenario],""))</f>
      </c>
      <c r="J18" s="194">
        <f>IF($C18="","",_xlfn.XLOOKUP($C18,StrategiesSolutions[S&amp;S ID],StrategiesSolutions[Strategy],""))</f>
      </c>
      <c r="K18" s="194">
        <f>IF($C18="","",_xlfn.LET(_xlpm.x,_xlfn.XLOOKUP($C18,StrategiesSolutions[S&amp;S ID],StrategiesSolutions[Strategy Details / Do nothing Justification],""),IF(_xlpm.x=0,"",_xlpm.x)))</f>
      </c>
      <c r="L18" s="62"/>
      <c r="M18" s="62"/>
      <c r="N18" s="330"/>
      <c r="O18" s="196">
        <f t="shared" si="1"/>
      </c>
      <c r="P18" s="197">
        <f ca="1">IF($C18="","",_xlfn.LET(_xlpm.ssStatus,_xlfn.XLOOKUP($C18,StrategiesSolutions[S&amp;S ID],StrategiesSolutions[Status],""),IF($L18="","Not Scheduled",IF($M18="",IF($L18&lt;TODAY(),"Overdue","Scheduled"),IF($N18="","Result Required",IF(OR($E18="",$F18="",$Q18=""),"Incomplete Exercise",IF($N18="Fail","Failed",IF(OR($N18="Pass with Findings",_xlpm.ssStatus&lt;&gt;"Completed"),"Pass with Findings","Passed"))))))))</f>
      </c>
      <c r="Q18">
        <f t="shared" si="2"/>
      </c>
    </row>
    <row r="19" spans="1:17" x14ac:dyDescent="0.35">
      <c r="A19" s="192">
        <v>15</v>
      </c>
      <c r="B19" s="193">
        <f t="shared" si="0"/>
      </c>
      <c r="C19" s="316"/>
      <c r="D19" s="194">
        <f>IF($C19="","",_xlfn.XLOOKUP($C19,StrategiesSolutions[S&amp;S ID],StrategiesSolutions[Products / Services],""))</f>
      </c>
      <c r="E19" s="61"/>
      <c r="F19" s="61"/>
      <c r="G19" s="195">
        <f>IF($C19="","",_xlfn.XLOOKUP($C19,StrategiesSolutions[S&amp;S ID],StrategiesSolutions[Dependency],""))</f>
      </c>
      <c r="H19" s="194">
        <f>IF($C19="","",_xlfn.XLOOKUP($C19,StrategiesSolutions[S&amp;S ID],StrategiesSolutions[Risk Assumption],""))</f>
      </c>
      <c r="I19" s="194">
        <f>IF($C19="","",_xlfn.XLOOKUP($C19,StrategiesSolutions[S&amp;S ID],StrategiesSolutions[Disruption Scenario],""))</f>
      </c>
      <c r="J19" s="194">
        <f>IF($C19="","",_xlfn.XLOOKUP($C19,StrategiesSolutions[S&amp;S ID],StrategiesSolutions[Strategy],""))</f>
      </c>
      <c r="K19" s="194">
        <f>IF($C19="","",_xlfn.LET(_xlpm.x,_xlfn.XLOOKUP($C19,StrategiesSolutions[S&amp;S ID],StrategiesSolutions[Strategy Details / Do nothing Justification],""),IF(_xlpm.x=0,"",_xlpm.x)))</f>
      </c>
      <c r="L19" s="62"/>
      <c r="M19" s="62"/>
      <c r="N19" s="330"/>
      <c r="O19" s="196">
        <f t="shared" si="1"/>
      </c>
      <c r="P19" s="197">
        <f ca="1">IF($C19="","",_xlfn.LET(_xlpm.ssStatus,_xlfn.XLOOKUP($C19,StrategiesSolutions[S&amp;S ID],StrategiesSolutions[Status],""),IF($L19="","Not Scheduled",IF($M19="",IF($L19&lt;TODAY(),"Overdue","Scheduled"),IF($N19="","Result Required",IF(OR($E19="",$F19="",$Q19=""),"Incomplete Exercise",IF($N19="Fail","Failed",IF(OR($N19="Pass with Findings",_xlpm.ssStatus&lt;&gt;"Completed"),"Pass with Findings","Passed"))))))))</f>
      </c>
      <c r="Q19">
        <f t="shared" si="2"/>
      </c>
    </row>
    <row r="20" spans="1:17" x14ac:dyDescent="0.35">
      <c r="A20" s="192">
        <v>16</v>
      </c>
      <c r="B20" s="193">
        <f t="shared" si="0"/>
      </c>
      <c r="C20" s="316"/>
      <c r="D20" s="194">
        <f>IF($C20="","",_xlfn.XLOOKUP($C20,StrategiesSolutions[S&amp;S ID],StrategiesSolutions[Products / Services],""))</f>
      </c>
      <c r="E20" s="61"/>
      <c r="F20" s="61"/>
      <c r="G20" s="195">
        <f>IF($C20="","",_xlfn.XLOOKUP($C20,StrategiesSolutions[S&amp;S ID],StrategiesSolutions[Dependency],""))</f>
      </c>
      <c r="H20" s="194">
        <f>IF($C20="","",_xlfn.XLOOKUP($C20,StrategiesSolutions[S&amp;S ID],StrategiesSolutions[Risk Assumption],""))</f>
      </c>
      <c r="I20" s="194">
        <f>IF($C20="","",_xlfn.XLOOKUP($C20,StrategiesSolutions[S&amp;S ID],StrategiesSolutions[Disruption Scenario],""))</f>
      </c>
      <c r="J20" s="194">
        <f>IF($C20="","",_xlfn.XLOOKUP($C20,StrategiesSolutions[S&amp;S ID],StrategiesSolutions[Strategy],""))</f>
      </c>
      <c r="K20" s="194">
        <f>IF($C20="","",_xlfn.LET(_xlpm.x,_xlfn.XLOOKUP($C20,StrategiesSolutions[S&amp;S ID],StrategiesSolutions[Strategy Details / Do nothing Justification],""),IF(_xlpm.x=0,"",_xlpm.x)))</f>
      </c>
      <c r="L20" s="62"/>
      <c r="M20" s="62"/>
      <c r="N20" s="330"/>
      <c r="O20" s="196">
        <f t="shared" si="1"/>
      </c>
      <c r="P20" s="197">
        <f ca="1">IF($C20="","",_xlfn.LET(_xlpm.ssStatus,_xlfn.XLOOKUP($C20,StrategiesSolutions[S&amp;S ID],StrategiesSolutions[Status],""),IF($L20="","Not Scheduled",IF($M20="",IF($L20&lt;TODAY(),"Overdue","Scheduled"),IF($N20="","Result Required",IF(OR($E20="",$F20="",$Q20=""),"Incomplete Exercise",IF($N20="Fail","Failed",IF(OR($N20="Pass with Findings",_xlpm.ssStatus&lt;&gt;"Completed"),"Pass with Findings","Passed"))))))))</f>
      </c>
      <c r="Q20">
        <f t="shared" si="2"/>
      </c>
    </row>
    <row r="21" spans="1:17" x14ac:dyDescent="0.35">
      <c r="A21" s="192">
        <v>17</v>
      </c>
      <c r="B21" s="193">
        <f t="shared" si="0"/>
      </c>
      <c r="C21" s="316"/>
      <c r="D21" s="194">
        <f>IF($C21="","",_xlfn.XLOOKUP($C21,StrategiesSolutions[S&amp;S ID],StrategiesSolutions[Products / Services],""))</f>
      </c>
      <c r="E21" s="61"/>
      <c r="F21" s="61"/>
      <c r="G21" s="195">
        <f>IF($C21="","",_xlfn.XLOOKUP($C21,StrategiesSolutions[S&amp;S ID],StrategiesSolutions[Dependency],""))</f>
      </c>
      <c r="H21" s="194">
        <f>IF($C21="","",_xlfn.XLOOKUP($C21,StrategiesSolutions[S&amp;S ID],StrategiesSolutions[Risk Assumption],""))</f>
      </c>
      <c r="I21" s="194">
        <f>IF($C21="","",_xlfn.XLOOKUP($C21,StrategiesSolutions[S&amp;S ID],StrategiesSolutions[Disruption Scenario],""))</f>
      </c>
      <c r="J21" s="194">
        <f>IF($C21="","",_xlfn.XLOOKUP($C21,StrategiesSolutions[S&amp;S ID],StrategiesSolutions[Strategy],""))</f>
      </c>
      <c r="K21" s="194">
        <f>IF($C21="","",_xlfn.LET(_xlpm.x,_xlfn.XLOOKUP($C21,StrategiesSolutions[S&amp;S ID],StrategiesSolutions[Strategy Details / Do nothing Justification],""),IF(_xlpm.x=0,"",_xlpm.x)))</f>
      </c>
      <c r="L21" s="62"/>
      <c r="M21" s="62"/>
      <c r="N21" s="330"/>
      <c r="O21" s="196">
        <f t="shared" si="1"/>
      </c>
      <c r="P21" s="197">
        <f ca="1">IF($C21="","",_xlfn.LET(_xlpm.ssStatus,_xlfn.XLOOKUP($C21,StrategiesSolutions[S&amp;S ID],StrategiesSolutions[Status],""),IF($L21="","Not Scheduled",IF($M21="",IF($L21&lt;TODAY(),"Overdue","Scheduled"),IF($N21="","Result Required",IF(OR($E21="",$F21="",$Q21=""),"Incomplete Exercise",IF($N21="Fail","Failed",IF(OR($N21="Pass with Findings",_xlpm.ssStatus&lt;&gt;"Completed"),"Pass with Findings","Passed"))))))))</f>
      </c>
      <c r="Q21">
        <f t="shared" si="2"/>
      </c>
    </row>
    <row r="22" spans="1:17" x14ac:dyDescent="0.35">
      <c r="A22" s="192">
        <v>18</v>
      </c>
      <c r="B22" s="193">
        <f t="shared" si="0"/>
      </c>
      <c r="C22" s="316"/>
      <c r="D22" s="194">
        <f>IF($C22="","",_xlfn.XLOOKUP($C22,StrategiesSolutions[S&amp;S ID],StrategiesSolutions[Products / Services],""))</f>
      </c>
      <c r="E22" s="61"/>
      <c r="F22" s="61"/>
      <c r="G22" s="195">
        <f>IF($C22="","",_xlfn.XLOOKUP($C22,StrategiesSolutions[S&amp;S ID],StrategiesSolutions[Dependency],""))</f>
      </c>
      <c r="H22" s="194">
        <f>IF($C22="","",_xlfn.XLOOKUP($C22,StrategiesSolutions[S&amp;S ID],StrategiesSolutions[Risk Assumption],""))</f>
      </c>
      <c r="I22" s="194">
        <f>IF($C22="","",_xlfn.XLOOKUP($C22,StrategiesSolutions[S&amp;S ID],StrategiesSolutions[Disruption Scenario],""))</f>
      </c>
      <c r="J22" s="194">
        <f>IF($C22="","",_xlfn.XLOOKUP($C22,StrategiesSolutions[S&amp;S ID],StrategiesSolutions[Strategy],""))</f>
      </c>
      <c r="K22" s="194">
        <f>IF($C22="","",_xlfn.LET(_xlpm.x,_xlfn.XLOOKUP($C22,StrategiesSolutions[S&amp;S ID],StrategiesSolutions[Strategy Details / Do nothing Justification],""),IF(_xlpm.x=0,"",_xlpm.x)))</f>
      </c>
      <c r="L22" s="62"/>
      <c r="M22" s="62"/>
      <c r="N22" s="330"/>
      <c r="O22" s="196">
        <f t="shared" si="1"/>
      </c>
      <c r="P22" s="197">
        <f ca="1">IF($C22="","",_xlfn.LET(_xlpm.ssStatus,_xlfn.XLOOKUP($C22,StrategiesSolutions[S&amp;S ID],StrategiesSolutions[Status],""),IF($L22="","Not Scheduled",IF($M22="",IF($L22&lt;TODAY(),"Overdue","Scheduled"),IF($N22="","Result Required",IF(OR($E22="",$F22="",$Q22=""),"Incomplete Exercise",IF($N22="Fail","Failed",IF(OR($N22="Pass with Findings",_xlpm.ssStatus&lt;&gt;"Completed"),"Pass with Findings","Passed"))))))))</f>
      </c>
      <c r="Q22">
        <f t="shared" si="2"/>
      </c>
    </row>
    <row r="23" spans="1:17" x14ac:dyDescent="0.35">
      <c r="A23" s="192">
        <v>19</v>
      </c>
      <c r="B23" s="193">
        <f t="shared" si="0"/>
      </c>
      <c r="C23" s="316"/>
      <c r="D23" s="194">
        <f>IF($C23="","",_xlfn.XLOOKUP($C23,StrategiesSolutions[S&amp;S ID],StrategiesSolutions[Products / Services],""))</f>
      </c>
      <c r="E23" s="61"/>
      <c r="F23" s="61"/>
      <c r="G23" s="195">
        <f>IF($C23="","",_xlfn.XLOOKUP($C23,StrategiesSolutions[S&amp;S ID],StrategiesSolutions[Dependency],""))</f>
      </c>
      <c r="H23" s="194">
        <f>IF($C23="","",_xlfn.XLOOKUP($C23,StrategiesSolutions[S&amp;S ID],StrategiesSolutions[Risk Assumption],""))</f>
      </c>
      <c r="I23" s="194">
        <f>IF($C23="","",_xlfn.XLOOKUP($C23,StrategiesSolutions[S&amp;S ID],StrategiesSolutions[Disruption Scenario],""))</f>
      </c>
      <c r="J23" s="194">
        <f>IF($C23="","",_xlfn.XLOOKUP($C23,StrategiesSolutions[S&amp;S ID],StrategiesSolutions[Strategy],""))</f>
      </c>
      <c r="K23" s="194">
        <f>IF($C23="","",_xlfn.LET(_xlpm.x,_xlfn.XLOOKUP($C23,StrategiesSolutions[S&amp;S ID],StrategiesSolutions[Strategy Details / Do nothing Justification],""),IF(_xlpm.x=0,"",_xlpm.x)))</f>
      </c>
      <c r="L23" s="62"/>
      <c r="M23" s="62"/>
      <c r="N23" s="330"/>
      <c r="O23" s="196">
        <f t="shared" si="1"/>
      </c>
      <c r="P23" s="197">
        <f ca="1">IF($C23="","",_xlfn.LET(_xlpm.ssStatus,_xlfn.XLOOKUP($C23,StrategiesSolutions[S&amp;S ID],StrategiesSolutions[Status],""),IF($L23="","Not Scheduled",IF($M23="",IF($L23&lt;TODAY(),"Overdue","Scheduled"),IF($N23="","Result Required",IF(OR($E23="",$F23="",$Q23=""),"Incomplete Exercise",IF($N23="Fail","Failed",IF(OR($N23="Pass with Findings",_xlpm.ssStatus&lt;&gt;"Completed"),"Pass with Findings","Passed"))))))))</f>
      </c>
      <c r="Q23">
        <f t="shared" si="2"/>
      </c>
    </row>
    <row r="24" spans="1:17" x14ac:dyDescent="0.35">
      <c r="A24" s="192">
        <v>20</v>
      </c>
      <c r="B24" s="193">
        <f t="shared" si="0"/>
      </c>
      <c r="C24" s="316"/>
      <c r="D24" s="194">
        <f>IF($C24="","",_xlfn.XLOOKUP($C24,StrategiesSolutions[S&amp;S ID],StrategiesSolutions[Products / Services],""))</f>
      </c>
      <c r="E24" s="61"/>
      <c r="F24" s="61"/>
      <c r="G24" s="195">
        <f>IF($C24="","",_xlfn.XLOOKUP($C24,StrategiesSolutions[S&amp;S ID],StrategiesSolutions[Dependency],""))</f>
      </c>
      <c r="H24" s="194">
        <f>IF($C24="","",_xlfn.XLOOKUP($C24,StrategiesSolutions[S&amp;S ID],StrategiesSolutions[Risk Assumption],""))</f>
      </c>
      <c r="I24" s="194">
        <f>IF($C24="","",_xlfn.XLOOKUP($C24,StrategiesSolutions[S&amp;S ID],StrategiesSolutions[Disruption Scenario],""))</f>
      </c>
      <c r="J24" s="194">
        <f>IF($C24="","",_xlfn.XLOOKUP($C24,StrategiesSolutions[S&amp;S ID],StrategiesSolutions[Strategy],""))</f>
      </c>
      <c r="K24" s="194">
        <f>IF($C24="","",_xlfn.LET(_xlpm.x,_xlfn.XLOOKUP($C24,StrategiesSolutions[S&amp;S ID],StrategiesSolutions[Strategy Details / Do nothing Justification],""),IF(_xlpm.x=0,"",_xlpm.x)))</f>
      </c>
      <c r="L24" s="62"/>
      <c r="M24" s="62"/>
      <c r="N24" s="330"/>
      <c r="O24" s="196">
        <f t="shared" si="1"/>
      </c>
      <c r="P24" s="197">
        <f ca="1">IF($C24="","",_xlfn.LET(_xlpm.ssStatus,_xlfn.XLOOKUP($C24,StrategiesSolutions[S&amp;S ID],StrategiesSolutions[Status],""),IF($L24="","Not Scheduled",IF($M24="",IF($L24&lt;TODAY(),"Overdue","Scheduled"),IF($N24="","Result Required",IF(OR($E24="",$F24="",$Q24=""),"Incomplete Exercise",IF($N24="Fail","Failed",IF(OR($N24="Pass with Findings",_xlpm.ssStatus&lt;&gt;"Completed"),"Pass with Findings","Passed"))))))))</f>
      </c>
      <c r="Q24">
        <f t="shared" si="2"/>
      </c>
    </row>
    <row r="25" spans="1:17" x14ac:dyDescent="0.35">
      <c r="A25" s="192">
        <v>21</v>
      </c>
      <c r="B25" s="193">
        <f t="shared" si="0"/>
      </c>
      <c r="C25" s="316"/>
      <c r="D25" s="194">
        <f>IF($C25="","",_xlfn.XLOOKUP($C25,StrategiesSolutions[S&amp;S ID],StrategiesSolutions[Products / Services],""))</f>
      </c>
      <c r="E25" s="61"/>
      <c r="F25" s="61"/>
      <c r="G25" s="195">
        <f>IF($C25="","",_xlfn.XLOOKUP($C25,StrategiesSolutions[S&amp;S ID],StrategiesSolutions[Dependency],""))</f>
      </c>
      <c r="H25" s="194">
        <f>IF($C25="","",_xlfn.XLOOKUP($C25,StrategiesSolutions[S&amp;S ID],StrategiesSolutions[Risk Assumption],""))</f>
      </c>
      <c r="I25" s="194">
        <f>IF($C25="","",_xlfn.XLOOKUP($C25,StrategiesSolutions[S&amp;S ID],StrategiesSolutions[Disruption Scenario],""))</f>
      </c>
      <c r="J25" s="194">
        <f>IF($C25="","",_xlfn.XLOOKUP($C25,StrategiesSolutions[S&amp;S ID],StrategiesSolutions[Strategy],""))</f>
      </c>
      <c r="K25" s="194">
        <f>IF($C25="","",_xlfn.LET(_xlpm.x,_xlfn.XLOOKUP($C25,StrategiesSolutions[S&amp;S ID],StrategiesSolutions[Strategy Details / Do nothing Justification],""),IF(_xlpm.x=0,"",_xlpm.x)))</f>
      </c>
      <c r="L25" s="62"/>
      <c r="M25" s="62"/>
      <c r="N25" s="330"/>
      <c r="O25" s="196">
        <f t="shared" si="1"/>
      </c>
      <c r="P25" s="197">
        <f ca="1">IF($C25="","",_xlfn.LET(_xlpm.ssStatus,_xlfn.XLOOKUP($C25,StrategiesSolutions[S&amp;S ID],StrategiesSolutions[Status],""),IF($L25="","Not Scheduled",IF($M25="",IF($L25&lt;TODAY(),"Overdue","Scheduled"),IF($N25="","Result Required",IF(OR($E25="",$F25="",$Q25=""),"Incomplete Exercise",IF($N25="Fail","Failed",IF(OR($N25="Pass with Findings",_xlpm.ssStatus&lt;&gt;"Completed"),"Pass with Findings","Passed"))))))))</f>
      </c>
      <c r="Q25">
        <f t="shared" si="2"/>
      </c>
    </row>
    <row r="26" spans="1:17" x14ac:dyDescent="0.35">
      <c r="A26" s="192">
        <v>22</v>
      </c>
      <c r="B26" s="193">
        <f t="shared" si="0"/>
      </c>
      <c r="C26" s="316"/>
      <c r="D26" s="194">
        <f>IF($C26="","",_xlfn.XLOOKUP($C26,StrategiesSolutions[S&amp;S ID],StrategiesSolutions[Products / Services],""))</f>
      </c>
      <c r="E26" s="61"/>
      <c r="F26" s="61"/>
      <c r="G26" s="195">
        <f>IF($C26="","",_xlfn.XLOOKUP($C26,StrategiesSolutions[S&amp;S ID],StrategiesSolutions[Dependency],""))</f>
      </c>
      <c r="H26" s="194">
        <f>IF($C26="","",_xlfn.XLOOKUP($C26,StrategiesSolutions[S&amp;S ID],StrategiesSolutions[Risk Assumption],""))</f>
      </c>
      <c r="I26" s="194">
        <f>IF($C26="","",_xlfn.XLOOKUP($C26,StrategiesSolutions[S&amp;S ID],StrategiesSolutions[Disruption Scenario],""))</f>
      </c>
      <c r="J26" s="194">
        <f>IF($C26="","",_xlfn.XLOOKUP($C26,StrategiesSolutions[S&amp;S ID],StrategiesSolutions[Strategy],""))</f>
      </c>
      <c r="K26" s="194">
        <f>IF($C26="","",_xlfn.LET(_xlpm.x,_xlfn.XLOOKUP($C26,StrategiesSolutions[S&amp;S ID],StrategiesSolutions[Strategy Details / Do nothing Justification],""),IF(_xlpm.x=0,"",_xlpm.x)))</f>
      </c>
      <c r="L26" s="62"/>
      <c r="M26" s="62"/>
      <c r="N26" s="330"/>
      <c r="O26" s="196">
        <f t="shared" si="1"/>
      </c>
      <c r="P26" s="197">
        <f ca="1">IF($C26="","",_xlfn.LET(_xlpm.ssStatus,_xlfn.XLOOKUP($C26,StrategiesSolutions[S&amp;S ID],StrategiesSolutions[Status],""),IF($L26="","Not Scheduled",IF($M26="",IF($L26&lt;TODAY(),"Overdue","Scheduled"),IF($N26="","Result Required",IF(OR($E26="",$F26="",$Q26=""),"Incomplete Exercise",IF($N26="Fail","Failed",IF(OR($N26="Pass with Findings",_xlpm.ssStatus&lt;&gt;"Completed"),"Pass with Findings","Passed"))))))))</f>
      </c>
      <c r="Q26">
        <f t="shared" si="2"/>
      </c>
    </row>
    <row r="27" spans="1:17" x14ac:dyDescent="0.35">
      <c r="A27" s="192">
        <v>23</v>
      </c>
      <c r="B27" s="193">
        <f t="shared" si="0"/>
      </c>
      <c r="C27" s="316"/>
      <c r="D27" s="194">
        <f>IF($C27="","",_xlfn.XLOOKUP($C27,StrategiesSolutions[S&amp;S ID],StrategiesSolutions[Products / Services],""))</f>
      </c>
      <c r="E27" s="61"/>
      <c r="F27" s="61"/>
      <c r="G27" s="195">
        <f>IF($C27="","",_xlfn.XLOOKUP($C27,StrategiesSolutions[S&amp;S ID],StrategiesSolutions[Dependency],""))</f>
      </c>
      <c r="H27" s="194">
        <f>IF($C27="","",_xlfn.XLOOKUP($C27,StrategiesSolutions[S&amp;S ID],StrategiesSolutions[Risk Assumption],""))</f>
      </c>
      <c r="I27" s="194">
        <f>IF($C27="","",_xlfn.XLOOKUP($C27,StrategiesSolutions[S&amp;S ID],StrategiesSolutions[Disruption Scenario],""))</f>
      </c>
      <c r="J27" s="194">
        <f>IF($C27="","",_xlfn.XLOOKUP($C27,StrategiesSolutions[S&amp;S ID],StrategiesSolutions[Strategy],""))</f>
      </c>
      <c r="K27" s="194">
        <f>IF($C27="","",_xlfn.LET(_xlpm.x,_xlfn.XLOOKUP($C27,StrategiesSolutions[S&amp;S ID],StrategiesSolutions[Strategy Details / Do nothing Justification],""),IF(_xlpm.x=0,"",_xlpm.x)))</f>
      </c>
      <c r="L27" s="62"/>
      <c r="M27" s="62"/>
      <c r="N27" s="330"/>
      <c r="O27" s="196">
        <f t="shared" si="1"/>
      </c>
      <c r="P27" s="197">
        <f ca="1">IF($C27="","",_xlfn.LET(_xlpm.ssStatus,_xlfn.XLOOKUP($C27,StrategiesSolutions[S&amp;S ID],StrategiesSolutions[Status],""),IF($L27="","Not Scheduled",IF($M27="",IF($L27&lt;TODAY(),"Overdue","Scheduled"),IF($N27="","Result Required",IF(OR($E27="",$F27="",$Q27=""),"Incomplete Exercise",IF($N27="Fail","Failed",IF(OR($N27="Pass with Findings",_xlpm.ssStatus&lt;&gt;"Completed"),"Pass with Findings","Passed"))))))))</f>
      </c>
      <c r="Q27">
        <f t="shared" si="2"/>
      </c>
    </row>
    <row r="28" spans="1:17" x14ac:dyDescent="0.35">
      <c r="A28" s="192">
        <v>24</v>
      </c>
      <c r="B28" s="193">
        <f t="shared" si="0"/>
      </c>
      <c r="C28" s="316"/>
      <c r="D28" s="194">
        <f>IF($C28="","",_xlfn.XLOOKUP($C28,StrategiesSolutions[S&amp;S ID],StrategiesSolutions[Products / Services],""))</f>
      </c>
      <c r="E28" s="61"/>
      <c r="F28" s="61"/>
      <c r="G28" s="195">
        <f>IF($C28="","",_xlfn.XLOOKUP($C28,StrategiesSolutions[S&amp;S ID],StrategiesSolutions[Dependency],""))</f>
      </c>
      <c r="H28" s="194">
        <f>IF($C28="","",_xlfn.XLOOKUP($C28,StrategiesSolutions[S&amp;S ID],StrategiesSolutions[Risk Assumption],""))</f>
      </c>
      <c r="I28" s="194">
        <f>IF($C28="","",_xlfn.XLOOKUP($C28,StrategiesSolutions[S&amp;S ID],StrategiesSolutions[Disruption Scenario],""))</f>
      </c>
      <c r="J28" s="194">
        <f>IF($C28="","",_xlfn.XLOOKUP($C28,StrategiesSolutions[S&amp;S ID],StrategiesSolutions[Strategy],""))</f>
      </c>
      <c r="K28" s="194">
        <f>IF($C28="","",_xlfn.LET(_xlpm.x,_xlfn.XLOOKUP($C28,StrategiesSolutions[S&amp;S ID],StrategiesSolutions[Strategy Details / Do nothing Justification],""),IF(_xlpm.x=0,"",_xlpm.x)))</f>
      </c>
      <c r="L28" s="62"/>
      <c r="M28" s="62"/>
      <c r="N28" s="330"/>
      <c r="O28" s="196">
        <f t="shared" si="1"/>
      </c>
      <c r="P28" s="197">
        <f ca="1">IF($C28="","",_xlfn.LET(_xlpm.ssStatus,_xlfn.XLOOKUP($C28,StrategiesSolutions[S&amp;S ID],StrategiesSolutions[Status],""),IF($L28="","Not Scheduled",IF($M28="",IF($L28&lt;TODAY(),"Overdue","Scheduled"),IF($N28="","Result Required",IF(OR($E28="",$F28="",$Q28=""),"Incomplete Exercise",IF($N28="Fail","Failed",IF(OR($N28="Pass with Findings",_xlpm.ssStatus&lt;&gt;"Completed"),"Pass with Findings","Passed"))))))))</f>
      </c>
      <c r="Q28">
        <f t="shared" si="2"/>
      </c>
    </row>
    <row r="29" spans="1:17" x14ac:dyDescent="0.35">
      <c r="A29" s="192">
        <v>25</v>
      </c>
      <c r="B29" s="193">
        <f t="shared" si="0"/>
      </c>
      <c r="C29" s="316"/>
      <c r="D29" s="194">
        <f>IF($C29="","",_xlfn.XLOOKUP($C29,StrategiesSolutions[S&amp;S ID],StrategiesSolutions[Products / Services],""))</f>
      </c>
      <c r="E29" s="61"/>
      <c r="F29" s="61"/>
      <c r="G29" s="195">
        <f>IF($C29="","",_xlfn.XLOOKUP($C29,StrategiesSolutions[S&amp;S ID],StrategiesSolutions[Dependency],""))</f>
      </c>
      <c r="H29" s="194">
        <f>IF($C29="","",_xlfn.XLOOKUP($C29,StrategiesSolutions[S&amp;S ID],StrategiesSolutions[Risk Assumption],""))</f>
      </c>
      <c r="I29" s="194">
        <f>IF($C29="","",_xlfn.XLOOKUP($C29,StrategiesSolutions[S&amp;S ID],StrategiesSolutions[Disruption Scenario],""))</f>
      </c>
      <c r="J29" s="194">
        <f>IF($C29="","",_xlfn.XLOOKUP($C29,StrategiesSolutions[S&amp;S ID],StrategiesSolutions[Strategy],""))</f>
      </c>
      <c r="K29" s="194">
        <f>IF($C29="","",_xlfn.LET(_xlpm.x,_xlfn.XLOOKUP($C29,StrategiesSolutions[S&amp;S ID],StrategiesSolutions[Strategy Details / Do nothing Justification],""),IF(_xlpm.x=0,"",_xlpm.x)))</f>
      </c>
      <c r="L29" s="62"/>
      <c r="M29" s="62"/>
      <c r="N29" s="330"/>
      <c r="O29" s="196">
        <f t="shared" si="1"/>
      </c>
      <c r="P29" s="197">
        <f ca="1">IF($C29="","",_xlfn.LET(_xlpm.ssStatus,_xlfn.XLOOKUP($C29,StrategiesSolutions[S&amp;S ID],StrategiesSolutions[Status],""),IF($L29="","Not Scheduled",IF($M29="",IF($L29&lt;TODAY(),"Overdue","Scheduled"),IF($N29="","Result Required",IF(OR($E29="",$F29="",$Q29=""),"Incomplete Exercise",IF($N29="Fail","Failed",IF(OR($N29="Pass with Findings",_xlpm.ssStatus&lt;&gt;"Completed"),"Pass with Findings","Passed"))))))))</f>
      </c>
      <c r="Q29">
        <f t="shared" si="2"/>
      </c>
    </row>
    <row r="30" spans="1:17" x14ac:dyDescent="0.35">
      <c r="A30" s="192">
        <v>26</v>
      </c>
      <c r="B30" s="193">
        <f t="shared" si="0"/>
      </c>
      <c r="C30" s="316"/>
      <c r="D30" s="194">
        <f>IF($C30="","",_xlfn.XLOOKUP($C30,StrategiesSolutions[S&amp;S ID],StrategiesSolutions[Products / Services],""))</f>
      </c>
      <c r="E30" s="61"/>
      <c r="F30" s="61"/>
      <c r="G30" s="195">
        <f>IF($C30="","",_xlfn.XLOOKUP($C30,StrategiesSolutions[S&amp;S ID],StrategiesSolutions[Dependency],""))</f>
      </c>
      <c r="H30" s="194">
        <f>IF($C30="","",_xlfn.XLOOKUP($C30,StrategiesSolutions[S&amp;S ID],StrategiesSolutions[Risk Assumption],""))</f>
      </c>
      <c r="I30" s="194">
        <f>IF($C30="","",_xlfn.XLOOKUP($C30,StrategiesSolutions[S&amp;S ID],StrategiesSolutions[Disruption Scenario],""))</f>
      </c>
      <c r="J30" s="194">
        <f>IF($C30="","",_xlfn.XLOOKUP($C30,StrategiesSolutions[S&amp;S ID],StrategiesSolutions[Strategy],""))</f>
      </c>
      <c r="K30" s="194">
        <f>IF($C30="","",_xlfn.LET(_xlpm.x,_xlfn.XLOOKUP($C30,StrategiesSolutions[S&amp;S ID],StrategiesSolutions[Strategy Details / Do nothing Justification],""),IF(_xlpm.x=0,"",_xlpm.x)))</f>
      </c>
      <c r="L30" s="62"/>
      <c r="M30" s="62"/>
      <c r="N30" s="330"/>
      <c r="O30" s="196">
        <f t="shared" si="1"/>
      </c>
      <c r="P30" s="197">
        <f ca="1">IF($C30="","",_xlfn.LET(_xlpm.ssStatus,_xlfn.XLOOKUP($C30,StrategiesSolutions[S&amp;S ID],StrategiesSolutions[Status],""),IF($L30="","Not Scheduled",IF($M30="",IF($L30&lt;TODAY(),"Overdue","Scheduled"),IF($N30="","Result Required",IF(OR($E30="",$F30="",$Q30=""),"Incomplete Exercise",IF($N30="Fail","Failed",IF(OR($N30="Pass with Findings",_xlpm.ssStatus&lt;&gt;"Completed"),"Pass with Findings","Passed"))))))))</f>
      </c>
      <c r="Q30">
        <f t="shared" si="2"/>
      </c>
    </row>
    <row r="31" spans="1:17" x14ac:dyDescent="0.35">
      <c r="A31" s="192">
        <v>27</v>
      </c>
      <c r="B31" s="193">
        <f t="shared" si="0"/>
      </c>
      <c r="C31" s="316"/>
      <c r="D31" s="194">
        <f>IF($C31="","",_xlfn.XLOOKUP($C31,StrategiesSolutions[S&amp;S ID],StrategiesSolutions[Products / Services],""))</f>
      </c>
      <c r="E31" s="61"/>
      <c r="F31" s="61"/>
      <c r="G31" s="195">
        <f>IF($C31="","",_xlfn.XLOOKUP($C31,StrategiesSolutions[S&amp;S ID],StrategiesSolutions[Dependency],""))</f>
      </c>
      <c r="H31" s="194">
        <f>IF($C31="","",_xlfn.XLOOKUP($C31,StrategiesSolutions[S&amp;S ID],StrategiesSolutions[Risk Assumption],""))</f>
      </c>
      <c r="I31" s="194">
        <f>IF($C31="","",_xlfn.XLOOKUP($C31,StrategiesSolutions[S&amp;S ID],StrategiesSolutions[Disruption Scenario],""))</f>
      </c>
      <c r="J31" s="194">
        <f>IF($C31="","",_xlfn.XLOOKUP($C31,StrategiesSolutions[S&amp;S ID],StrategiesSolutions[Strategy],""))</f>
      </c>
      <c r="K31" s="194">
        <f>IF($C31="","",_xlfn.LET(_xlpm.x,_xlfn.XLOOKUP($C31,StrategiesSolutions[S&amp;S ID],StrategiesSolutions[Strategy Details / Do nothing Justification],""),IF(_xlpm.x=0,"",_xlpm.x)))</f>
      </c>
      <c r="L31" s="62"/>
      <c r="M31" s="62"/>
      <c r="N31" s="330"/>
      <c r="O31" s="196">
        <f t="shared" si="1"/>
      </c>
      <c r="P31" s="197">
        <f ca="1">IF($C31="","",_xlfn.LET(_xlpm.ssStatus,_xlfn.XLOOKUP($C31,StrategiesSolutions[S&amp;S ID],StrategiesSolutions[Status],""),IF($L31="","Not Scheduled",IF($M31="",IF($L31&lt;TODAY(),"Overdue","Scheduled"),IF($N31="","Result Required",IF(OR($E31="",$F31="",$Q31=""),"Incomplete Exercise",IF($N31="Fail","Failed",IF(OR($N31="Pass with Findings",_xlpm.ssStatus&lt;&gt;"Completed"),"Pass with Findings","Passed"))))))))</f>
      </c>
      <c r="Q31">
        <f t="shared" si="2"/>
      </c>
    </row>
    <row r="32" spans="1:17" x14ac:dyDescent="0.35">
      <c r="A32" s="192">
        <v>28</v>
      </c>
      <c r="B32" s="193">
        <f t="shared" si="0"/>
      </c>
      <c r="C32" s="316"/>
      <c r="D32" s="194">
        <f>IF($C32="","",_xlfn.XLOOKUP($C32,StrategiesSolutions[S&amp;S ID],StrategiesSolutions[Products / Services],""))</f>
      </c>
      <c r="E32" s="61"/>
      <c r="F32" s="61"/>
      <c r="G32" s="195">
        <f>IF($C32="","",_xlfn.XLOOKUP($C32,StrategiesSolutions[S&amp;S ID],StrategiesSolutions[Dependency],""))</f>
      </c>
      <c r="H32" s="194">
        <f>IF($C32="","",_xlfn.XLOOKUP($C32,StrategiesSolutions[S&amp;S ID],StrategiesSolutions[Risk Assumption],""))</f>
      </c>
      <c r="I32" s="194">
        <f>IF($C32="","",_xlfn.XLOOKUP($C32,StrategiesSolutions[S&amp;S ID],StrategiesSolutions[Disruption Scenario],""))</f>
      </c>
      <c r="J32" s="194">
        <f>IF($C32="","",_xlfn.XLOOKUP($C32,StrategiesSolutions[S&amp;S ID],StrategiesSolutions[Strategy],""))</f>
      </c>
      <c r="K32" s="194">
        <f>IF($C32="","",_xlfn.LET(_xlpm.x,_xlfn.XLOOKUP($C32,StrategiesSolutions[S&amp;S ID],StrategiesSolutions[Strategy Details / Do nothing Justification],""),IF(_xlpm.x=0,"",_xlpm.x)))</f>
      </c>
      <c r="L32" s="62"/>
      <c r="M32" s="62"/>
      <c r="N32" s="330"/>
      <c r="O32" s="196">
        <f t="shared" si="1"/>
      </c>
      <c r="P32" s="197">
        <f ca="1">IF($C32="","",_xlfn.LET(_xlpm.ssStatus,_xlfn.XLOOKUP($C32,StrategiesSolutions[S&amp;S ID],StrategiesSolutions[Status],""),IF($L32="","Not Scheduled",IF($M32="",IF($L32&lt;TODAY(),"Overdue","Scheduled"),IF($N32="","Result Required",IF(OR($E32="",$F32="",$Q32=""),"Incomplete Exercise",IF($N32="Fail","Failed",IF(OR($N32="Pass with Findings",_xlpm.ssStatus&lt;&gt;"Completed"),"Pass with Findings","Passed"))))))))</f>
      </c>
      <c r="Q32">
        <f t="shared" si="2"/>
      </c>
    </row>
    <row r="33" spans="1:17" x14ac:dyDescent="0.35">
      <c r="A33" s="192">
        <v>29</v>
      </c>
      <c r="B33" s="193">
        <f t="shared" si="0"/>
      </c>
      <c r="C33" s="316"/>
      <c r="D33" s="194">
        <f>IF($C33="","",_xlfn.XLOOKUP($C33,StrategiesSolutions[S&amp;S ID],StrategiesSolutions[Products / Services],""))</f>
      </c>
      <c r="E33" s="61"/>
      <c r="F33" s="61"/>
      <c r="G33" s="195">
        <f>IF($C33="","",_xlfn.XLOOKUP($C33,StrategiesSolutions[S&amp;S ID],StrategiesSolutions[Dependency],""))</f>
      </c>
      <c r="H33" s="194">
        <f>IF($C33="","",_xlfn.XLOOKUP($C33,StrategiesSolutions[S&amp;S ID],StrategiesSolutions[Risk Assumption],""))</f>
      </c>
      <c r="I33" s="194">
        <f>IF($C33="","",_xlfn.XLOOKUP($C33,StrategiesSolutions[S&amp;S ID],StrategiesSolutions[Disruption Scenario],""))</f>
      </c>
      <c r="J33" s="194">
        <f>IF($C33="","",_xlfn.XLOOKUP($C33,StrategiesSolutions[S&amp;S ID],StrategiesSolutions[Strategy],""))</f>
      </c>
      <c r="K33" s="194">
        <f>IF($C33="","",_xlfn.LET(_xlpm.x,_xlfn.XLOOKUP($C33,StrategiesSolutions[S&amp;S ID],StrategiesSolutions[Strategy Details / Do nothing Justification],""),IF(_xlpm.x=0,"",_xlpm.x)))</f>
      </c>
      <c r="L33" s="62"/>
      <c r="M33" s="62"/>
      <c r="N33" s="330"/>
      <c r="O33" s="196">
        <f t="shared" si="1"/>
      </c>
      <c r="P33" s="197">
        <f ca="1">IF($C33="","",_xlfn.LET(_xlpm.ssStatus,_xlfn.XLOOKUP($C33,StrategiesSolutions[S&amp;S ID],StrategiesSolutions[Status],""),IF($L33="","Not Scheduled",IF($M33="",IF($L33&lt;TODAY(),"Overdue","Scheduled"),IF($N33="","Result Required",IF(OR($E33="",$F33="",$Q33=""),"Incomplete Exercise",IF($N33="Fail","Failed",IF(OR($N33="Pass with Findings",_xlpm.ssStatus&lt;&gt;"Completed"),"Pass with Findings","Passed"))))))))</f>
      </c>
      <c r="Q33">
        <f t="shared" si="2"/>
      </c>
    </row>
    <row r="34" spans="1:17" x14ac:dyDescent="0.35">
      <c r="A34" s="192">
        <v>30</v>
      </c>
      <c r="B34" s="193">
        <f t="shared" si="0"/>
      </c>
      <c r="C34" s="316"/>
      <c r="D34" s="194">
        <f>IF($C34="","",_xlfn.XLOOKUP($C34,StrategiesSolutions[S&amp;S ID],StrategiesSolutions[Products / Services],""))</f>
      </c>
      <c r="E34" s="61"/>
      <c r="F34" s="61"/>
      <c r="G34" s="195">
        <f>IF($C34="","",_xlfn.XLOOKUP($C34,StrategiesSolutions[S&amp;S ID],StrategiesSolutions[Dependency],""))</f>
      </c>
      <c r="H34" s="194">
        <f>IF($C34="","",_xlfn.XLOOKUP($C34,StrategiesSolutions[S&amp;S ID],StrategiesSolutions[Risk Assumption],""))</f>
      </c>
      <c r="I34" s="194">
        <f>IF($C34="","",_xlfn.XLOOKUP($C34,StrategiesSolutions[S&amp;S ID],StrategiesSolutions[Disruption Scenario],""))</f>
      </c>
      <c r="J34" s="194">
        <f>IF($C34="","",_xlfn.XLOOKUP($C34,StrategiesSolutions[S&amp;S ID],StrategiesSolutions[Strategy],""))</f>
      </c>
      <c r="K34" s="194">
        <f>IF($C34="","",_xlfn.LET(_xlpm.x,_xlfn.XLOOKUP($C34,StrategiesSolutions[S&amp;S ID],StrategiesSolutions[Strategy Details / Do nothing Justification],""),IF(_xlpm.x=0,"",_xlpm.x)))</f>
      </c>
      <c r="L34" s="62"/>
      <c r="M34" s="62"/>
      <c r="N34" s="330"/>
      <c r="O34" s="196">
        <f t="shared" si="1"/>
      </c>
      <c r="P34" s="197">
        <f ca="1">IF($C34="","",_xlfn.LET(_xlpm.ssStatus,_xlfn.XLOOKUP($C34,StrategiesSolutions[S&amp;S ID],StrategiesSolutions[Status],""),IF($L34="","Not Scheduled",IF($M34="",IF($L34&lt;TODAY(),"Overdue","Scheduled"),IF($N34="","Result Required",IF(OR($E34="",$F34="",$Q34=""),"Incomplete Exercise",IF($N34="Fail","Failed",IF(OR($N34="Pass with Findings",_xlpm.ssStatus&lt;&gt;"Completed"),"Pass with Findings","Passed"))))))))</f>
      </c>
      <c r="Q34">
        <f t="shared" si="2"/>
      </c>
    </row>
    <row r="35" spans="1:17" x14ac:dyDescent="0.35">
      <c r="A35" s="192">
        <v>31</v>
      </c>
      <c r="B35" s="193">
        <f t="shared" si="0"/>
      </c>
      <c r="C35" s="316"/>
      <c r="D35" s="194">
        <f>IF($C35="","",_xlfn.XLOOKUP($C35,StrategiesSolutions[S&amp;S ID],StrategiesSolutions[Products / Services],""))</f>
      </c>
      <c r="E35" s="61"/>
      <c r="F35" s="61"/>
      <c r="G35" s="195">
        <f>IF($C35="","",_xlfn.XLOOKUP($C35,StrategiesSolutions[S&amp;S ID],StrategiesSolutions[Dependency],""))</f>
      </c>
      <c r="H35" s="194">
        <f>IF($C35="","",_xlfn.XLOOKUP($C35,StrategiesSolutions[S&amp;S ID],StrategiesSolutions[Risk Assumption],""))</f>
      </c>
      <c r="I35" s="194">
        <f>IF($C35="","",_xlfn.XLOOKUP($C35,StrategiesSolutions[S&amp;S ID],StrategiesSolutions[Disruption Scenario],""))</f>
      </c>
      <c r="J35" s="194">
        <f>IF($C35="","",_xlfn.XLOOKUP($C35,StrategiesSolutions[S&amp;S ID],StrategiesSolutions[Strategy],""))</f>
      </c>
      <c r="K35" s="194">
        <f>IF($C35="","",_xlfn.LET(_xlpm.x,_xlfn.XLOOKUP($C35,StrategiesSolutions[S&amp;S ID],StrategiesSolutions[Strategy Details / Do nothing Justification],""),IF(_xlpm.x=0,"",_xlpm.x)))</f>
      </c>
      <c r="L35" s="62"/>
      <c r="M35" s="62"/>
      <c r="N35" s="330"/>
      <c r="O35" s="196">
        <f t="shared" si="1"/>
      </c>
      <c r="P35" s="197">
        <f ca="1">IF($C35="","",_xlfn.LET(_xlpm.ssStatus,_xlfn.XLOOKUP($C35,StrategiesSolutions[S&amp;S ID],StrategiesSolutions[Status],""),IF($L35="","Not Scheduled",IF($M35="",IF($L35&lt;TODAY(),"Overdue","Scheduled"),IF($N35="","Result Required",IF(OR($E35="",$F35="",$Q35=""),"Incomplete Exercise",IF($N35="Fail","Failed",IF(OR($N35="Pass with Findings",_xlpm.ssStatus&lt;&gt;"Completed"),"Pass with Findings","Passed"))))))))</f>
      </c>
      <c r="Q35">
        <f t="shared" si="2"/>
      </c>
    </row>
    <row r="36" spans="1:17" x14ac:dyDescent="0.35">
      <c r="A36" s="192">
        <v>32</v>
      </c>
      <c r="B36" s="193">
        <f t="shared" si="0"/>
      </c>
      <c r="C36" s="316"/>
      <c r="D36" s="194">
        <f>IF($C36="","",_xlfn.XLOOKUP($C36,StrategiesSolutions[S&amp;S ID],StrategiesSolutions[Products / Services],""))</f>
      </c>
      <c r="E36" s="61"/>
      <c r="F36" s="61"/>
      <c r="G36" s="195">
        <f>IF($C36="","",_xlfn.XLOOKUP($C36,StrategiesSolutions[S&amp;S ID],StrategiesSolutions[Dependency],""))</f>
      </c>
      <c r="H36" s="194">
        <f>IF($C36="","",_xlfn.XLOOKUP($C36,StrategiesSolutions[S&amp;S ID],StrategiesSolutions[Risk Assumption],""))</f>
      </c>
      <c r="I36" s="194">
        <f>IF($C36="","",_xlfn.XLOOKUP($C36,StrategiesSolutions[S&amp;S ID],StrategiesSolutions[Disruption Scenario],""))</f>
      </c>
      <c r="J36" s="194">
        <f>IF($C36="","",_xlfn.XLOOKUP($C36,StrategiesSolutions[S&amp;S ID],StrategiesSolutions[Strategy],""))</f>
      </c>
      <c r="K36" s="194">
        <f>IF($C36="","",_xlfn.LET(_xlpm.x,_xlfn.XLOOKUP($C36,StrategiesSolutions[S&amp;S ID],StrategiesSolutions[Strategy Details / Do nothing Justification],""),IF(_xlpm.x=0,"",_xlpm.x)))</f>
      </c>
      <c r="L36" s="62"/>
      <c r="M36" s="62"/>
      <c r="N36" s="330"/>
      <c r="O36" s="196">
        <f t="shared" si="1"/>
      </c>
      <c r="P36" s="197">
        <f ca="1">IF($C36="","",_xlfn.LET(_xlpm.ssStatus,_xlfn.XLOOKUP($C36,StrategiesSolutions[S&amp;S ID],StrategiesSolutions[Status],""),IF($L36="","Not Scheduled",IF($M36="",IF($L36&lt;TODAY(),"Overdue","Scheduled"),IF($N36="","Result Required",IF(OR($E36="",$F36="",$Q36=""),"Incomplete Exercise",IF($N36="Fail","Failed",IF(OR($N36="Pass with Findings",_xlpm.ssStatus&lt;&gt;"Completed"),"Pass with Findings","Passed"))))))))</f>
      </c>
      <c r="Q36">
        <f t="shared" si="2"/>
      </c>
    </row>
    <row r="37" spans="1:17" x14ac:dyDescent="0.35">
      <c r="A37" s="192">
        <v>33</v>
      </c>
      <c r="B37" s="193">
        <f t="shared" ref="B37:B68" si="3">IF($C37="","","RR-"&amp;TEXT($A37,"000"))</f>
      </c>
      <c r="C37" s="316"/>
      <c r="D37" s="194">
        <f>IF($C37="","",_xlfn.XLOOKUP($C37,StrategiesSolutions[S&amp;S ID],StrategiesSolutions[Products / Services],""))</f>
      </c>
      <c r="E37" s="61"/>
      <c r="F37" s="61"/>
      <c r="G37" s="195">
        <f>IF($C37="","",_xlfn.XLOOKUP($C37,StrategiesSolutions[S&amp;S ID],StrategiesSolutions[Dependency],""))</f>
      </c>
      <c r="H37" s="194">
        <f>IF($C37="","",_xlfn.XLOOKUP($C37,StrategiesSolutions[S&amp;S ID],StrategiesSolutions[Risk Assumption],""))</f>
      </c>
      <c r="I37" s="194">
        <f>IF($C37="","",_xlfn.XLOOKUP($C37,StrategiesSolutions[S&amp;S ID],StrategiesSolutions[Disruption Scenario],""))</f>
      </c>
      <c r="J37" s="194">
        <f>IF($C37="","",_xlfn.XLOOKUP($C37,StrategiesSolutions[S&amp;S ID],StrategiesSolutions[Strategy],""))</f>
      </c>
      <c r="K37" s="194">
        <f>IF($C37="","",_xlfn.LET(_xlpm.x,_xlfn.XLOOKUP($C37,StrategiesSolutions[S&amp;S ID],StrategiesSolutions[Strategy Details / Do nothing Justification],""),IF(_xlpm.x=0,"",_xlpm.x)))</f>
      </c>
      <c r="L37" s="62"/>
      <c r="M37" s="62"/>
      <c r="N37" s="330"/>
      <c r="O37" s="196">
        <f t="shared" si="1"/>
      </c>
      <c r="P37" s="197">
        <f ca="1">IF($C37="","",_xlfn.LET(_xlpm.ssStatus,_xlfn.XLOOKUP($C37,StrategiesSolutions[S&amp;S ID],StrategiesSolutions[Status],""),IF($L37="","Not Scheduled",IF($M37="",IF($L37&lt;TODAY(),"Overdue","Scheduled"),IF($N37="","Result Required",IF(OR($E37="",$F37="",$Q37=""),"Incomplete Exercise",IF($N37="Fail","Failed",IF(OR($N37="Pass with Findings",_xlpm.ssStatus&lt;&gt;"Completed"),"Pass with Findings","Passed"))))))))</f>
      </c>
      <c r="Q37">
        <f t="shared" si="2"/>
      </c>
    </row>
    <row r="38" spans="1:17" x14ac:dyDescent="0.35">
      <c r="A38" s="192">
        <v>34</v>
      </c>
      <c r="B38" s="193">
        <f t="shared" si="3"/>
      </c>
      <c r="C38" s="316"/>
      <c r="D38" s="194">
        <f>IF($C38="","",_xlfn.XLOOKUP($C38,StrategiesSolutions[S&amp;S ID],StrategiesSolutions[Products / Services],""))</f>
      </c>
      <c r="E38" s="61"/>
      <c r="F38" s="61"/>
      <c r="G38" s="195">
        <f>IF($C38="","",_xlfn.XLOOKUP($C38,StrategiesSolutions[S&amp;S ID],StrategiesSolutions[Dependency],""))</f>
      </c>
      <c r="H38" s="194">
        <f>IF($C38="","",_xlfn.XLOOKUP($C38,StrategiesSolutions[S&amp;S ID],StrategiesSolutions[Risk Assumption],""))</f>
      </c>
      <c r="I38" s="194">
        <f>IF($C38="","",_xlfn.XLOOKUP($C38,StrategiesSolutions[S&amp;S ID],StrategiesSolutions[Disruption Scenario],""))</f>
      </c>
      <c r="J38" s="194">
        <f>IF($C38="","",_xlfn.XLOOKUP($C38,StrategiesSolutions[S&amp;S ID],StrategiesSolutions[Strategy],""))</f>
      </c>
      <c r="K38" s="194">
        <f>IF($C38="","",_xlfn.LET(_xlpm.x,_xlfn.XLOOKUP($C38,StrategiesSolutions[S&amp;S ID],StrategiesSolutions[Strategy Details / Do nothing Justification],""),IF(_xlpm.x=0,"",_xlpm.x)))</f>
      </c>
      <c r="L38" s="62"/>
      <c r="M38" s="62"/>
      <c r="N38" s="330"/>
      <c r="O38" s="196">
        <f t="shared" si="1"/>
      </c>
      <c r="P38" s="197">
        <f ca="1">IF($C38="","",_xlfn.LET(_xlpm.ssStatus,_xlfn.XLOOKUP($C38,StrategiesSolutions[S&amp;S ID],StrategiesSolutions[Status],""),IF($L38="","Not Scheduled",IF($M38="",IF($L38&lt;TODAY(),"Overdue","Scheduled"),IF($N38="","Result Required",IF(OR($E38="",$F38="",$Q38=""),"Incomplete Exercise",IF($N38="Fail","Failed",IF(OR($N38="Pass with Findings",_xlpm.ssStatus&lt;&gt;"Completed"),"Pass with Findings","Passed"))))))))</f>
      </c>
      <c r="Q38">
        <f t="shared" si="2"/>
      </c>
    </row>
    <row r="39" spans="1:17" x14ac:dyDescent="0.35">
      <c r="A39" s="192">
        <v>35</v>
      </c>
      <c r="B39" s="193">
        <f t="shared" si="3"/>
      </c>
      <c r="C39" s="316"/>
      <c r="D39" s="194">
        <f>IF($C39="","",_xlfn.XLOOKUP($C39,StrategiesSolutions[S&amp;S ID],StrategiesSolutions[Products / Services],""))</f>
      </c>
      <c r="E39" s="61"/>
      <c r="F39" s="61"/>
      <c r="G39" s="195">
        <f>IF($C39="","",_xlfn.XLOOKUP($C39,StrategiesSolutions[S&amp;S ID],StrategiesSolutions[Dependency],""))</f>
      </c>
      <c r="H39" s="194">
        <f>IF($C39="","",_xlfn.XLOOKUP($C39,StrategiesSolutions[S&amp;S ID],StrategiesSolutions[Risk Assumption],""))</f>
      </c>
      <c r="I39" s="194">
        <f>IF($C39="","",_xlfn.XLOOKUP($C39,StrategiesSolutions[S&amp;S ID],StrategiesSolutions[Disruption Scenario],""))</f>
      </c>
      <c r="J39" s="194">
        <f>IF($C39="","",_xlfn.XLOOKUP($C39,StrategiesSolutions[S&amp;S ID],StrategiesSolutions[Strategy],""))</f>
      </c>
      <c r="K39" s="194">
        <f>IF($C39="","",_xlfn.LET(_xlpm.x,_xlfn.XLOOKUP($C39,StrategiesSolutions[S&amp;S ID],StrategiesSolutions[Strategy Details / Do nothing Justification],""),IF(_xlpm.x=0,"",_xlpm.x)))</f>
      </c>
      <c r="L39" s="62"/>
      <c r="M39" s="62"/>
      <c r="N39" s="330"/>
      <c r="O39" s="196">
        <f t="shared" si="1"/>
      </c>
      <c r="P39" s="197">
        <f ca="1">IF($C39="","",_xlfn.LET(_xlpm.ssStatus,_xlfn.XLOOKUP($C39,StrategiesSolutions[S&amp;S ID],StrategiesSolutions[Status],""),IF($L39="","Not Scheduled",IF($M39="",IF($L39&lt;TODAY(),"Overdue","Scheduled"),IF($N39="","Result Required",IF(OR($E39="",$F39="",$Q39=""),"Incomplete Exercise",IF($N39="Fail","Failed",IF(OR($N39="Pass with Findings",_xlpm.ssStatus&lt;&gt;"Completed"),"Pass with Findings","Passed"))))))))</f>
      </c>
      <c r="Q39">
        <f t="shared" si="2"/>
      </c>
    </row>
    <row r="40" spans="1:17" x14ac:dyDescent="0.35">
      <c r="A40" s="192">
        <v>36</v>
      </c>
      <c r="B40" s="193">
        <f t="shared" si="3"/>
      </c>
      <c r="C40" s="316"/>
      <c r="D40" s="194">
        <f>IF($C40="","",_xlfn.XLOOKUP($C40,StrategiesSolutions[S&amp;S ID],StrategiesSolutions[Products / Services],""))</f>
      </c>
      <c r="E40" s="61"/>
      <c r="F40" s="61"/>
      <c r="G40" s="195">
        <f>IF($C40="","",_xlfn.XLOOKUP($C40,StrategiesSolutions[S&amp;S ID],StrategiesSolutions[Dependency],""))</f>
      </c>
      <c r="H40" s="194">
        <f>IF($C40="","",_xlfn.XLOOKUP($C40,StrategiesSolutions[S&amp;S ID],StrategiesSolutions[Risk Assumption],""))</f>
      </c>
      <c r="I40" s="194">
        <f>IF($C40="","",_xlfn.XLOOKUP($C40,StrategiesSolutions[S&amp;S ID],StrategiesSolutions[Disruption Scenario],""))</f>
      </c>
      <c r="J40" s="194">
        <f>IF($C40="","",_xlfn.XLOOKUP($C40,StrategiesSolutions[S&amp;S ID],StrategiesSolutions[Strategy],""))</f>
      </c>
      <c r="K40" s="194">
        <f>IF($C40="","",_xlfn.LET(_xlpm.x,_xlfn.XLOOKUP($C40,StrategiesSolutions[S&amp;S ID],StrategiesSolutions[Strategy Details / Do nothing Justification],""),IF(_xlpm.x=0,"",_xlpm.x)))</f>
      </c>
      <c r="L40" s="62"/>
      <c r="M40" s="62"/>
      <c r="N40" s="330"/>
      <c r="O40" s="196">
        <f t="shared" si="1"/>
      </c>
      <c r="P40" s="197">
        <f ca="1">IF($C40="","",_xlfn.LET(_xlpm.ssStatus,_xlfn.XLOOKUP($C40,StrategiesSolutions[S&amp;S ID],StrategiesSolutions[Status],""),IF($L40="","Not Scheduled",IF($M40="",IF($L40&lt;TODAY(),"Overdue","Scheduled"),IF($N40="","Result Required",IF(OR($E40="",$F40="",$Q40=""),"Incomplete Exercise",IF($N40="Fail","Failed",IF(OR($N40="Pass with Findings",_xlpm.ssStatus&lt;&gt;"Completed"),"Pass with Findings","Passed"))))))))</f>
      </c>
      <c r="Q40">
        <f t="shared" si="2"/>
      </c>
    </row>
    <row r="41" spans="1:17" x14ac:dyDescent="0.35">
      <c r="A41" s="192">
        <v>37</v>
      </c>
      <c r="B41" s="193">
        <f t="shared" si="3"/>
      </c>
      <c r="C41" s="316"/>
      <c r="D41" s="194">
        <f>IF($C41="","",_xlfn.XLOOKUP($C41,StrategiesSolutions[S&amp;S ID],StrategiesSolutions[Products / Services],""))</f>
      </c>
      <c r="E41" s="61"/>
      <c r="F41" s="61"/>
      <c r="G41" s="195">
        <f>IF($C41="","",_xlfn.XLOOKUP($C41,StrategiesSolutions[S&amp;S ID],StrategiesSolutions[Dependency],""))</f>
      </c>
      <c r="H41" s="194">
        <f>IF($C41="","",_xlfn.XLOOKUP($C41,StrategiesSolutions[S&amp;S ID],StrategiesSolutions[Risk Assumption],""))</f>
      </c>
      <c r="I41" s="194">
        <f>IF($C41="","",_xlfn.XLOOKUP($C41,StrategiesSolutions[S&amp;S ID],StrategiesSolutions[Disruption Scenario],""))</f>
      </c>
      <c r="J41" s="194">
        <f>IF($C41="","",_xlfn.XLOOKUP($C41,StrategiesSolutions[S&amp;S ID],StrategiesSolutions[Strategy],""))</f>
      </c>
      <c r="K41" s="194">
        <f>IF($C41="","",_xlfn.LET(_xlpm.x,_xlfn.XLOOKUP($C41,StrategiesSolutions[S&amp;S ID],StrategiesSolutions[Strategy Details / Do nothing Justification],""),IF(_xlpm.x=0,"",_xlpm.x)))</f>
      </c>
      <c r="L41" s="62"/>
      <c r="M41" s="62"/>
      <c r="N41" s="330"/>
      <c r="O41" s="196">
        <f t="shared" si="1"/>
      </c>
      <c r="P41" s="197">
        <f ca="1">IF($C41="","",_xlfn.LET(_xlpm.ssStatus,_xlfn.XLOOKUP($C41,StrategiesSolutions[S&amp;S ID],StrategiesSolutions[Status],""),IF($L41="","Not Scheduled",IF($M41="",IF($L41&lt;TODAY(),"Overdue","Scheduled"),IF($N41="","Result Required",IF(OR($E41="",$F41="",$Q41=""),"Incomplete Exercise",IF($N41="Fail","Failed",IF(OR($N41="Pass with Findings",_xlpm.ssStatus&lt;&gt;"Completed"),"Pass with Findings","Passed"))))))))</f>
      </c>
      <c r="Q41">
        <f t="shared" si="2"/>
      </c>
    </row>
    <row r="42" spans="1:17" x14ac:dyDescent="0.35">
      <c r="A42" s="192">
        <v>38</v>
      </c>
      <c r="B42" s="193">
        <f t="shared" si="3"/>
      </c>
      <c r="C42" s="316"/>
      <c r="D42" s="194">
        <f>IF($C42="","",_xlfn.XLOOKUP($C42,StrategiesSolutions[S&amp;S ID],StrategiesSolutions[Products / Services],""))</f>
      </c>
      <c r="E42" s="61"/>
      <c r="F42" s="61"/>
      <c r="G42" s="195">
        <f>IF($C42="","",_xlfn.XLOOKUP($C42,StrategiesSolutions[S&amp;S ID],StrategiesSolutions[Dependency],""))</f>
      </c>
      <c r="H42" s="194">
        <f>IF($C42="","",_xlfn.XLOOKUP($C42,StrategiesSolutions[S&amp;S ID],StrategiesSolutions[Risk Assumption],""))</f>
      </c>
      <c r="I42" s="194">
        <f>IF($C42="","",_xlfn.XLOOKUP($C42,StrategiesSolutions[S&amp;S ID],StrategiesSolutions[Disruption Scenario],""))</f>
      </c>
      <c r="J42" s="194">
        <f>IF($C42="","",_xlfn.XLOOKUP($C42,StrategiesSolutions[S&amp;S ID],StrategiesSolutions[Strategy],""))</f>
      </c>
      <c r="K42" s="194">
        <f>IF($C42="","",_xlfn.LET(_xlpm.x,_xlfn.XLOOKUP($C42,StrategiesSolutions[S&amp;S ID],StrategiesSolutions[Strategy Details / Do nothing Justification],""),IF(_xlpm.x=0,"",_xlpm.x)))</f>
      </c>
      <c r="L42" s="62"/>
      <c r="M42" s="62"/>
      <c r="N42" s="330"/>
      <c r="O42" s="196">
        <f t="shared" si="1"/>
      </c>
      <c r="P42" s="197">
        <f ca="1">IF($C42="","",_xlfn.LET(_xlpm.ssStatus,_xlfn.XLOOKUP($C42,StrategiesSolutions[S&amp;S ID],StrategiesSolutions[Status],""),IF($L42="","Not Scheduled",IF($M42="",IF($L42&lt;TODAY(),"Overdue","Scheduled"),IF($N42="","Result Required",IF(OR($E42="",$F42="",$Q42=""),"Incomplete Exercise",IF($N42="Fail","Failed",IF(OR($N42="Pass with Findings",_xlpm.ssStatus&lt;&gt;"Completed"),"Pass with Findings","Passed"))))))))</f>
      </c>
      <c r="Q42">
        <f t="shared" si="2"/>
      </c>
    </row>
    <row r="43" spans="1:17" x14ac:dyDescent="0.35">
      <c r="A43" s="192">
        <v>39</v>
      </c>
      <c r="B43" s="193">
        <f t="shared" si="3"/>
      </c>
      <c r="C43" s="316"/>
      <c r="D43" s="194">
        <f>IF($C43="","",_xlfn.XLOOKUP($C43,StrategiesSolutions[S&amp;S ID],StrategiesSolutions[Products / Services],""))</f>
      </c>
      <c r="E43" s="61"/>
      <c r="F43" s="61"/>
      <c r="G43" s="195">
        <f>IF($C43="","",_xlfn.XLOOKUP($C43,StrategiesSolutions[S&amp;S ID],StrategiesSolutions[Dependency],""))</f>
      </c>
      <c r="H43" s="194">
        <f>IF($C43="","",_xlfn.XLOOKUP($C43,StrategiesSolutions[S&amp;S ID],StrategiesSolutions[Risk Assumption],""))</f>
      </c>
      <c r="I43" s="194">
        <f>IF($C43="","",_xlfn.XLOOKUP($C43,StrategiesSolutions[S&amp;S ID],StrategiesSolutions[Disruption Scenario],""))</f>
      </c>
      <c r="J43" s="194">
        <f>IF($C43="","",_xlfn.XLOOKUP($C43,StrategiesSolutions[S&amp;S ID],StrategiesSolutions[Strategy],""))</f>
      </c>
      <c r="K43" s="194">
        <f>IF($C43="","",_xlfn.LET(_xlpm.x,_xlfn.XLOOKUP($C43,StrategiesSolutions[S&amp;S ID],StrategiesSolutions[Strategy Details / Do nothing Justification],""),IF(_xlpm.x=0,"",_xlpm.x)))</f>
      </c>
      <c r="L43" s="62"/>
      <c r="M43" s="62"/>
      <c r="N43" s="330"/>
      <c r="O43" s="196">
        <f t="shared" si="1"/>
      </c>
      <c r="P43" s="197">
        <f ca="1">IF($C43="","",_xlfn.LET(_xlpm.ssStatus,_xlfn.XLOOKUP($C43,StrategiesSolutions[S&amp;S ID],StrategiesSolutions[Status],""),IF($L43="","Not Scheduled",IF($M43="",IF($L43&lt;TODAY(),"Overdue","Scheduled"),IF($N43="","Result Required",IF(OR($E43="",$F43="",$Q43=""),"Incomplete Exercise",IF($N43="Fail","Failed",IF(OR($N43="Pass with Findings",_xlpm.ssStatus&lt;&gt;"Completed"),"Pass with Findings","Passed"))))))))</f>
      </c>
      <c r="Q43">
        <f t="shared" si="2"/>
      </c>
    </row>
    <row r="44" spans="1:17" x14ac:dyDescent="0.35">
      <c r="A44" s="192">
        <v>40</v>
      </c>
      <c r="B44" s="193">
        <f t="shared" si="3"/>
      </c>
      <c r="C44" s="316"/>
      <c r="D44" s="194">
        <f>IF($C44="","",_xlfn.XLOOKUP($C44,StrategiesSolutions[S&amp;S ID],StrategiesSolutions[Products / Services],""))</f>
      </c>
      <c r="E44" s="61"/>
      <c r="F44" s="61"/>
      <c r="G44" s="195">
        <f>IF($C44="","",_xlfn.XLOOKUP($C44,StrategiesSolutions[S&amp;S ID],StrategiesSolutions[Dependency],""))</f>
      </c>
      <c r="H44" s="194">
        <f>IF($C44="","",_xlfn.XLOOKUP($C44,StrategiesSolutions[S&amp;S ID],StrategiesSolutions[Risk Assumption],""))</f>
      </c>
      <c r="I44" s="194">
        <f>IF($C44="","",_xlfn.XLOOKUP($C44,StrategiesSolutions[S&amp;S ID],StrategiesSolutions[Disruption Scenario],""))</f>
      </c>
      <c r="J44" s="194">
        <f>IF($C44="","",_xlfn.XLOOKUP($C44,StrategiesSolutions[S&amp;S ID],StrategiesSolutions[Strategy],""))</f>
      </c>
      <c r="K44" s="194">
        <f>IF($C44="","",_xlfn.LET(_xlpm.x,_xlfn.XLOOKUP($C44,StrategiesSolutions[S&amp;S ID],StrategiesSolutions[Strategy Details / Do nothing Justification],""),IF(_xlpm.x=0,"",_xlpm.x)))</f>
      </c>
      <c r="L44" s="62"/>
      <c r="M44" s="62"/>
      <c r="N44" s="330"/>
      <c r="O44" s="196">
        <f t="shared" si="1"/>
      </c>
      <c r="P44" s="197">
        <f ca="1">IF($C44="","",_xlfn.LET(_xlpm.ssStatus,_xlfn.XLOOKUP($C44,StrategiesSolutions[S&amp;S ID],StrategiesSolutions[Status],""),IF($L44="","Not Scheduled",IF($M44="",IF($L44&lt;TODAY(),"Overdue","Scheduled"),IF($N44="","Result Required",IF(OR($E44="",$F44="",$Q44=""),"Incomplete Exercise",IF($N44="Fail","Failed",IF(OR($N44="Pass with Findings",_xlpm.ssStatus&lt;&gt;"Completed"),"Pass with Findings","Passed"))))))))</f>
      </c>
      <c r="Q44">
        <f t="shared" si="2"/>
      </c>
    </row>
    <row r="45" spans="1:17" x14ac:dyDescent="0.35">
      <c r="A45" s="192">
        <v>41</v>
      </c>
      <c r="B45" s="193">
        <f t="shared" si="3"/>
      </c>
      <c r="C45" s="317"/>
      <c r="D45" s="194">
        <f>IF($C45="","",_xlfn.XLOOKUP($C45,StrategiesSolutions[S&amp;S ID],StrategiesSolutions[Products / Services],""))</f>
      </c>
      <c r="E45" s="61"/>
      <c r="F45" s="61"/>
      <c r="G45" s="195">
        <f>IF($C45="","",_xlfn.XLOOKUP($C45,StrategiesSolutions[S&amp;S ID],StrategiesSolutions[Dependency],""))</f>
      </c>
      <c r="H45" s="194">
        <f>IF($C45="","",_xlfn.XLOOKUP($C45,StrategiesSolutions[S&amp;S ID],StrategiesSolutions[Risk Assumption],""))</f>
      </c>
      <c r="I45" s="194">
        <f>IF($C45="","",_xlfn.XLOOKUP($C45,StrategiesSolutions[S&amp;S ID],StrategiesSolutions[Disruption Scenario],""))</f>
      </c>
      <c r="J45" s="194">
        <f>IF($C45="","",_xlfn.XLOOKUP($C45,StrategiesSolutions[S&amp;S ID],StrategiesSolutions[Strategy],""))</f>
      </c>
      <c r="K45" s="194">
        <f>IF($C45="","",_xlfn.LET(_xlpm.x,_xlfn.XLOOKUP($C45,StrategiesSolutions[S&amp;S ID],StrategiesSolutions[Strategy Details / Do nothing Justification],""),IF(_xlpm.x=0,"",_xlpm.x)))</f>
      </c>
      <c r="L45" s="62"/>
      <c r="M45" s="62"/>
      <c r="N45" s="330"/>
      <c r="O45" s="196">
        <f t="shared" si="1"/>
      </c>
      <c r="P45" s="197">
        <f ca="1">IF($C45="","",_xlfn.LET(_xlpm.ssStatus,_xlfn.XLOOKUP($C45,StrategiesSolutions[S&amp;S ID],StrategiesSolutions[Status],""),IF($L45="","Not Scheduled",IF($M45="",IF($L45&lt;TODAY(),"Overdue","Scheduled"),IF($N45="","Result Required",IF(OR($E45="",$F45="",$Q45=""),"Incomplete Exercise",IF($N45="Fail","Failed",IF(OR($N45="Pass with Findings",_xlpm.ssStatus&lt;&gt;"Completed"),"Pass with Findings","Passed"))))))))</f>
      </c>
      <c r="Q45">
        <f t="shared" si="2"/>
      </c>
    </row>
    <row r="46" spans="1:17" x14ac:dyDescent="0.35">
      <c r="A46" s="192">
        <v>42</v>
      </c>
      <c r="B46" s="193">
        <f t="shared" si="3"/>
      </c>
      <c r="C46" s="317"/>
      <c r="D46" s="194">
        <f>IF($C46="","",_xlfn.XLOOKUP($C46,StrategiesSolutions[S&amp;S ID],StrategiesSolutions[Products / Services],""))</f>
      </c>
      <c r="E46" s="61"/>
      <c r="F46" s="61"/>
      <c r="G46" s="195">
        <f>IF($C46="","",_xlfn.XLOOKUP($C46,StrategiesSolutions[S&amp;S ID],StrategiesSolutions[Dependency],""))</f>
      </c>
      <c r="H46" s="194">
        <f>IF($C46="","",_xlfn.XLOOKUP($C46,StrategiesSolutions[S&amp;S ID],StrategiesSolutions[Risk Assumption],""))</f>
      </c>
      <c r="I46" s="194">
        <f>IF($C46="","",_xlfn.XLOOKUP($C46,StrategiesSolutions[S&amp;S ID],StrategiesSolutions[Disruption Scenario],""))</f>
      </c>
      <c r="J46" s="194">
        <f>IF($C46="","",_xlfn.XLOOKUP($C46,StrategiesSolutions[S&amp;S ID],StrategiesSolutions[Strategy],""))</f>
      </c>
      <c r="K46" s="194">
        <f>IF($C46="","",_xlfn.LET(_xlpm.x,_xlfn.XLOOKUP($C46,StrategiesSolutions[S&amp;S ID],StrategiesSolutions[Strategy Details / Do nothing Justification],""),IF(_xlpm.x=0,"",_xlpm.x)))</f>
      </c>
      <c r="L46" s="62"/>
      <c r="M46" s="62"/>
      <c r="N46" s="330"/>
      <c r="O46" s="196">
        <f t="shared" si="1"/>
      </c>
      <c r="P46" s="197">
        <f ca="1">IF($C46="","",_xlfn.LET(_xlpm.ssStatus,_xlfn.XLOOKUP($C46,StrategiesSolutions[S&amp;S ID],StrategiesSolutions[Status],""),IF($L46="","Not Scheduled",IF($M46="",IF($L46&lt;TODAY(),"Overdue","Scheduled"),IF($N46="","Result Required",IF(OR($E46="",$F46="",$Q46=""),"Incomplete Exercise",IF($N46="Fail","Failed",IF(OR($N46="Pass with Findings",_xlpm.ssStatus&lt;&gt;"Completed"),"Pass with Findings","Passed"))))))))</f>
      </c>
      <c r="Q46">
        <f t="shared" si="2"/>
      </c>
    </row>
    <row r="47" spans="1:17" x14ac:dyDescent="0.35">
      <c r="A47" s="192">
        <v>43</v>
      </c>
      <c r="B47" s="193">
        <f t="shared" si="3"/>
      </c>
      <c r="C47" s="317"/>
      <c r="D47" s="194">
        <f>IF($C47="","",_xlfn.XLOOKUP($C47,StrategiesSolutions[S&amp;S ID],StrategiesSolutions[Products / Services],""))</f>
      </c>
      <c r="E47" s="61"/>
      <c r="F47" s="61"/>
      <c r="G47" s="195">
        <f>IF($C47="","",_xlfn.XLOOKUP($C47,StrategiesSolutions[S&amp;S ID],StrategiesSolutions[Dependency],""))</f>
      </c>
      <c r="H47" s="194">
        <f>IF($C47="","",_xlfn.XLOOKUP($C47,StrategiesSolutions[S&amp;S ID],StrategiesSolutions[Risk Assumption],""))</f>
      </c>
      <c r="I47" s="194">
        <f>IF($C47="","",_xlfn.XLOOKUP($C47,StrategiesSolutions[S&amp;S ID],StrategiesSolutions[Disruption Scenario],""))</f>
      </c>
      <c r="J47" s="194">
        <f>IF($C47="","",_xlfn.XLOOKUP($C47,StrategiesSolutions[S&amp;S ID],StrategiesSolutions[Strategy],""))</f>
      </c>
      <c r="K47" s="194">
        <f>IF($C47="","",_xlfn.LET(_xlpm.x,_xlfn.XLOOKUP($C47,StrategiesSolutions[S&amp;S ID],StrategiesSolutions[Strategy Details / Do nothing Justification],""),IF(_xlpm.x=0,"",_xlpm.x)))</f>
      </c>
      <c r="L47" s="62"/>
      <c r="M47" s="62"/>
      <c r="N47" s="330"/>
      <c r="O47" s="196">
        <f t="shared" si="1"/>
      </c>
      <c r="P47" s="197">
        <f ca="1">IF($C47="","",_xlfn.LET(_xlpm.ssStatus,_xlfn.XLOOKUP($C47,StrategiesSolutions[S&amp;S ID],StrategiesSolutions[Status],""),IF($L47="","Not Scheduled",IF($M47="",IF($L47&lt;TODAY(),"Overdue","Scheduled"),IF($N47="","Result Required",IF(OR($E47="",$F47="",$Q47=""),"Incomplete Exercise",IF($N47="Fail","Failed",IF(OR($N47="Pass with Findings",_xlpm.ssStatus&lt;&gt;"Completed"),"Pass with Findings","Passed"))))))))</f>
      </c>
      <c r="Q47">
        <f t="shared" si="2"/>
      </c>
    </row>
    <row r="48" spans="1:17" x14ac:dyDescent="0.35">
      <c r="A48" s="192">
        <v>44</v>
      </c>
      <c r="B48" s="193">
        <f t="shared" si="3"/>
      </c>
      <c r="C48" s="317"/>
      <c r="D48" s="194">
        <f>IF($C48="","",_xlfn.XLOOKUP($C48,StrategiesSolutions[S&amp;S ID],StrategiesSolutions[Products / Services],""))</f>
      </c>
      <c r="E48" s="61"/>
      <c r="F48" s="61"/>
      <c r="G48" s="195">
        <f>IF($C48="","",_xlfn.XLOOKUP($C48,StrategiesSolutions[S&amp;S ID],StrategiesSolutions[Dependency],""))</f>
      </c>
      <c r="H48" s="194">
        <f>IF($C48="","",_xlfn.XLOOKUP($C48,StrategiesSolutions[S&amp;S ID],StrategiesSolutions[Risk Assumption],""))</f>
      </c>
      <c r="I48" s="194">
        <f>IF($C48="","",_xlfn.XLOOKUP($C48,StrategiesSolutions[S&amp;S ID],StrategiesSolutions[Disruption Scenario],""))</f>
      </c>
      <c r="J48" s="194">
        <f>IF($C48="","",_xlfn.XLOOKUP($C48,StrategiesSolutions[S&amp;S ID],StrategiesSolutions[Strategy],""))</f>
      </c>
      <c r="K48" s="194">
        <f>IF($C48="","",_xlfn.LET(_xlpm.x,_xlfn.XLOOKUP($C48,StrategiesSolutions[S&amp;S ID],StrategiesSolutions[Strategy Details / Do nothing Justification],""),IF(_xlpm.x=0,"",_xlpm.x)))</f>
      </c>
      <c r="L48" s="62"/>
      <c r="M48" s="62"/>
      <c r="N48" s="330"/>
      <c r="O48" s="196">
        <f t="shared" si="1"/>
      </c>
      <c r="P48" s="197">
        <f ca="1">IF($C48="","",_xlfn.LET(_xlpm.ssStatus,_xlfn.XLOOKUP($C48,StrategiesSolutions[S&amp;S ID],StrategiesSolutions[Status],""),IF($L48="","Not Scheduled",IF($M48="",IF($L48&lt;TODAY(),"Overdue","Scheduled"),IF($N48="","Result Required",IF(OR($E48="",$F48="",$Q48=""),"Incomplete Exercise",IF($N48="Fail","Failed",IF(OR($N48="Pass with Findings",_xlpm.ssStatus&lt;&gt;"Completed"),"Pass with Findings","Passed"))))))))</f>
      </c>
      <c r="Q48">
        <f t="shared" si="2"/>
      </c>
    </row>
    <row r="49" spans="1:17" x14ac:dyDescent="0.35">
      <c r="A49" s="192">
        <v>45</v>
      </c>
      <c r="B49" s="193">
        <f t="shared" si="3"/>
      </c>
      <c r="C49" s="317"/>
      <c r="D49" s="194">
        <f>IF($C49="","",_xlfn.XLOOKUP($C49,StrategiesSolutions[S&amp;S ID],StrategiesSolutions[Products / Services],""))</f>
      </c>
      <c r="E49" s="61"/>
      <c r="F49" s="61"/>
      <c r="G49" s="195">
        <f>IF($C49="","",_xlfn.XLOOKUP($C49,StrategiesSolutions[S&amp;S ID],StrategiesSolutions[Dependency],""))</f>
      </c>
      <c r="H49" s="194">
        <f>IF($C49="","",_xlfn.XLOOKUP($C49,StrategiesSolutions[S&amp;S ID],StrategiesSolutions[Risk Assumption],""))</f>
      </c>
      <c r="I49" s="194">
        <f>IF($C49="","",_xlfn.XLOOKUP($C49,StrategiesSolutions[S&amp;S ID],StrategiesSolutions[Disruption Scenario],""))</f>
      </c>
      <c r="J49" s="194">
        <f>IF($C49="","",_xlfn.XLOOKUP($C49,StrategiesSolutions[S&amp;S ID],StrategiesSolutions[Strategy],""))</f>
      </c>
      <c r="K49" s="194">
        <f>IF($C49="","",_xlfn.LET(_xlpm.x,_xlfn.XLOOKUP($C49,StrategiesSolutions[S&amp;S ID],StrategiesSolutions[Strategy Details / Do nothing Justification],""),IF(_xlpm.x=0,"",_xlpm.x)))</f>
      </c>
      <c r="L49" s="62"/>
      <c r="M49" s="62"/>
      <c r="N49" s="330"/>
      <c r="O49" s="196">
        <f t="shared" si="1"/>
      </c>
      <c r="P49" s="197">
        <f ca="1">IF($C49="","",_xlfn.LET(_xlpm.ssStatus,_xlfn.XLOOKUP($C49,StrategiesSolutions[S&amp;S ID],StrategiesSolutions[Status],""),IF($L49="","Not Scheduled",IF($M49="",IF($L49&lt;TODAY(),"Overdue","Scheduled"),IF($N49="","Result Required",IF(OR($E49="",$F49="",$Q49=""),"Incomplete Exercise",IF($N49="Fail","Failed",IF(OR($N49="Pass with Findings",_xlpm.ssStatus&lt;&gt;"Completed"),"Pass with Findings","Passed"))))))))</f>
      </c>
      <c r="Q49">
        <f t="shared" si="2"/>
      </c>
    </row>
    <row r="50" spans="1:17" x14ac:dyDescent="0.35">
      <c r="A50" s="192">
        <v>46</v>
      </c>
      <c r="B50" s="193">
        <f t="shared" si="3"/>
      </c>
      <c r="C50" s="317"/>
      <c r="D50" s="194">
        <f>IF($C50="","",_xlfn.XLOOKUP($C50,StrategiesSolutions[S&amp;S ID],StrategiesSolutions[Products / Services],""))</f>
      </c>
      <c r="E50" s="61"/>
      <c r="F50" s="61"/>
      <c r="G50" s="195">
        <f>IF($C50="","",_xlfn.XLOOKUP($C50,StrategiesSolutions[S&amp;S ID],StrategiesSolutions[Dependency],""))</f>
      </c>
      <c r="H50" s="194">
        <f>IF($C50="","",_xlfn.XLOOKUP($C50,StrategiesSolutions[S&amp;S ID],StrategiesSolutions[Risk Assumption],""))</f>
      </c>
      <c r="I50" s="194">
        <f>IF($C50="","",_xlfn.XLOOKUP($C50,StrategiesSolutions[S&amp;S ID],StrategiesSolutions[Disruption Scenario],""))</f>
      </c>
      <c r="J50" s="194">
        <f>IF($C50="","",_xlfn.XLOOKUP($C50,StrategiesSolutions[S&amp;S ID],StrategiesSolutions[Strategy],""))</f>
      </c>
      <c r="K50" s="194">
        <f>IF($C50="","",_xlfn.LET(_xlpm.x,_xlfn.XLOOKUP($C50,StrategiesSolutions[S&amp;S ID],StrategiesSolutions[Strategy Details / Do nothing Justification],""),IF(_xlpm.x=0,"",_xlpm.x)))</f>
      </c>
      <c r="L50" s="62"/>
      <c r="M50" s="62"/>
      <c r="N50" s="330"/>
      <c r="O50" s="196">
        <f t="shared" si="1"/>
      </c>
      <c r="P50" s="197">
        <f ca="1">IF($C50="","",_xlfn.LET(_xlpm.ssStatus,_xlfn.XLOOKUP($C50,StrategiesSolutions[S&amp;S ID],StrategiesSolutions[Status],""),IF($L50="","Not Scheduled",IF($M50="",IF($L50&lt;TODAY(),"Overdue","Scheduled"),IF($N50="","Result Required",IF(OR($E50="",$F50="",$Q50=""),"Incomplete Exercise",IF($N50="Fail","Failed",IF(OR($N50="Pass with Findings",_xlpm.ssStatus&lt;&gt;"Completed"),"Pass with Findings","Passed"))))))))</f>
      </c>
      <c r="Q50">
        <f t="shared" si="2"/>
      </c>
    </row>
    <row r="51" spans="1:17" x14ac:dyDescent="0.35">
      <c r="A51" s="192">
        <v>47</v>
      </c>
      <c r="B51" s="193">
        <f t="shared" si="3"/>
      </c>
      <c r="C51" s="317"/>
      <c r="D51" s="194">
        <f>IF($C51="","",_xlfn.XLOOKUP($C51,StrategiesSolutions[S&amp;S ID],StrategiesSolutions[Products / Services],""))</f>
      </c>
      <c r="E51" s="61"/>
      <c r="F51" s="61"/>
      <c r="G51" s="195">
        <f>IF($C51="","",_xlfn.XLOOKUP($C51,StrategiesSolutions[S&amp;S ID],StrategiesSolutions[Dependency],""))</f>
      </c>
      <c r="H51" s="194">
        <f>IF($C51="","",_xlfn.XLOOKUP($C51,StrategiesSolutions[S&amp;S ID],StrategiesSolutions[Risk Assumption],""))</f>
      </c>
      <c r="I51" s="194">
        <f>IF($C51="","",_xlfn.XLOOKUP($C51,StrategiesSolutions[S&amp;S ID],StrategiesSolutions[Disruption Scenario],""))</f>
      </c>
      <c r="J51" s="194">
        <f>IF($C51="","",_xlfn.XLOOKUP($C51,StrategiesSolutions[S&amp;S ID],StrategiesSolutions[Strategy],""))</f>
      </c>
      <c r="K51" s="194">
        <f>IF($C51="","",_xlfn.LET(_xlpm.x,_xlfn.XLOOKUP($C51,StrategiesSolutions[S&amp;S ID],StrategiesSolutions[Strategy Details / Do nothing Justification],""),IF(_xlpm.x=0,"",_xlpm.x)))</f>
      </c>
      <c r="L51" s="62"/>
      <c r="M51" s="62"/>
      <c r="N51" s="330"/>
      <c r="O51" s="196">
        <f t="shared" si="1"/>
      </c>
      <c r="P51" s="197">
        <f ca="1">IF($C51="","",_xlfn.LET(_xlpm.ssStatus,_xlfn.XLOOKUP($C51,StrategiesSolutions[S&amp;S ID],StrategiesSolutions[Status],""),IF($L51="","Not Scheduled",IF($M51="",IF($L51&lt;TODAY(),"Overdue","Scheduled"),IF($N51="","Result Required",IF(OR($E51="",$F51="",$Q51=""),"Incomplete Exercise",IF($N51="Fail","Failed",IF(OR($N51="Pass with Findings",_xlpm.ssStatus&lt;&gt;"Completed"),"Pass with Findings","Passed"))))))))</f>
      </c>
      <c r="Q51">
        <f t="shared" si="2"/>
      </c>
    </row>
    <row r="52" spans="1:17" x14ac:dyDescent="0.35">
      <c r="A52" s="192">
        <v>48</v>
      </c>
      <c r="B52" s="193">
        <f t="shared" si="3"/>
      </c>
      <c r="C52" s="317"/>
      <c r="D52" s="194">
        <f>IF($C52="","",_xlfn.XLOOKUP($C52,StrategiesSolutions[S&amp;S ID],StrategiesSolutions[Products / Services],""))</f>
      </c>
      <c r="E52" s="61"/>
      <c r="F52" s="61"/>
      <c r="G52" s="195">
        <f>IF($C52="","",_xlfn.XLOOKUP($C52,StrategiesSolutions[S&amp;S ID],StrategiesSolutions[Dependency],""))</f>
      </c>
      <c r="H52" s="194">
        <f>IF($C52="","",_xlfn.XLOOKUP($C52,StrategiesSolutions[S&amp;S ID],StrategiesSolutions[Risk Assumption],""))</f>
      </c>
      <c r="I52" s="194">
        <f>IF($C52="","",_xlfn.XLOOKUP($C52,StrategiesSolutions[S&amp;S ID],StrategiesSolutions[Disruption Scenario],""))</f>
      </c>
      <c r="J52" s="194">
        <f>IF($C52="","",_xlfn.XLOOKUP($C52,StrategiesSolutions[S&amp;S ID],StrategiesSolutions[Strategy],""))</f>
      </c>
      <c r="K52" s="194">
        <f>IF($C52="","",_xlfn.LET(_xlpm.x,_xlfn.XLOOKUP($C52,StrategiesSolutions[S&amp;S ID],StrategiesSolutions[Strategy Details / Do nothing Justification],""),IF(_xlpm.x=0,"",_xlpm.x)))</f>
      </c>
      <c r="L52" s="62"/>
      <c r="M52" s="62"/>
      <c r="N52" s="330"/>
      <c r="O52" s="196">
        <f t="shared" si="1"/>
      </c>
      <c r="P52" s="197">
        <f ca="1">IF($C52="","",_xlfn.LET(_xlpm.ssStatus,_xlfn.XLOOKUP($C52,StrategiesSolutions[S&amp;S ID],StrategiesSolutions[Status],""),IF($L52="","Not Scheduled",IF($M52="",IF($L52&lt;TODAY(),"Overdue","Scheduled"),IF($N52="","Result Required",IF(OR($E52="",$F52="",$Q52=""),"Incomplete Exercise",IF($N52="Fail","Failed",IF(OR($N52="Pass with Findings",_xlpm.ssStatus&lt;&gt;"Completed"),"Pass with Findings","Passed"))))))))</f>
      </c>
      <c r="Q52">
        <f t="shared" si="2"/>
      </c>
    </row>
    <row r="53" spans="1:17" x14ac:dyDescent="0.35">
      <c r="A53" s="192">
        <v>49</v>
      </c>
      <c r="B53" s="193">
        <f t="shared" si="3"/>
      </c>
      <c r="C53" s="317"/>
      <c r="D53" s="194">
        <f>IF($C53="","",_xlfn.XLOOKUP($C53,StrategiesSolutions[S&amp;S ID],StrategiesSolutions[Products / Services],""))</f>
      </c>
      <c r="E53" s="61"/>
      <c r="F53" s="61"/>
      <c r="G53" s="195">
        <f>IF($C53="","",_xlfn.XLOOKUP($C53,StrategiesSolutions[S&amp;S ID],StrategiesSolutions[Dependency],""))</f>
      </c>
      <c r="H53" s="194">
        <f>IF($C53="","",_xlfn.XLOOKUP($C53,StrategiesSolutions[S&amp;S ID],StrategiesSolutions[Risk Assumption],""))</f>
      </c>
      <c r="I53" s="194">
        <f>IF($C53="","",_xlfn.XLOOKUP($C53,StrategiesSolutions[S&amp;S ID],StrategiesSolutions[Disruption Scenario],""))</f>
      </c>
      <c r="J53" s="194">
        <f>IF($C53="","",_xlfn.XLOOKUP($C53,StrategiesSolutions[S&amp;S ID],StrategiesSolutions[Strategy],""))</f>
      </c>
      <c r="K53" s="194">
        <f>IF($C53="","",_xlfn.LET(_xlpm.x,_xlfn.XLOOKUP($C53,StrategiesSolutions[S&amp;S ID],StrategiesSolutions[Strategy Details / Do nothing Justification],""),IF(_xlpm.x=0,"",_xlpm.x)))</f>
      </c>
      <c r="L53" s="62"/>
      <c r="M53" s="62"/>
      <c r="N53" s="330"/>
      <c r="O53" s="196">
        <f t="shared" si="1"/>
      </c>
      <c r="P53" s="197">
        <f ca="1">IF($C53="","",_xlfn.LET(_xlpm.ssStatus,_xlfn.XLOOKUP($C53,StrategiesSolutions[S&amp;S ID],StrategiesSolutions[Status],""),IF($L53="","Not Scheduled",IF($M53="",IF($L53&lt;TODAY(),"Overdue","Scheduled"),IF($N53="","Result Required",IF(OR($E53="",$F53="",$Q53=""),"Incomplete Exercise",IF($N53="Fail","Failed",IF(OR($N53="Pass with Findings",_xlpm.ssStatus&lt;&gt;"Completed"),"Pass with Findings","Passed"))))))))</f>
      </c>
      <c r="Q53">
        <f t="shared" si="2"/>
      </c>
    </row>
    <row r="54" spans="1:17" x14ac:dyDescent="0.35">
      <c r="A54" s="192">
        <v>50</v>
      </c>
      <c r="B54" s="193">
        <f t="shared" si="3"/>
      </c>
      <c r="C54" s="317"/>
      <c r="D54" s="194">
        <f>IF($C54="","",_xlfn.XLOOKUP($C54,StrategiesSolutions[S&amp;S ID],StrategiesSolutions[Products / Services],""))</f>
      </c>
      <c r="E54" s="61"/>
      <c r="F54" s="61"/>
      <c r="G54" s="195">
        <f>IF($C54="","",_xlfn.XLOOKUP($C54,StrategiesSolutions[S&amp;S ID],StrategiesSolutions[Dependency],""))</f>
      </c>
      <c r="H54" s="194">
        <f>IF($C54="","",_xlfn.XLOOKUP($C54,StrategiesSolutions[S&amp;S ID],StrategiesSolutions[Risk Assumption],""))</f>
      </c>
      <c r="I54" s="194">
        <f>IF($C54="","",_xlfn.XLOOKUP($C54,StrategiesSolutions[S&amp;S ID],StrategiesSolutions[Disruption Scenario],""))</f>
      </c>
      <c r="J54" s="194">
        <f>IF($C54="","",_xlfn.XLOOKUP($C54,StrategiesSolutions[S&amp;S ID],StrategiesSolutions[Strategy],""))</f>
      </c>
      <c r="K54" s="194">
        <f>IF($C54="","",_xlfn.LET(_xlpm.x,_xlfn.XLOOKUP($C54,StrategiesSolutions[S&amp;S ID],StrategiesSolutions[Strategy Details / Do nothing Justification],""),IF(_xlpm.x=0,"",_xlpm.x)))</f>
      </c>
      <c r="L54" s="62"/>
      <c r="M54" s="62"/>
      <c r="N54" s="330"/>
      <c r="O54" s="196">
        <f t="shared" si="1"/>
      </c>
      <c r="P54" s="197">
        <f ca="1">IF($C54="","",_xlfn.LET(_xlpm.ssStatus,_xlfn.XLOOKUP($C54,StrategiesSolutions[S&amp;S ID],StrategiesSolutions[Status],""),IF($L54="","Not Scheduled",IF($M54="",IF($L54&lt;TODAY(),"Overdue","Scheduled"),IF($N54="","Result Required",IF(OR($E54="",$F54="",$Q54=""),"Incomplete Exercise",IF($N54="Fail","Failed",IF(OR($N54="Pass with Findings",_xlpm.ssStatus&lt;&gt;"Completed"),"Pass with Findings","Passed"))))))))</f>
      </c>
      <c r="Q54">
        <f t="shared" si="2"/>
      </c>
    </row>
    <row r="55" spans="1:17" x14ac:dyDescent="0.35">
      <c r="A55" s="192">
        <v>51</v>
      </c>
      <c r="B55" s="193">
        <f t="shared" si="3"/>
      </c>
      <c r="C55" s="317"/>
      <c r="D55" s="194">
        <f>IF($C55="","",_xlfn.XLOOKUP($C55,StrategiesSolutions[S&amp;S ID],StrategiesSolutions[Products / Services],""))</f>
      </c>
      <c r="E55" s="61"/>
      <c r="F55" s="61"/>
      <c r="G55" s="195">
        <f>IF($C55="","",_xlfn.XLOOKUP($C55,StrategiesSolutions[S&amp;S ID],StrategiesSolutions[Dependency],""))</f>
      </c>
      <c r="H55" s="194">
        <f>IF($C55="","",_xlfn.XLOOKUP($C55,StrategiesSolutions[S&amp;S ID],StrategiesSolutions[Risk Assumption],""))</f>
      </c>
      <c r="I55" s="194">
        <f>IF($C55="","",_xlfn.XLOOKUP($C55,StrategiesSolutions[S&amp;S ID],StrategiesSolutions[Disruption Scenario],""))</f>
      </c>
      <c r="J55" s="194">
        <f>IF($C55="","",_xlfn.XLOOKUP($C55,StrategiesSolutions[S&amp;S ID],StrategiesSolutions[Strategy],""))</f>
      </c>
      <c r="K55" s="194">
        <f>IF($C55="","",_xlfn.LET(_xlpm.x,_xlfn.XLOOKUP($C55,StrategiesSolutions[S&amp;S ID],StrategiesSolutions[Strategy Details / Do nothing Justification],""),IF(_xlpm.x=0,"",_xlpm.x)))</f>
      </c>
      <c r="L55" s="62"/>
      <c r="M55" s="62"/>
      <c r="N55" s="330"/>
      <c r="O55" s="196">
        <f t="shared" si="1"/>
      </c>
      <c r="P55" s="197">
        <f ca="1">IF($C55="","",_xlfn.LET(_xlpm.ssStatus,_xlfn.XLOOKUP($C55,StrategiesSolutions[S&amp;S ID],StrategiesSolutions[Status],""),IF($L55="","Not Scheduled",IF($M55="",IF($L55&lt;TODAY(),"Overdue","Scheduled"),IF($N55="","Result Required",IF(OR($E55="",$F55="",$Q55=""),"Incomplete Exercise",IF($N55="Fail","Failed",IF(OR($N55="Pass with Findings",_xlpm.ssStatus&lt;&gt;"Completed"),"Pass with Findings","Passed"))))))))</f>
      </c>
      <c r="Q55">
        <f t="shared" si="2"/>
      </c>
    </row>
    <row r="56" spans="1:17" x14ac:dyDescent="0.35">
      <c r="A56" s="192">
        <v>52</v>
      </c>
      <c r="B56" s="193">
        <f t="shared" si="3"/>
      </c>
      <c r="C56" s="317"/>
      <c r="D56" s="194">
        <f>IF($C56="","",_xlfn.XLOOKUP($C56,StrategiesSolutions[S&amp;S ID],StrategiesSolutions[Products / Services],""))</f>
      </c>
      <c r="E56" s="61"/>
      <c r="F56" s="61"/>
      <c r="G56" s="195">
        <f>IF($C56="","",_xlfn.XLOOKUP($C56,StrategiesSolutions[S&amp;S ID],StrategiesSolutions[Dependency],""))</f>
      </c>
      <c r="H56" s="194">
        <f>IF($C56="","",_xlfn.XLOOKUP($C56,StrategiesSolutions[S&amp;S ID],StrategiesSolutions[Risk Assumption],""))</f>
      </c>
      <c r="I56" s="194">
        <f>IF($C56="","",_xlfn.XLOOKUP($C56,StrategiesSolutions[S&amp;S ID],StrategiesSolutions[Disruption Scenario],""))</f>
      </c>
      <c r="J56" s="194">
        <f>IF($C56="","",_xlfn.XLOOKUP($C56,StrategiesSolutions[S&amp;S ID],StrategiesSolutions[Strategy],""))</f>
      </c>
      <c r="K56" s="194">
        <f>IF($C56="","",_xlfn.LET(_xlpm.x,_xlfn.XLOOKUP($C56,StrategiesSolutions[S&amp;S ID],StrategiesSolutions[Strategy Details / Do nothing Justification],""),IF(_xlpm.x=0,"",_xlpm.x)))</f>
      </c>
      <c r="L56" s="62"/>
      <c r="M56" s="62"/>
      <c r="N56" s="330"/>
      <c r="O56" s="196">
        <f t="shared" si="1"/>
      </c>
      <c r="P56" s="197">
        <f ca="1">IF($C56="","",_xlfn.LET(_xlpm.ssStatus,_xlfn.XLOOKUP($C56,StrategiesSolutions[S&amp;S ID],StrategiesSolutions[Status],""),IF($L56="","Not Scheduled",IF($M56="",IF($L56&lt;TODAY(),"Overdue","Scheduled"),IF($N56="","Result Required",IF(OR($E56="",$F56="",$Q56=""),"Incomplete Exercise",IF($N56="Fail","Failed",IF(OR($N56="Pass with Findings",_xlpm.ssStatus&lt;&gt;"Completed"),"Pass with Findings","Passed"))))))))</f>
      </c>
      <c r="Q56">
        <f t="shared" si="2"/>
      </c>
    </row>
    <row r="57" spans="1:17" x14ac:dyDescent="0.35">
      <c r="A57" s="192">
        <v>53</v>
      </c>
      <c r="B57" s="193">
        <f t="shared" si="3"/>
      </c>
      <c r="C57" s="317"/>
      <c r="D57" s="194">
        <f>IF($C57="","",_xlfn.XLOOKUP($C57,StrategiesSolutions[S&amp;S ID],StrategiesSolutions[Products / Services],""))</f>
      </c>
      <c r="E57" s="61"/>
      <c r="F57" s="61"/>
      <c r="G57" s="195">
        <f>IF($C57="","",_xlfn.XLOOKUP($C57,StrategiesSolutions[S&amp;S ID],StrategiesSolutions[Dependency],""))</f>
      </c>
      <c r="H57" s="194">
        <f>IF($C57="","",_xlfn.XLOOKUP($C57,StrategiesSolutions[S&amp;S ID],StrategiesSolutions[Risk Assumption],""))</f>
      </c>
      <c r="I57" s="194">
        <f>IF($C57="","",_xlfn.XLOOKUP($C57,StrategiesSolutions[S&amp;S ID],StrategiesSolutions[Disruption Scenario],""))</f>
      </c>
      <c r="J57" s="194">
        <f>IF($C57="","",_xlfn.XLOOKUP($C57,StrategiesSolutions[S&amp;S ID],StrategiesSolutions[Strategy],""))</f>
      </c>
      <c r="K57" s="194">
        <f>IF($C57="","",_xlfn.LET(_xlpm.x,_xlfn.XLOOKUP($C57,StrategiesSolutions[S&amp;S ID],StrategiesSolutions[Strategy Details / Do nothing Justification],""),IF(_xlpm.x=0,"",_xlpm.x)))</f>
      </c>
      <c r="L57" s="62"/>
      <c r="M57" s="62"/>
      <c r="N57" s="330"/>
      <c r="O57" s="196">
        <f t="shared" si="1"/>
      </c>
      <c r="P57" s="197">
        <f ca="1">IF($C57="","",_xlfn.LET(_xlpm.ssStatus,_xlfn.XLOOKUP($C57,StrategiesSolutions[S&amp;S ID],StrategiesSolutions[Status],""),IF($L57="","Not Scheduled",IF($M57="",IF($L57&lt;TODAY(),"Overdue","Scheduled"),IF($N57="","Result Required",IF(OR($E57="",$F57="",$Q57=""),"Incomplete Exercise",IF($N57="Fail","Failed",IF(OR($N57="Pass with Findings",_xlpm.ssStatus&lt;&gt;"Completed"),"Pass with Findings","Passed"))))))))</f>
      </c>
      <c r="Q57">
        <f t="shared" si="2"/>
      </c>
    </row>
    <row r="58" spans="1:17" x14ac:dyDescent="0.35">
      <c r="A58" s="192">
        <v>54</v>
      </c>
      <c r="B58" s="193">
        <f t="shared" si="3"/>
      </c>
      <c r="C58" s="317"/>
      <c r="D58" s="194">
        <f>IF($C58="","",_xlfn.XLOOKUP($C58,StrategiesSolutions[S&amp;S ID],StrategiesSolutions[Products / Services],""))</f>
      </c>
      <c r="E58" s="61"/>
      <c r="F58" s="61"/>
      <c r="G58" s="195">
        <f>IF($C58="","",_xlfn.XLOOKUP($C58,StrategiesSolutions[S&amp;S ID],StrategiesSolutions[Dependency],""))</f>
      </c>
      <c r="H58" s="194">
        <f>IF($C58="","",_xlfn.XLOOKUP($C58,StrategiesSolutions[S&amp;S ID],StrategiesSolutions[Risk Assumption],""))</f>
      </c>
      <c r="I58" s="194">
        <f>IF($C58="","",_xlfn.XLOOKUP($C58,StrategiesSolutions[S&amp;S ID],StrategiesSolutions[Disruption Scenario],""))</f>
      </c>
      <c r="J58" s="194">
        <f>IF($C58="","",_xlfn.XLOOKUP($C58,StrategiesSolutions[S&amp;S ID],StrategiesSolutions[Strategy],""))</f>
      </c>
      <c r="K58" s="194">
        <f>IF($C58="","",_xlfn.LET(_xlpm.x,_xlfn.XLOOKUP($C58,StrategiesSolutions[S&amp;S ID],StrategiesSolutions[Strategy Details / Do nothing Justification],""),IF(_xlpm.x=0,"",_xlpm.x)))</f>
      </c>
      <c r="L58" s="62"/>
      <c r="M58" s="62"/>
      <c r="N58" s="330"/>
      <c r="O58" s="196">
        <f t="shared" si="1"/>
      </c>
      <c r="P58" s="197">
        <f ca="1">IF($C58="","",_xlfn.LET(_xlpm.ssStatus,_xlfn.XLOOKUP($C58,StrategiesSolutions[S&amp;S ID],StrategiesSolutions[Status],""),IF($L58="","Not Scheduled",IF($M58="",IF($L58&lt;TODAY(),"Overdue","Scheduled"),IF($N58="","Result Required",IF(OR($E58="",$F58="",$Q58=""),"Incomplete Exercise",IF($N58="Fail","Failed",IF(OR($N58="Pass with Findings",_xlpm.ssStatus&lt;&gt;"Completed"),"Pass with Findings","Passed"))))))))</f>
      </c>
      <c r="Q58">
        <f t="shared" si="2"/>
      </c>
    </row>
    <row r="59" spans="1:17" x14ac:dyDescent="0.35">
      <c r="A59" s="192">
        <v>55</v>
      </c>
      <c r="B59" s="193">
        <f t="shared" si="3"/>
      </c>
      <c r="C59" s="317"/>
      <c r="D59" s="194">
        <f>IF($C59="","",_xlfn.XLOOKUP($C59,StrategiesSolutions[S&amp;S ID],StrategiesSolutions[Products / Services],""))</f>
      </c>
      <c r="E59" s="61"/>
      <c r="F59" s="61"/>
      <c r="G59" s="195">
        <f>IF($C59="","",_xlfn.XLOOKUP($C59,StrategiesSolutions[S&amp;S ID],StrategiesSolutions[Dependency],""))</f>
      </c>
      <c r="H59" s="194">
        <f>IF($C59="","",_xlfn.XLOOKUP($C59,StrategiesSolutions[S&amp;S ID],StrategiesSolutions[Risk Assumption],""))</f>
      </c>
      <c r="I59" s="194">
        <f>IF($C59="","",_xlfn.XLOOKUP($C59,StrategiesSolutions[S&amp;S ID],StrategiesSolutions[Disruption Scenario],""))</f>
      </c>
      <c r="J59" s="194">
        <f>IF($C59="","",_xlfn.XLOOKUP($C59,StrategiesSolutions[S&amp;S ID],StrategiesSolutions[Strategy],""))</f>
      </c>
      <c r="K59" s="194">
        <f>IF($C59="","",_xlfn.LET(_xlpm.x,_xlfn.XLOOKUP($C59,StrategiesSolutions[S&amp;S ID],StrategiesSolutions[Strategy Details / Do nothing Justification],""),IF(_xlpm.x=0,"",_xlpm.x)))</f>
      </c>
      <c r="L59" s="62"/>
      <c r="M59" s="62"/>
      <c r="N59" s="330"/>
      <c r="O59" s="196">
        <f t="shared" si="1"/>
      </c>
      <c r="P59" s="197">
        <f ca="1">IF($C59="","",_xlfn.LET(_xlpm.ssStatus,_xlfn.XLOOKUP($C59,StrategiesSolutions[S&amp;S ID],StrategiesSolutions[Status],""),IF($L59="","Not Scheduled",IF($M59="",IF($L59&lt;TODAY(),"Overdue","Scheduled"),IF($N59="","Result Required",IF(OR($E59="",$F59="",$Q59=""),"Incomplete Exercise",IF($N59="Fail","Failed",IF(OR($N59="Pass with Findings",_xlpm.ssStatus&lt;&gt;"Completed"),"Pass with Findings","Passed"))))))))</f>
      </c>
      <c r="Q59">
        <f t="shared" si="2"/>
      </c>
    </row>
    <row r="60" spans="1:17" x14ac:dyDescent="0.35">
      <c r="A60" s="192">
        <v>56</v>
      </c>
      <c r="B60" s="193">
        <f t="shared" si="3"/>
      </c>
      <c r="C60" s="317"/>
      <c r="D60" s="194">
        <f>IF($C60="","",_xlfn.XLOOKUP($C60,StrategiesSolutions[S&amp;S ID],StrategiesSolutions[Products / Services],""))</f>
      </c>
      <c r="E60" s="61"/>
      <c r="F60" s="61"/>
      <c r="G60" s="195">
        <f>IF($C60="","",_xlfn.XLOOKUP($C60,StrategiesSolutions[S&amp;S ID],StrategiesSolutions[Dependency],""))</f>
      </c>
      <c r="H60" s="194">
        <f>IF($C60="","",_xlfn.XLOOKUP($C60,StrategiesSolutions[S&amp;S ID],StrategiesSolutions[Risk Assumption],""))</f>
      </c>
      <c r="I60" s="194">
        <f>IF($C60="","",_xlfn.XLOOKUP($C60,StrategiesSolutions[S&amp;S ID],StrategiesSolutions[Disruption Scenario],""))</f>
      </c>
      <c r="J60" s="194">
        <f>IF($C60="","",_xlfn.XLOOKUP($C60,StrategiesSolutions[S&amp;S ID],StrategiesSolutions[Strategy],""))</f>
      </c>
      <c r="K60" s="194">
        <f>IF($C60="","",_xlfn.LET(_xlpm.x,_xlfn.XLOOKUP($C60,StrategiesSolutions[S&amp;S ID],StrategiesSolutions[Strategy Details / Do nothing Justification],""),IF(_xlpm.x=0,"",_xlpm.x)))</f>
      </c>
      <c r="L60" s="62"/>
      <c r="M60" s="62"/>
      <c r="N60" s="330"/>
      <c r="O60" s="196">
        <f t="shared" si="1"/>
      </c>
      <c r="P60" s="197">
        <f ca="1">IF($C60="","",_xlfn.LET(_xlpm.ssStatus,_xlfn.XLOOKUP($C60,StrategiesSolutions[S&amp;S ID],StrategiesSolutions[Status],""),IF($L60="","Not Scheduled",IF($M60="",IF($L60&lt;TODAY(),"Overdue","Scheduled"),IF($N60="","Result Required",IF(OR($E60="",$F60="",$Q60=""),"Incomplete Exercise",IF($N60="Fail","Failed",IF(OR($N60="Pass with Findings",_xlpm.ssStatus&lt;&gt;"Completed"),"Pass with Findings","Passed"))))))))</f>
      </c>
      <c r="Q60">
        <f t="shared" si="2"/>
      </c>
    </row>
    <row r="61" spans="1:17" x14ac:dyDescent="0.35">
      <c r="A61" s="192">
        <v>57</v>
      </c>
      <c r="B61" s="193">
        <f t="shared" si="3"/>
      </c>
      <c r="C61" s="317"/>
      <c r="D61" s="194">
        <f>IF($C61="","",_xlfn.XLOOKUP($C61,StrategiesSolutions[S&amp;S ID],StrategiesSolutions[Products / Services],""))</f>
      </c>
      <c r="E61" s="61"/>
      <c r="F61" s="61"/>
      <c r="G61" s="195">
        <f>IF($C61="","",_xlfn.XLOOKUP($C61,StrategiesSolutions[S&amp;S ID],StrategiesSolutions[Dependency],""))</f>
      </c>
      <c r="H61" s="194">
        <f>IF($C61="","",_xlfn.XLOOKUP($C61,StrategiesSolutions[S&amp;S ID],StrategiesSolutions[Risk Assumption],""))</f>
      </c>
      <c r="I61" s="194">
        <f>IF($C61="","",_xlfn.XLOOKUP($C61,StrategiesSolutions[S&amp;S ID],StrategiesSolutions[Disruption Scenario],""))</f>
      </c>
      <c r="J61" s="194">
        <f>IF($C61="","",_xlfn.XLOOKUP($C61,StrategiesSolutions[S&amp;S ID],StrategiesSolutions[Strategy],""))</f>
      </c>
      <c r="K61" s="194">
        <f>IF($C61="","",_xlfn.LET(_xlpm.x,_xlfn.XLOOKUP($C61,StrategiesSolutions[S&amp;S ID],StrategiesSolutions[Strategy Details / Do nothing Justification],""),IF(_xlpm.x=0,"",_xlpm.x)))</f>
      </c>
      <c r="L61" s="62"/>
      <c r="M61" s="62"/>
      <c r="N61" s="330"/>
      <c r="O61" s="196">
        <f t="shared" si="1"/>
      </c>
      <c r="P61" s="197">
        <f ca="1">IF($C61="","",_xlfn.LET(_xlpm.ssStatus,_xlfn.XLOOKUP($C61,StrategiesSolutions[S&amp;S ID],StrategiesSolutions[Status],""),IF($L61="","Not Scheduled",IF($M61="",IF($L61&lt;TODAY(),"Overdue","Scheduled"),IF($N61="","Result Required",IF(OR($E61="",$F61="",$Q61=""),"Incomplete Exercise",IF($N61="Fail","Failed",IF(OR($N61="Pass with Findings",_xlpm.ssStatus&lt;&gt;"Completed"),"Pass with Findings","Passed"))))))))</f>
      </c>
      <c r="Q61">
        <f t="shared" si="2"/>
      </c>
    </row>
    <row r="62" spans="1:17" x14ac:dyDescent="0.35">
      <c r="A62" s="192">
        <v>58</v>
      </c>
      <c r="B62" s="193">
        <f t="shared" si="3"/>
      </c>
      <c r="C62" s="317"/>
      <c r="D62" s="194">
        <f>IF($C62="","",_xlfn.XLOOKUP($C62,StrategiesSolutions[S&amp;S ID],StrategiesSolutions[Products / Services],""))</f>
      </c>
      <c r="E62" s="61"/>
      <c r="F62" s="61"/>
      <c r="G62" s="195">
        <f>IF($C62="","",_xlfn.XLOOKUP($C62,StrategiesSolutions[S&amp;S ID],StrategiesSolutions[Dependency],""))</f>
      </c>
      <c r="H62" s="194">
        <f>IF($C62="","",_xlfn.XLOOKUP($C62,StrategiesSolutions[S&amp;S ID],StrategiesSolutions[Risk Assumption],""))</f>
      </c>
      <c r="I62" s="194">
        <f>IF($C62="","",_xlfn.XLOOKUP($C62,StrategiesSolutions[S&amp;S ID],StrategiesSolutions[Disruption Scenario],""))</f>
      </c>
      <c r="J62" s="194">
        <f>IF($C62="","",_xlfn.XLOOKUP($C62,StrategiesSolutions[S&amp;S ID],StrategiesSolutions[Strategy],""))</f>
      </c>
      <c r="K62" s="194">
        <f>IF($C62="","",_xlfn.LET(_xlpm.x,_xlfn.XLOOKUP($C62,StrategiesSolutions[S&amp;S ID],StrategiesSolutions[Strategy Details / Do nothing Justification],""),IF(_xlpm.x=0,"",_xlpm.x)))</f>
      </c>
      <c r="L62" s="62"/>
      <c r="M62" s="62"/>
      <c r="N62" s="330"/>
      <c r="O62" s="196">
        <f t="shared" si="1"/>
      </c>
      <c r="P62" s="197">
        <f ca="1">IF($C62="","",_xlfn.LET(_xlpm.ssStatus,_xlfn.XLOOKUP($C62,StrategiesSolutions[S&amp;S ID],StrategiesSolutions[Status],""),IF($L62="","Not Scheduled",IF($M62="",IF($L62&lt;TODAY(),"Overdue","Scheduled"),IF($N62="","Result Required",IF(OR($E62="",$F62="",$Q62=""),"Incomplete Exercise",IF($N62="Fail","Failed",IF(OR($N62="Pass with Findings",_xlpm.ssStatus&lt;&gt;"Completed"),"Pass with Findings","Passed"))))))))</f>
      </c>
      <c r="Q62">
        <f t="shared" si="2"/>
      </c>
    </row>
    <row r="63" spans="1:17" x14ac:dyDescent="0.35">
      <c r="A63" s="192">
        <v>59</v>
      </c>
      <c r="B63" s="193">
        <f t="shared" si="3"/>
      </c>
      <c r="C63" s="317"/>
      <c r="D63" s="194">
        <f>IF($C63="","",_xlfn.XLOOKUP($C63,StrategiesSolutions[S&amp;S ID],StrategiesSolutions[Products / Services],""))</f>
      </c>
      <c r="E63" s="61"/>
      <c r="F63" s="61"/>
      <c r="G63" s="195">
        <f>IF($C63="","",_xlfn.XLOOKUP($C63,StrategiesSolutions[S&amp;S ID],StrategiesSolutions[Dependency],""))</f>
      </c>
      <c r="H63" s="194">
        <f>IF($C63="","",_xlfn.XLOOKUP($C63,StrategiesSolutions[S&amp;S ID],StrategiesSolutions[Risk Assumption],""))</f>
      </c>
      <c r="I63" s="194">
        <f>IF($C63="","",_xlfn.XLOOKUP($C63,StrategiesSolutions[S&amp;S ID],StrategiesSolutions[Disruption Scenario],""))</f>
      </c>
      <c r="J63" s="194">
        <f>IF($C63="","",_xlfn.XLOOKUP($C63,StrategiesSolutions[S&amp;S ID],StrategiesSolutions[Strategy],""))</f>
      </c>
      <c r="K63" s="194">
        <f>IF($C63="","",_xlfn.LET(_xlpm.x,_xlfn.XLOOKUP($C63,StrategiesSolutions[S&amp;S ID],StrategiesSolutions[Strategy Details / Do nothing Justification],""),IF(_xlpm.x=0,"",_xlpm.x)))</f>
      </c>
      <c r="L63" s="62"/>
      <c r="M63" s="62"/>
      <c r="N63" s="330"/>
      <c r="O63" s="196">
        <f t="shared" si="1"/>
      </c>
      <c r="P63" s="197">
        <f ca="1">IF($C63="","",_xlfn.LET(_xlpm.ssStatus,_xlfn.XLOOKUP($C63,StrategiesSolutions[S&amp;S ID],StrategiesSolutions[Status],""),IF($L63="","Not Scheduled",IF($M63="",IF($L63&lt;TODAY(),"Overdue","Scheduled"),IF($N63="","Result Required",IF(OR($E63="",$F63="",$Q63=""),"Incomplete Exercise",IF($N63="Fail","Failed",IF(OR($N63="Pass with Findings",_xlpm.ssStatus&lt;&gt;"Completed"),"Pass with Findings","Passed"))))))))</f>
      </c>
      <c r="Q63">
        <f t="shared" si="2"/>
      </c>
    </row>
    <row r="64" spans="1:17" x14ac:dyDescent="0.35">
      <c r="A64" s="192">
        <v>60</v>
      </c>
      <c r="B64" s="193">
        <f t="shared" si="3"/>
      </c>
      <c r="C64" s="317"/>
      <c r="D64" s="194">
        <f>IF($C64="","",_xlfn.XLOOKUP($C64,StrategiesSolutions[S&amp;S ID],StrategiesSolutions[Products / Services],""))</f>
      </c>
      <c r="E64" s="61"/>
      <c r="F64" s="61"/>
      <c r="G64" s="195">
        <f>IF($C64="","",_xlfn.XLOOKUP($C64,StrategiesSolutions[S&amp;S ID],StrategiesSolutions[Dependency],""))</f>
      </c>
      <c r="H64" s="194">
        <f>IF($C64="","",_xlfn.XLOOKUP($C64,StrategiesSolutions[S&amp;S ID],StrategiesSolutions[Risk Assumption],""))</f>
      </c>
      <c r="I64" s="194">
        <f>IF($C64="","",_xlfn.XLOOKUP($C64,StrategiesSolutions[S&amp;S ID],StrategiesSolutions[Disruption Scenario],""))</f>
      </c>
      <c r="J64" s="194">
        <f>IF($C64="","",_xlfn.XLOOKUP($C64,StrategiesSolutions[S&amp;S ID],StrategiesSolutions[Strategy],""))</f>
      </c>
      <c r="K64" s="194">
        <f>IF($C64="","",_xlfn.LET(_xlpm.x,_xlfn.XLOOKUP($C64,StrategiesSolutions[S&amp;S ID],StrategiesSolutions[Strategy Details / Do nothing Justification],""),IF(_xlpm.x=0,"",_xlpm.x)))</f>
      </c>
      <c r="L64" s="62"/>
      <c r="M64" s="62"/>
      <c r="N64" s="330"/>
      <c r="O64" s="196">
        <f t="shared" si="1"/>
      </c>
      <c r="P64" s="197">
        <f ca="1">IF($C64="","",_xlfn.LET(_xlpm.ssStatus,_xlfn.XLOOKUP($C64,StrategiesSolutions[S&amp;S ID],StrategiesSolutions[Status],""),IF($L64="","Not Scheduled",IF($M64="",IF($L64&lt;TODAY(),"Overdue","Scheduled"),IF($N64="","Result Required",IF(OR($E64="",$F64="",$Q64=""),"Incomplete Exercise",IF($N64="Fail","Failed",IF(OR($N64="Pass with Findings",_xlpm.ssStatus&lt;&gt;"Completed"),"Pass with Findings","Passed"))))))))</f>
      </c>
      <c r="Q64">
        <f t="shared" si="2"/>
      </c>
    </row>
    <row r="65" spans="1:17" x14ac:dyDescent="0.35">
      <c r="A65" s="192">
        <v>61</v>
      </c>
      <c r="B65" s="193">
        <f t="shared" si="3"/>
      </c>
      <c r="C65" s="317"/>
      <c r="D65" s="194">
        <f>IF($C65="","",_xlfn.XLOOKUP($C65,StrategiesSolutions[S&amp;S ID],StrategiesSolutions[Products / Services],""))</f>
      </c>
      <c r="E65" s="61"/>
      <c r="F65" s="61"/>
      <c r="G65" s="195">
        <f>IF($C65="","",_xlfn.XLOOKUP($C65,StrategiesSolutions[S&amp;S ID],StrategiesSolutions[Dependency],""))</f>
      </c>
      <c r="H65" s="194">
        <f>IF($C65="","",_xlfn.XLOOKUP($C65,StrategiesSolutions[S&amp;S ID],StrategiesSolutions[Risk Assumption],""))</f>
      </c>
      <c r="I65" s="194">
        <f>IF($C65="","",_xlfn.XLOOKUP($C65,StrategiesSolutions[S&amp;S ID],StrategiesSolutions[Disruption Scenario],""))</f>
      </c>
      <c r="J65" s="194">
        <f>IF($C65="","",_xlfn.XLOOKUP($C65,StrategiesSolutions[S&amp;S ID],StrategiesSolutions[Strategy],""))</f>
      </c>
      <c r="K65" s="194">
        <f>IF($C65="","",_xlfn.LET(_xlpm.x,_xlfn.XLOOKUP($C65,StrategiesSolutions[S&amp;S ID],StrategiesSolutions[Strategy Details / Do nothing Justification],""),IF(_xlpm.x=0,"",_xlpm.x)))</f>
      </c>
      <c r="L65" s="62"/>
      <c r="M65" s="62"/>
      <c r="N65" s="330"/>
      <c r="O65" s="196">
        <f t="shared" si="1"/>
      </c>
      <c r="P65" s="197">
        <f ca="1">IF($C65="","",_xlfn.LET(_xlpm.ssStatus,_xlfn.XLOOKUP($C65,StrategiesSolutions[S&amp;S ID],StrategiesSolutions[Status],""),IF($L65="","Not Scheduled",IF($M65="",IF($L65&lt;TODAY(),"Overdue","Scheduled"),IF($N65="","Result Required",IF(OR($E65="",$F65="",$Q65=""),"Incomplete Exercise",IF($N65="Fail","Failed",IF(OR($N65="Pass with Findings",_xlpm.ssStatus&lt;&gt;"Completed"),"Pass with Findings","Passed"))))))))</f>
      </c>
      <c r="Q65">
        <f t="shared" si="2"/>
      </c>
    </row>
    <row r="66" spans="1:17" x14ac:dyDescent="0.35">
      <c r="A66" s="192">
        <v>62</v>
      </c>
      <c r="B66" s="193">
        <f t="shared" si="3"/>
      </c>
      <c r="C66" s="317"/>
      <c r="D66" s="194">
        <f>IF($C66="","",_xlfn.XLOOKUP($C66,StrategiesSolutions[S&amp;S ID],StrategiesSolutions[Products / Services],""))</f>
      </c>
      <c r="E66" s="61"/>
      <c r="F66" s="61"/>
      <c r="G66" s="195">
        <f>IF($C66="","",_xlfn.XLOOKUP($C66,StrategiesSolutions[S&amp;S ID],StrategiesSolutions[Dependency],""))</f>
      </c>
      <c r="H66" s="194">
        <f>IF($C66="","",_xlfn.XLOOKUP($C66,StrategiesSolutions[S&amp;S ID],StrategiesSolutions[Risk Assumption],""))</f>
      </c>
      <c r="I66" s="194">
        <f>IF($C66="","",_xlfn.XLOOKUP($C66,StrategiesSolutions[S&amp;S ID],StrategiesSolutions[Disruption Scenario],""))</f>
      </c>
      <c r="J66" s="194">
        <f>IF($C66="","",_xlfn.XLOOKUP($C66,StrategiesSolutions[S&amp;S ID],StrategiesSolutions[Strategy],""))</f>
      </c>
      <c r="K66" s="194">
        <f>IF($C66="","",_xlfn.LET(_xlpm.x,_xlfn.XLOOKUP($C66,StrategiesSolutions[S&amp;S ID],StrategiesSolutions[Strategy Details / Do nothing Justification],""),IF(_xlpm.x=0,"",_xlpm.x)))</f>
      </c>
      <c r="L66" s="62"/>
      <c r="M66" s="62"/>
      <c r="N66" s="330"/>
      <c r="O66" s="196">
        <f t="shared" si="1"/>
      </c>
      <c r="P66" s="197">
        <f ca="1">IF($C66="","",_xlfn.LET(_xlpm.ssStatus,_xlfn.XLOOKUP($C66,StrategiesSolutions[S&amp;S ID],StrategiesSolutions[Status],""),IF($L66="","Not Scheduled",IF($M66="",IF($L66&lt;TODAY(),"Overdue","Scheduled"),IF($N66="","Result Required",IF(OR($E66="",$F66="",$Q66=""),"Incomplete Exercise",IF($N66="Fail","Failed",IF(OR($N66="Pass with Findings",_xlpm.ssStatus&lt;&gt;"Completed"),"Pass with Findings","Passed"))))))))</f>
      </c>
      <c r="Q66">
        <f t="shared" si="2"/>
      </c>
    </row>
    <row r="67" spans="1:17" x14ac:dyDescent="0.35">
      <c r="A67" s="192">
        <v>63</v>
      </c>
      <c r="B67" s="193">
        <f t="shared" si="3"/>
      </c>
      <c r="C67" s="317"/>
      <c r="D67" s="194">
        <f>IF($C67="","",_xlfn.XLOOKUP($C67,StrategiesSolutions[S&amp;S ID],StrategiesSolutions[Products / Services],""))</f>
      </c>
      <c r="E67" s="61"/>
      <c r="F67" s="61"/>
      <c r="G67" s="195">
        <f>IF($C67="","",_xlfn.XLOOKUP($C67,StrategiesSolutions[S&amp;S ID],StrategiesSolutions[Dependency],""))</f>
      </c>
      <c r="H67" s="194">
        <f>IF($C67="","",_xlfn.XLOOKUP($C67,StrategiesSolutions[S&amp;S ID],StrategiesSolutions[Risk Assumption],""))</f>
      </c>
      <c r="I67" s="194">
        <f>IF($C67="","",_xlfn.XLOOKUP($C67,StrategiesSolutions[S&amp;S ID],StrategiesSolutions[Disruption Scenario],""))</f>
      </c>
      <c r="J67" s="194">
        <f>IF($C67="","",_xlfn.XLOOKUP($C67,StrategiesSolutions[S&amp;S ID],StrategiesSolutions[Strategy],""))</f>
      </c>
      <c r="K67" s="194">
        <f>IF($C67="","",_xlfn.LET(_xlpm.x,_xlfn.XLOOKUP($C67,StrategiesSolutions[S&amp;S ID],StrategiesSolutions[Strategy Details / Do nothing Justification],""),IF(_xlpm.x=0,"",_xlpm.x)))</f>
      </c>
      <c r="L67" s="62"/>
      <c r="M67" s="62"/>
      <c r="N67" s="330"/>
      <c r="O67" s="196">
        <f t="shared" si="1"/>
      </c>
      <c r="P67" s="197">
        <f ca="1">IF($C67="","",_xlfn.LET(_xlpm.ssStatus,_xlfn.XLOOKUP($C67,StrategiesSolutions[S&amp;S ID],StrategiesSolutions[Status],""),IF($L67="","Not Scheduled",IF($M67="",IF($L67&lt;TODAY(),"Overdue","Scheduled"),IF($N67="","Result Required",IF(OR($E67="",$F67="",$Q67=""),"Incomplete Exercise",IF($N67="Fail","Failed",IF(OR($N67="Pass with Findings",_xlpm.ssStatus&lt;&gt;"Completed"),"Pass with Findings","Passed"))))))))</f>
      </c>
      <c r="Q67">
        <f t="shared" si="2"/>
      </c>
    </row>
    <row r="68" spans="1:17" x14ac:dyDescent="0.35">
      <c r="A68" s="192">
        <v>64</v>
      </c>
      <c r="B68" s="193">
        <f t="shared" si="3"/>
      </c>
      <c r="C68" s="317"/>
      <c r="D68" s="194">
        <f>IF($C68="","",_xlfn.XLOOKUP($C68,StrategiesSolutions[S&amp;S ID],StrategiesSolutions[Products / Services],""))</f>
      </c>
      <c r="E68" s="61"/>
      <c r="F68" s="61"/>
      <c r="G68" s="195">
        <f>IF($C68="","",_xlfn.XLOOKUP($C68,StrategiesSolutions[S&amp;S ID],StrategiesSolutions[Dependency],""))</f>
      </c>
      <c r="H68" s="194">
        <f>IF($C68="","",_xlfn.XLOOKUP($C68,StrategiesSolutions[S&amp;S ID],StrategiesSolutions[Risk Assumption],""))</f>
      </c>
      <c r="I68" s="194">
        <f>IF($C68="","",_xlfn.XLOOKUP($C68,StrategiesSolutions[S&amp;S ID],StrategiesSolutions[Disruption Scenario],""))</f>
      </c>
      <c r="J68" s="194">
        <f>IF($C68="","",_xlfn.XLOOKUP($C68,StrategiesSolutions[S&amp;S ID],StrategiesSolutions[Strategy],""))</f>
      </c>
      <c r="K68" s="194">
        <f>IF($C68="","",_xlfn.LET(_xlpm.x,_xlfn.XLOOKUP($C68,StrategiesSolutions[S&amp;S ID],StrategiesSolutions[Strategy Details / Do nothing Justification],""),IF(_xlpm.x=0,"",_xlpm.x)))</f>
      </c>
      <c r="L68" s="62"/>
      <c r="M68" s="62"/>
      <c r="N68" s="330"/>
      <c r="O68" s="196">
        <f t="shared" si="1"/>
      </c>
      <c r="P68" s="197">
        <f ca="1">IF($C68="","",_xlfn.LET(_xlpm.ssStatus,_xlfn.XLOOKUP($C68,StrategiesSolutions[S&amp;S ID],StrategiesSolutions[Status],""),IF($L68="","Not Scheduled",IF($M68="",IF($L68&lt;TODAY(),"Overdue","Scheduled"),IF($N68="","Result Required",IF(OR($E68="",$F68="",$Q68=""),"Incomplete Exercise",IF($N68="Fail","Failed",IF(OR($N68="Pass with Findings",_xlpm.ssStatus&lt;&gt;"Completed"),"Pass with Findings","Passed"))))))))</f>
      </c>
      <c r="Q68">
        <f t="shared" si="2"/>
      </c>
    </row>
    <row r="69" spans="1:17" x14ac:dyDescent="0.35">
      <c r="A69" s="192">
        <v>65</v>
      </c>
      <c r="B69" s="193">
        <f t="shared" ref="B69:B104" si="4">IF($C69="","","RR-"&amp;TEXT($A69,"000"))</f>
      </c>
      <c r="C69" s="317"/>
      <c r="D69" s="194">
        <f>IF($C69="","",_xlfn.XLOOKUP($C69,StrategiesSolutions[S&amp;S ID],StrategiesSolutions[Products / Services],""))</f>
      </c>
      <c r="E69" s="61"/>
      <c r="F69" s="61"/>
      <c r="G69" s="195">
        <f>IF($C69="","",_xlfn.XLOOKUP($C69,StrategiesSolutions[S&amp;S ID],StrategiesSolutions[Dependency],""))</f>
      </c>
      <c r="H69" s="194">
        <f>IF($C69="","",_xlfn.XLOOKUP($C69,StrategiesSolutions[S&amp;S ID],StrategiesSolutions[Risk Assumption],""))</f>
      </c>
      <c r="I69" s="194">
        <f>IF($C69="","",_xlfn.XLOOKUP($C69,StrategiesSolutions[S&amp;S ID],StrategiesSolutions[Disruption Scenario],""))</f>
      </c>
      <c r="J69" s="194">
        <f>IF($C69="","",_xlfn.XLOOKUP($C69,StrategiesSolutions[S&amp;S ID],StrategiesSolutions[Strategy],""))</f>
      </c>
      <c r="K69" s="194">
        <f>IF($C69="","",_xlfn.LET(_xlpm.x,_xlfn.XLOOKUP($C69,StrategiesSolutions[S&amp;S ID],StrategiesSolutions[Strategy Details / Do nothing Justification],""),IF(_xlpm.x=0,"",_xlpm.x)))</f>
      </c>
      <c r="L69" s="62"/>
      <c r="M69" s="62"/>
      <c r="N69" s="330"/>
      <c r="O69" s="196">
        <f t="shared" si="1"/>
      </c>
      <c r="P69" s="197">
        <f ca="1">IF($C69="","",_xlfn.LET(_xlpm.ssStatus,_xlfn.XLOOKUP($C69,StrategiesSolutions[S&amp;S ID],StrategiesSolutions[Status],""),IF($L69="","Not Scheduled",IF($M69="",IF($L69&lt;TODAY(),"Overdue","Scheduled"),IF($N69="","Result Required",IF(OR($E69="",$F69="",$Q69=""),"Incomplete Exercise",IF($N69="Fail","Failed",IF(OR($N69="Pass with Findings",_xlpm.ssStatus&lt;&gt;"Completed"),"Pass with Findings","Passed"))))))))</f>
      </c>
      <c r="Q69">
        <f t="shared" si="2"/>
      </c>
    </row>
    <row r="70" spans="1:17" x14ac:dyDescent="0.35">
      <c r="A70" s="192">
        <v>66</v>
      </c>
      <c r="B70" s="193">
        <f t="shared" si="4"/>
      </c>
      <c r="C70" s="317"/>
      <c r="D70" s="194">
        <f>IF($C70="","",_xlfn.XLOOKUP($C70,StrategiesSolutions[S&amp;S ID],StrategiesSolutions[Products / Services],""))</f>
      </c>
      <c r="E70" s="61"/>
      <c r="F70" s="61"/>
      <c r="G70" s="195">
        <f>IF($C70="","",_xlfn.XLOOKUP($C70,StrategiesSolutions[S&amp;S ID],StrategiesSolutions[Dependency],""))</f>
      </c>
      <c r="H70" s="194">
        <f>IF($C70="","",_xlfn.XLOOKUP($C70,StrategiesSolutions[S&amp;S ID],StrategiesSolutions[Risk Assumption],""))</f>
      </c>
      <c r="I70" s="194">
        <f>IF($C70="","",_xlfn.XLOOKUP($C70,StrategiesSolutions[S&amp;S ID],StrategiesSolutions[Disruption Scenario],""))</f>
      </c>
      <c r="J70" s="194">
        <f>IF($C70="","",_xlfn.XLOOKUP($C70,StrategiesSolutions[S&amp;S ID],StrategiesSolutions[Strategy],""))</f>
      </c>
      <c r="K70" s="194">
        <f>IF($C70="","",_xlfn.LET(_xlpm.x,_xlfn.XLOOKUP($C70,StrategiesSolutions[S&amp;S ID],StrategiesSolutions[Strategy Details / Do nothing Justification],""),IF(_xlpm.x=0,"",_xlpm.x)))</f>
      </c>
      <c r="L70" s="62"/>
      <c r="M70" s="62"/>
      <c r="N70" s="330"/>
      <c r="O70" s="196">
        <f t="shared" ref="O70:O104" si="5">IF($M70="","",EDATE($M70,12))</f>
      </c>
      <c r="P70" s="197">
        <f ca="1">IF($C70="","",_xlfn.LET(_xlpm.ssStatus,_xlfn.XLOOKUP($C70,StrategiesSolutions[S&amp;S ID],StrategiesSolutions[Status],""),IF($L70="","Not Scheduled",IF($M70="",IF($L70&lt;TODAY(),"Overdue","Scheduled"),IF($N70="","Result Required",IF(OR($E70="",$F70="",$Q70=""),"Incomplete Exercise",IF($N70="Fail","Failed",IF(OR($N70="Pass with Findings",_xlpm.ssStatus&lt;&gt;"Completed"),"Pass with Findings","Passed"))))))))</f>
      </c>
      <c r="Q70">
        <f t="shared" ref="Q70:Q104" si="6">IF($C70="","",IF(SUMPRODUCT(--($C$5:$C$104=$C70),--($D$5:$D$104=$D70),--($E$5:$E$104=$E70))&gt;1,"DUPLICATE","OK"))</f>
      </c>
    </row>
    <row r="71" spans="1:17" x14ac:dyDescent="0.35">
      <c r="A71" s="192">
        <v>67</v>
      </c>
      <c r="B71" s="193">
        <f t="shared" si="4"/>
      </c>
      <c r="C71" s="317"/>
      <c r="D71" s="194">
        <f>IF($C71="","",_xlfn.XLOOKUP($C71,StrategiesSolutions[S&amp;S ID],StrategiesSolutions[Products / Services],""))</f>
      </c>
      <c r="E71" s="61"/>
      <c r="F71" s="61"/>
      <c r="G71" s="195">
        <f>IF($C71="","",_xlfn.XLOOKUP($C71,StrategiesSolutions[S&amp;S ID],StrategiesSolutions[Dependency],""))</f>
      </c>
      <c r="H71" s="194">
        <f>IF($C71="","",_xlfn.XLOOKUP($C71,StrategiesSolutions[S&amp;S ID],StrategiesSolutions[Risk Assumption],""))</f>
      </c>
      <c r="I71" s="194">
        <f>IF($C71="","",_xlfn.XLOOKUP($C71,StrategiesSolutions[S&amp;S ID],StrategiesSolutions[Disruption Scenario],""))</f>
      </c>
      <c r="J71" s="194">
        <f>IF($C71="","",_xlfn.XLOOKUP($C71,StrategiesSolutions[S&amp;S ID],StrategiesSolutions[Strategy],""))</f>
      </c>
      <c r="K71" s="194">
        <f>IF($C71="","",_xlfn.LET(_xlpm.x,_xlfn.XLOOKUP($C71,StrategiesSolutions[S&amp;S ID],StrategiesSolutions[Strategy Details / Do nothing Justification],""),IF(_xlpm.x=0,"",_xlpm.x)))</f>
      </c>
      <c r="L71" s="62"/>
      <c r="M71" s="62"/>
      <c r="N71" s="330"/>
      <c r="O71" s="196">
        <f t="shared" si="5"/>
      </c>
      <c r="P71" s="197">
        <f ca="1">IF($C71="","",_xlfn.LET(_xlpm.ssStatus,_xlfn.XLOOKUP($C71,StrategiesSolutions[S&amp;S ID],StrategiesSolutions[Status],""),IF($L71="","Not Scheduled",IF($M71="",IF($L71&lt;TODAY(),"Overdue","Scheduled"),IF($N71="","Result Required",IF(OR($E71="",$F71="",$Q71=""),"Incomplete Exercise",IF($N71="Fail","Failed",IF(OR($N71="Pass with Findings",_xlpm.ssStatus&lt;&gt;"Completed"),"Pass with Findings","Passed"))))))))</f>
      </c>
      <c r="Q71">
        <f t="shared" si="6"/>
      </c>
    </row>
    <row r="72" spans="1:17" x14ac:dyDescent="0.35">
      <c r="A72" s="192">
        <v>68</v>
      </c>
      <c r="B72" s="193">
        <f t="shared" si="4"/>
      </c>
      <c r="C72" s="317"/>
      <c r="D72" s="194">
        <f>IF($C72="","",_xlfn.XLOOKUP($C72,StrategiesSolutions[S&amp;S ID],StrategiesSolutions[Products / Services],""))</f>
      </c>
      <c r="E72" s="61"/>
      <c r="F72" s="61"/>
      <c r="G72" s="195">
        <f>IF($C72="","",_xlfn.XLOOKUP($C72,StrategiesSolutions[S&amp;S ID],StrategiesSolutions[Dependency],""))</f>
      </c>
      <c r="H72" s="194">
        <f>IF($C72="","",_xlfn.XLOOKUP($C72,StrategiesSolutions[S&amp;S ID],StrategiesSolutions[Risk Assumption],""))</f>
      </c>
      <c r="I72" s="194">
        <f>IF($C72="","",_xlfn.XLOOKUP($C72,StrategiesSolutions[S&amp;S ID],StrategiesSolutions[Disruption Scenario],""))</f>
      </c>
      <c r="J72" s="194">
        <f>IF($C72="","",_xlfn.XLOOKUP($C72,StrategiesSolutions[S&amp;S ID],StrategiesSolutions[Strategy],""))</f>
      </c>
      <c r="K72" s="194">
        <f>IF($C72="","",_xlfn.LET(_xlpm.x,_xlfn.XLOOKUP($C72,StrategiesSolutions[S&amp;S ID],StrategiesSolutions[Strategy Details / Do nothing Justification],""),IF(_xlpm.x=0,"",_xlpm.x)))</f>
      </c>
      <c r="L72" s="62"/>
      <c r="M72" s="62"/>
      <c r="N72" s="330"/>
      <c r="O72" s="196">
        <f t="shared" si="5"/>
      </c>
      <c r="P72" s="197">
        <f ca="1">IF($C72="","",_xlfn.LET(_xlpm.ssStatus,_xlfn.XLOOKUP($C72,StrategiesSolutions[S&amp;S ID],StrategiesSolutions[Status],""),IF($L72="","Not Scheduled",IF($M72="",IF($L72&lt;TODAY(),"Overdue","Scheduled"),IF($N72="","Result Required",IF(OR($E72="",$F72="",$Q72=""),"Incomplete Exercise",IF($N72="Fail","Failed",IF(OR($N72="Pass with Findings",_xlpm.ssStatus&lt;&gt;"Completed"),"Pass with Findings","Passed"))))))))</f>
      </c>
      <c r="Q72">
        <f t="shared" si="6"/>
      </c>
    </row>
    <row r="73" spans="1:17" x14ac:dyDescent="0.35">
      <c r="A73" s="192">
        <v>69</v>
      </c>
      <c r="B73" s="193">
        <f t="shared" si="4"/>
      </c>
      <c r="C73" s="317"/>
      <c r="D73" s="194">
        <f>IF($C73="","",_xlfn.XLOOKUP($C73,StrategiesSolutions[S&amp;S ID],StrategiesSolutions[Products / Services],""))</f>
      </c>
      <c r="E73" s="61"/>
      <c r="F73" s="61"/>
      <c r="G73" s="195">
        <f>IF($C73="","",_xlfn.XLOOKUP($C73,StrategiesSolutions[S&amp;S ID],StrategiesSolutions[Dependency],""))</f>
      </c>
      <c r="H73" s="194">
        <f>IF($C73="","",_xlfn.XLOOKUP($C73,StrategiesSolutions[S&amp;S ID],StrategiesSolutions[Risk Assumption],""))</f>
      </c>
      <c r="I73" s="194">
        <f>IF($C73="","",_xlfn.XLOOKUP($C73,StrategiesSolutions[S&amp;S ID],StrategiesSolutions[Disruption Scenario],""))</f>
      </c>
      <c r="J73" s="194">
        <f>IF($C73="","",_xlfn.XLOOKUP($C73,StrategiesSolutions[S&amp;S ID],StrategiesSolutions[Strategy],""))</f>
      </c>
      <c r="K73" s="194">
        <f>IF($C73="","",_xlfn.LET(_xlpm.x,_xlfn.XLOOKUP($C73,StrategiesSolutions[S&amp;S ID],StrategiesSolutions[Strategy Details / Do nothing Justification],""),IF(_xlpm.x=0,"",_xlpm.x)))</f>
      </c>
      <c r="L73" s="62"/>
      <c r="M73" s="62"/>
      <c r="N73" s="330"/>
      <c r="O73" s="196">
        <f t="shared" si="5"/>
      </c>
      <c r="P73" s="197">
        <f ca="1">IF($C73="","",_xlfn.LET(_xlpm.ssStatus,_xlfn.XLOOKUP($C73,StrategiesSolutions[S&amp;S ID],StrategiesSolutions[Status],""),IF($L73="","Not Scheduled",IF($M73="",IF($L73&lt;TODAY(),"Overdue","Scheduled"),IF($N73="","Result Required",IF(OR($E73="",$F73="",$Q73=""),"Incomplete Exercise",IF($N73="Fail","Failed",IF(OR($N73="Pass with Findings",_xlpm.ssStatus&lt;&gt;"Completed"),"Pass with Findings","Passed"))))))))</f>
      </c>
      <c r="Q73">
        <f t="shared" si="6"/>
      </c>
    </row>
    <row r="74" spans="1:17" x14ac:dyDescent="0.35">
      <c r="A74" s="192">
        <v>70</v>
      </c>
      <c r="B74" s="193">
        <f t="shared" si="4"/>
      </c>
      <c r="C74" s="317"/>
      <c r="D74" s="194">
        <f>IF($C74="","",_xlfn.XLOOKUP($C74,StrategiesSolutions[S&amp;S ID],StrategiesSolutions[Products / Services],""))</f>
      </c>
      <c r="E74" s="61"/>
      <c r="F74" s="61"/>
      <c r="G74" s="195">
        <f>IF($C74="","",_xlfn.XLOOKUP($C74,StrategiesSolutions[S&amp;S ID],StrategiesSolutions[Dependency],""))</f>
      </c>
      <c r="H74" s="194">
        <f>IF($C74="","",_xlfn.XLOOKUP($C74,StrategiesSolutions[S&amp;S ID],StrategiesSolutions[Risk Assumption],""))</f>
      </c>
      <c r="I74" s="194">
        <f>IF($C74="","",_xlfn.XLOOKUP($C74,StrategiesSolutions[S&amp;S ID],StrategiesSolutions[Disruption Scenario],""))</f>
      </c>
      <c r="J74" s="194">
        <f>IF($C74="","",_xlfn.XLOOKUP($C74,StrategiesSolutions[S&amp;S ID],StrategiesSolutions[Strategy],""))</f>
      </c>
      <c r="K74" s="194">
        <f>IF($C74="","",_xlfn.LET(_xlpm.x,_xlfn.XLOOKUP($C74,StrategiesSolutions[S&amp;S ID],StrategiesSolutions[Strategy Details / Do nothing Justification],""),IF(_xlpm.x=0,"",_xlpm.x)))</f>
      </c>
      <c r="L74" s="62"/>
      <c r="M74" s="62"/>
      <c r="N74" s="330"/>
      <c r="O74" s="196">
        <f t="shared" si="5"/>
      </c>
      <c r="P74" s="197">
        <f ca="1">IF($C74="","",_xlfn.LET(_xlpm.ssStatus,_xlfn.XLOOKUP($C74,StrategiesSolutions[S&amp;S ID],StrategiesSolutions[Status],""),IF($L74="","Not Scheduled",IF($M74="",IF($L74&lt;TODAY(),"Overdue","Scheduled"),IF($N74="","Result Required",IF(OR($E74="",$F74="",$Q74=""),"Incomplete Exercise",IF($N74="Fail","Failed",IF(OR($N74="Pass with Findings",_xlpm.ssStatus&lt;&gt;"Completed"),"Pass with Findings","Passed"))))))))</f>
      </c>
      <c r="Q74">
        <f t="shared" si="6"/>
      </c>
    </row>
    <row r="75" spans="1:17" x14ac:dyDescent="0.35">
      <c r="A75" s="192">
        <v>71</v>
      </c>
      <c r="B75" s="193">
        <f t="shared" si="4"/>
      </c>
      <c r="C75" s="317"/>
      <c r="D75" s="194">
        <f>IF($C75="","",_xlfn.XLOOKUP($C75,StrategiesSolutions[S&amp;S ID],StrategiesSolutions[Products / Services],""))</f>
      </c>
      <c r="E75" s="61"/>
      <c r="F75" s="61"/>
      <c r="G75" s="195">
        <f>IF($C75="","",_xlfn.XLOOKUP($C75,StrategiesSolutions[S&amp;S ID],StrategiesSolutions[Dependency],""))</f>
      </c>
      <c r="H75" s="194">
        <f>IF($C75="","",_xlfn.XLOOKUP($C75,StrategiesSolutions[S&amp;S ID],StrategiesSolutions[Risk Assumption],""))</f>
      </c>
      <c r="I75" s="194">
        <f>IF($C75="","",_xlfn.XLOOKUP($C75,StrategiesSolutions[S&amp;S ID],StrategiesSolutions[Disruption Scenario],""))</f>
      </c>
      <c r="J75" s="194">
        <f>IF($C75="","",_xlfn.XLOOKUP($C75,StrategiesSolutions[S&amp;S ID],StrategiesSolutions[Strategy],""))</f>
      </c>
      <c r="K75" s="194">
        <f>IF($C75="","",_xlfn.LET(_xlpm.x,_xlfn.XLOOKUP($C75,StrategiesSolutions[S&amp;S ID],StrategiesSolutions[Strategy Details / Do nothing Justification],""),IF(_xlpm.x=0,"",_xlpm.x)))</f>
      </c>
      <c r="L75" s="62"/>
      <c r="M75" s="62"/>
      <c r="N75" s="330"/>
      <c r="O75" s="196">
        <f t="shared" si="5"/>
      </c>
      <c r="P75" s="197">
        <f ca="1">IF($C75="","",_xlfn.LET(_xlpm.ssStatus,_xlfn.XLOOKUP($C75,StrategiesSolutions[S&amp;S ID],StrategiesSolutions[Status],""),IF($L75="","Not Scheduled",IF($M75="",IF($L75&lt;TODAY(),"Overdue","Scheduled"),IF($N75="","Result Required",IF(OR($E75="",$F75="",$Q75=""),"Incomplete Exercise",IF($N75="Fail","Failed",IF(OR($N75="Pass with Findings",_xlpm.ssStatus&lt;&gt;"Completed"),"Pass with Findings","Passed"))))))))</f>
      </c>
      <c r="Q75">
        <f t="shared" si="6"/>
      </c>
    </row>
    <row r="76" spans="1:17" x14ac:dyDescent="0.35">
      <c r="A76" s="192">
        <v>72</v>
      </c>
      <c r="B76" s="193">
        <f t="shared" si="4"/>
      </c>
      <c r="C76" s="317"/>
      <c r="D76" s="194">
        <f>IF($C76="","",_xlfn.XLOOKUP($C76,StrategiesSolutions[S&amp;S ID],StrategiesSolutions[Products / Services],""))</f>
      </c>
      <c r="E76" s="61"/>
      <c r="F76" s="61"/>
      <c r="G76" s="195">
        <f>IF($C76="","",_xlfn.XLOOKUP($C76,StrategiesSolutions[S&amp;S ID],StrategiesSolutions[Dependency],""))</f>
      </c>
      <c r="H76" s="194">
        <f>IF($C76="","",_xlfn.XLOOKUP($C76,StrategiesSolutions[S&amp;S ID],StrategiesSolutions[Risk Assumption],""))</f>
      </c>
      <c r="I76" s="194">
        <f>IF($C76="","",_xlfn.XLOOKUP($C76,StrategiesSolutions[S&amp;S ID],StrategiesSolutions[Disruption Scenario],""))</f>
      </c>
      <c r="J76" s="194">
        <f>IF($C76="","",_xlfn.XLOOKUP($C76,StrategiesSolutions[S&amp;S ID],StrategiesSolutions[Strategy],""))</f>
      </c>
      <c r="K76" s="194">
        <f>IF($C76="","",_xlfn.LET(_xlpm.x,_xlfn.XLOOKUP($C76,StrategiesSolutions[S&amp;S ID],StrategiesSolutions[Strategy Details / Do nothing Justification],""),IF(_xlpm.x=0,"",_xlpm.x)))</f>
      </c>
      <c r="L76" s="62"/>
      <c r="M76" s="62"/>
      <c r="N76" s="330"/>
      <c r="O76" s="196">
        <f t="shared" si="5"/>
      </c>
      <c r="P76" s="197">
        <f ca="1">IF($C76="","",_xlfn.LET(_xlpm.ssStatus,_xlfn.XLOOKUP($C76,StrategiesSolutions[S&amp;S ID],StrategiesSolutions[Status],""),IF($L76="","Not Scheduled",IF($M76="",IF($L76&lt;TODAY(),"Overdue","Scheduled"),IF($N76="","Result Required",IF(OR($E76="",$F76="",$Q76=""),"Incomplete Exercise",IF($N76="Fail","Failed",IF(OR($N76="Pass with Findings",_xlpm.ssStatus&lt;&gt;"Completed"),"Pass with Findings","Passed"))))))))</f>
      </c>
      <c r="Q76">
        <f t="shared" si="6"/>
      </c>
    </row>
    <row r="77" spans="1:17" x14ac:dyDescent="0.35">
      <c r="A77" s="192">
        <v>73</v>
      </c>
      <c r="B77" s="193">
        <f t="shared" si="4"/>
      </c>
      <c r="C77" s="317"/>
      <c r="D77" s="194">
        <f>IF($C77="","",_xlfn.XLOOKUP($C77,StrategiesSolutions[S&amp;S ID],StrategiesSolutions[Products / Services],""))</f>
      </c>
      <c r="E77" s="61"/>
      <c r="F77" s="61"/>
      <c r="G77" s="195">
        <f>IF($C77="","",_xlfn.XLOOKUP($C77,StrategiesSolutions[S&amp;S ID],StrategiesSolutions[Dependency],""))</f>
      </c>
      <c r="H77" s="194">
        <f>IF($C77="","",_xlfn.XLOOKUP($C77,StrategiesSolutions[S&amp;S ID],StrategiesSolutions[Risk Assumption],""))</f>
      </c>
      <c r="I77" s="194">
        <f>IF($C77="","",_xlfn.XLOOKUP($C77,StrategiesSolutions[S&amp;S ID],StrategiesSolutions[Disruption Scenario],""))</f>
      </c>
      <c r="J77" s="194">
        <f>IF($C77="","",_xlfn.XLOOKUP($C77,StrategiesSolutions[S&amp;S ID],StrategiesSolutions[Strategy],""))</f>
      </c>
      <c r="K77" s="194">
        <f>IF($C77="","",_xlfn.LET(_xlpm.x,_xlfn.XLOOKUP($C77,StrategiesSolutions[S&amp;S ID],StrategiesSolutions[Strategy Details / Do nothing Justification],""),IF(_xlpm.x=0,"",_xlpm.x)))</f>
      </c>
      <c r="L77" s="62"/>
      <c r="M77" s="62"/>
      <c r="N77" s="330"/>
      <c r="O77" s="196">
        <f t="shared" si="5"/>
      </c>
      <c r="P77" s="197">
        <f ca="1">IF($C77="","",_xlfn.LET(_xlpm.ssStatus,_xlfn.XLOOKUP($C77,StrategiesSolutions[S&amp;S ID],StrategiesSolutions[Status],""),IF($L77="","Not Scheduled",IF($M77="",IF($L77&lt;TODAY(),"Overdue","Scheduled"),IF($N77="","Result Required",IF(OR($E77="",$F77="",$Q77=""),"Incomplete Exercise",IF($N77="Fail","Failed",IF(OR($N77="Pass with Findings",_xlpm.ssStatus&lt;&gt;"Completed"),"Pass with Findings","Passed"))))))))</f>
      </c>
      <c r="Q77">
        <f t="shared" si="6"/>
      </c>
    </row>
    <row r="78" spans="1:17" x14ac:dyDescent="0.35">
      <c r="A78" s="192">
        <v>74</v>
      </c>
      <c r="B78" s="193">
        <f t="shared" si="4"/>
      </c>
      <c r="C78" s="317"/>
      <c r="D78" s="194">
        <f>IF($C78="","",_xlfn.XLOOKUP($C78,StrategiesSolutions[S&amp;S ID],StrategiesSolutions[Products / Services],""))</f>
      </c>
      <c r="E78" s="61"/>
      <c r="F78" s="61"/>
      <c r="G78" s="195">
        <f>IF($C78="","",_xlfn.XLOOKUP($C78,StrategiesSolutions[S&amp;S ID],StrategiesSolutions[Dependency],""))</f>
      </c>
      <c r="H78" s="194">
        <f>IF($C78="","",_xlfn.XLOOKUP($C78,StrategiesSolutions[S&amp;S ID],StrategiesSolutions[Risk Assumption],""))</f>
      </c>
      <c r="I78" s="194">
        <f>IF($C78="","",_xlfn.XLOOKUP($C78,StrategiesSolutions[S&amp;S ID],StrategiesSolutions[Disruption Scenario],""))</f>
      </c>
      <c r="J78" s="194">
        <f>IF($C78="","",_xlfn.XLOOKUP($C78,StrategiesSolutions[S&amp;S ID],StrategiesSolutions[Strategy],""))</f>
      </c>
      <c r="K78" s="194">
        <f>IF($C78="","",_xlfn.LET(_xlpm.x,_xlfn.XLOOKUP($C78,StrategiesSolutions[S&amp;S ID],StrategiesSolutions[Strategy Details / Do nothing Justification],""),IF(_xlpm.x=0,"",_xlpm.x)))</f>
      </c>
      <c r="L78" s="62"/>
      <c r="M78" s="62"/>
      <c r="N78" s="330"/>
      <c r="O78" s="196">
        <f t="shared" si="5"/>
      </c>
      <c r="P78" s="197">
        <f ca="1">IF($C78="","",_xlfn.LET(_xlpm.ssStatus,_xlfn.XLOOKUP($C78,StrategiesSolutions[S&amp;S ID],StrategiesSolutions[Status],""),IF($L78="","Not Scheduled",IF($M78="",IF($L78&lt;TODAY(),"Overdue","Scheduled"),IF($N78="","Result Required",IF(OR($E78="",$F78="",$Q78=""),"Incomplete Exercise",IF($N78="Fail","Failed",IF(OR($N78="Pass with Findings",_xlpm.ssStatus&lt;&gt;"Completed"),"Pass with Findings","Passed"))))))))</f>
      </c>
      <c r="Q78">
        <f t="shared" si="6"/>
      </c>
    </row>
    <row r="79" spans="1:17" x14ac:dyDescent="0.35">
      <c r="A79" s="192">
        <v>75</v>
      </c>
      <c r="B79" s="193">
        <f t="shared" si="4"/>
      </c>
      <c r="C79" s="317"/>
      <c r="D79" s="194">
        <f>IF($C79="","",_xlfn.XLOOKUP($C79,StrategiesSolutions[S&amp;S ID],StrategiesSolutions[Products / Services],""))</f>
      </c>
      <c r="E79" s="61"/>
      <c r="F79" s="61"/>
      <c r="G79" s="195">
        <f>IF($C79="","",_xlfn.XLOOKUP($C79,StrategiesSolutions[S&amp;S ID],StrategiesSolutions[Dependency],""))</f>
      </c>
      <c r="H79" s="194">
        <f>IF($C79="","",_xlfn.XLOOKUP($C79,StrategiesSolutions[S&amp;S ID],StrategiesSolutions[Risk Assumption],""))</f>
      </c>
      <c r="I79" s="194">
        <f>IF($C79="","",_xlfn.XLOOKUP($C79,StrategiesSolutions[S&amp;S ID],StrategiesSolutions[Disruption Scenario],""))</f>
      </c>
      <c r="J79" s="194">
        <f>IF($C79="","",_xlfn.XLOOKUP($C79,StrategiesSolutions[S&amp;S ID],StrategiesSolutions[Strategy],""))</f>
      </c>
      <c r="K79" s="194">
        <f>IF($C79="","",_xlfn.LET(_xlpm.x,_xlfn.XLOOKUP($C79,StrategiesSolutions[S&amp;S ID],StrategiesSolutions[Strategy Details / Do nothing Justification],""),IF(_xlpm.x=0,"",_xlpm.x)))</f>
      </c>
      <c r="L79" s="62"/>
      <c r="M79" s="62"/>
      <c r="N79" s="330"/>
      <c r="O79" s="196">
        <f t="shared" si="5"/>
      </c>
      <c r="P79" s="197">
        <f ca="1">IF($C79="","",_xlfn.LET(_xlpm.ssStatus,_xlfn.XLOOKUP($C79,StrategiesSolutions[S&amp;S ID],StrategiesSolutions[Status],""),IF($L79="","Not Scheduled",IF($M79="",IF($L79&lt;TODAY(),"Overdue","Scheduled"),IF($N79="","Result Required",IF(OR($E79="",$F79="",$Q79=""),"Incomplete Exercise",IF($N79="Fail","Failed",IF(OR($N79="Pass with Findings",_xlpm.ssStatus&lt;&gt;"Completed"),"Pass with Findings","Passed"))))))))</f>
      </c>
      <c r="Q79">
        <f t="shared" si="6"/>
      </c>
    </row>
    <row r="80" spans="1:17" x14ac:dyDescent="0.35">
      <c r="A80" s="192">
        <v>76</v>
      </c>
      <c r="B80" s="193">
        <f t="shared" si="4"/>
      </c>
      <c r="C80" s="317"/>
      <c r="D80" s="194">
        <f>IF($C80="","",_xlfn.XLOOKUP($C80,StrategiesSolutions[S&amp;S ID],StrategiesSolutions[Products / Services],""))</f>
      </c>
      <c r="E80" s="61"/>
      <c r="F80" s="61"/>
      <c r="G80" s="195">
        <f>IF($C80="","",_xlfn.XLOOKUP($C80,StrategiesSolutions[S&amp;S ID],StrategiesSolutions[Dependency],""))</f>
      </c>
      <c r="H80" s="194">
        <f>IF($C80="","",_xlfn.XLOOKUP($C80,StrategiesSolutions[S&amp;S ID],StrategiesSolutions[Risk Assumption],""))</f>
      </c>
      <c r="I80" s="194">
        <f>IF($C80="","",_xlfn.XLOOKUP($C80,StrategiesSolutions[S&amp;S ID],StrategiesSolutions[Disruption Scenario],""))</f>
      </c>
      <c r="J80" s="194">
        <f>IF($C80="","",_xlfn.XLOOKUP($C80,StrategiesSolutions[S&amp;S ID],StrategiesSolutions[Strategy],""))</f>
      </c>
      <c r="K80" s="194">
        <f>IF($C80="","",_xlfn.LET(_xlpm.x,_xlfn.XLOOKUP($C80,StrategiesSolutions[S&amp;S ID],StrategiesSolutions[Strategy Details / Do nothing Justification],""),IF(_xlpm.x=0,"",_xlpm.x)))</f>
      </c>
      <c r="L80" s="62"/>
      <c r="M80" s="62"/>
      <c r="N80" s="330"/>
      <c r="O80" s="196">
        <f t="shared" si="5"/>
      </c>
      <c r="P80" s="197">
        <f ca="1">IF($C80="","",_xlfn.LET(_xlpm.ssStatus,_xlfn.XLOOKUP($C80,StrategiesSolutions[S&amp;S ID],StrategiesSolutions[Status],""),IF($L80="","Not Scheduled",IF($M80="",IF($L80&lt;TODAY(),"Overdue","Scheduled"),IF($N80="","Result Required",IF(OR($E80="",$F80="",$Q80=""),"Incomplete Exercise",IF($N80="Fail","Failed",IF(OR($N80="Pass with Findings",_xlpm.ssStatus&lt;&gt;"Completed"),"Pass with Findings","Passed"))))))))</f>
      </c>
      <c r="Q80">
        <f t="shared" si="6"/>
      </c>
    </row>
    <row r="81" spans="1:17" x14ac:dyDescent="0.35">
      <c r="A81" s="192">
        <v>77</v>
      </c>
      <c r="B81" s="193">
        <f t="shared" si="4"/>
      </c>
      <c r="C81" s="317"/>
      <c r="D81" s="194">
        <f>IF($C81="","",_xlfn.XLOOKUP($C81,StrategiesSolutions[S&amp;S ID],StrategiesSolutions[Products / Services],""))</f>
      </c>
      <c r="E81" s="61"/>
      <c r="F81" s="61"/>
      <c r="G81" s="195">
        <f>IF($C81="","",_xlfn.XLOOKUP($C81,StrategiesSolutions[S&amp;S ID],StrategiesSolutions[Dependency],""))</f>
      </c>
      <c r="H81" s="194">
        <f>IF($C81="","",_xlfn.XLOOKUP($C81,StrategiesSolutions[S&amp;S ID],StrategiesSolutions[Risk Assumption],""))</f>
      </c>
      <c r="I81" s="194">
        <f>IF($C81="","",_xlfn.XLOOKUP($C81,StrategiesSolutions[S&amp;S ID],StrategiesSolutions[Disruption Scenario],""))</f>
      </c>
      <c r="J81" s="194">
        <f>IF($C81="","",_xlfn.XLOOKUP($C81,StrategiesSolutions[S&amp;S ID],StrategiesSolutions[Strategy],""))</f>
      </c>
      <c r="K81" s="194">
        <f>IF($C81="","",_xlfn.LET(_xlpm.x,_xlfn.XLOOKUP($C81,StrategiesSolutions[S&amp;S ID],StrategiesSolutions[Strategy Details / Do nothing Justification],""),IF(_xlpm.x=0,"",_xlpm.x)))</f>
      </c>
      <c r="L81" s="62"/>
      <c r="M81" s="62"/>
      <c r="N81" s="330"/>
      <c r="O81" s="196">
        <f t="shared" si="5"/>
      </c>
      <c r="P81" s="197">
        <f ca="1">IF($C81="","",_xlfn.LET(_xlpm.ssStatus,_xlfn.XLOOKUP($C81,StrategiesSolutions[S&amp;S ID],StrategiesSolutions[Status],""),IF($L81="","Not Scheduled",IF($M81="",IF($L81&lt;TODAY(),"Overdue","Scheduled"),IF($N81="","Result Required",IF(OR($E81="",$F81="",$Q81=""),"Incomplete Exercise",IF($N81="Fail","Failed",IF(OR($N81="Pass with Findings",_xlpm.ssStatus&lt;&gt;"Completed"),"Pass with Findings","Passed"))))))))</f>
      </c>
      <c r="Q81">
        <f t="shared" si="6"/>
      </c>
    </row>
    <row r="82" spans="1:17" x14ac:dyDescent="0.35">
      <c r="A82" s="192">
        <v>78</v>
      </c>
      <c r="B82" s="193">
        <f t="shared" si="4"/>
      </c>
      <c r="C82" s="317"/>
      <c r="D82" s="194">
        <f>IF($C82="","",_xlfn.XLOOKUP($C82,StrategiesSolutions[S&amp;S ID],StrategiesSolutions[Products / Services],""))</f>
      </c>
      <c r="E82" s="61"/>
      <c r="F82" s="61"/>
      <c r="G82" s="195">
        <f>IF($C82="","",_xlfn.XLOOKUP($C82,StrategiesSolutions[S&amp;S ID],StrategiesSolutions[Dependency],""))</f>
      </c>
      <c r="H82" s="194">
        <f>IF($C82="","",_xlfn.XLOOKUP($C82,StrategiesSolutions[S&amp;S ID],StrategiesSolutions[Risk Assumption],""))</f>
      </c>
      <c r="I82" s="194">
        <f>IF($C82="","",_xlfn.XLOOKUP($C82,StrategiesSolutions[S&amp;S ID],StrategiesSolutions[Disruption Scenario],""))</f>
      </c>
      <c r="J82" s="194">
        <f>IF($C82="","",_xlfn.XLOOKUP($C82,StrategiesSolutions[S&amp;S ID],StrategiesSolutions[Strategy],""))</f>
      </c>
      <c r="K82" s="194">
        <f>IF($C82="","",_xlfn.LET(_xlpm.x,_xlfn.XLOOKUP($C82,StrategiesSolutions[S&amp;S ID],StrategiesSolutions[Strategy Details / Do nothing Justification],""),IF(_xlpm.x=0,"",_xlpm.x)))</f>
      </c>
      <c r="L82" s="62"/>
      <c r="M82" s="62"/>
      <c r="N82" s="330"/>
      <c r="O82" s="196">
        <f t="shared" si="5"/>
      </c>
      <c r="P82" s="197">
        <f ca="1">IF($C82="","",_xlfn.LET(_xlpm.ssStatus,_xlfn.XLOOKUP($C82,StrategiesSolutions[S&amp;S ID],StrategiesSolutions[Status],""),IF($L82="","Not Scheduled",IF($M82="",IF($L82&lt;TODAY(),"Overdue","Scheduled"),IF($N82="","Result Required",IF(OR($E82="",$F82="",$Q82=""),"Incomplete Exercise",IF($N82="Fail","Failed",IF(OR($N82="Pass with Findings",_xlpm.ssStatus&lt;&gt;"Completed"),"Pass with Findings","Passed"))))))))</f>
      </c>
      <c r="Q82">
        <f t="shared" si="6"/>
      </c>
    </row>
    <row r="83" spans="1:17" x14ac:dyDescent="0.35">
      <c r="A83" s="192">
        <v>79</v>
      </c>
      <c r="B83" s="193">
        <f t="shared" si="4"/>
      </c>
      <c r="C83" s="317"/>
      <c r="D83" s="194">
        <f>IF($C83="","",_xlfn.XLOOKUP($C83,StrategiesSolutions[S&amp;S ID],StrategiesSolutions[Products / Services],""))</f>
      </c>
      <c r="E83" s="61"/>
      <c r="F83" s="61"/>
      <c r="G83" s="195">
        <f>IF($C83="","",_xlfn.XLOOKUP($C83,StrategiesSolutions[S&amp;S ID],StrategiesSolutions[Dependency],""))</f>
      </c>
      <c r="H83" s="194">
        <f>IF($C83="","",_xlfn.XLOOKUP($C83,StrategiesSolutions[S&amp;S ID],StrategiesSolutions[Risk Assumption],""))</f>
      </c>
      <c r="I83" s="194">
        <f>IF($C83="","",_xlfn.XLOOKUP($C83,StrategiesSolutions[S&amp;S ID],StrategiesSolutions[Disruption Scenario],""))</f>
      </c>
      <c r="J83" s="194">
        <f>IF($C83="","",_xlfn.XLOOKUP($C83,StrategiesSolutions[S&amp;S ID],StrategiesSolutions[Strategy],""))</f>
      </c>
      <c r="K83" s="194">
        <f>IF($C83="","",_xlfn.LET(_xlpm.x,_xlfn.XLOOKUP($C83,StrategiesSolutions[S&amp;S ID],StrategiesSolutions[Strategy Details / Do nothing Justification],""),IF(_xlpm.x=0,"",_xlpm.x)))</f>
      </c>
      <c r="L83" s="62"/>
      <c r="M83" s="62"/>
      <c r="N83" s="330"/>
      <c r="O83" s="196">
        <f t="shared" si="5"/>
      </c>
      <c r="P83" s="197">
        <f ca="1">IF($C83="","",_xlfn.LET(_xlpm.ssStatus,_xlfn.XLOOKUP($C83,StrategiesSolutions[S&amp;S ID],StrategiesSolutions[Status],""),IF($L83="","Not Scheduled",IF($M83="",IF($L83&lt;TODAY(),"Overdue","Scheduled"),IF($N83="","Result Required",IF(OR($E83="",$F83="",$Q83=""),"Incomplete Exercise",IF($N83="Fail","Failed",IF(OR($N83="Pass with Findings",_xlpm.ssStatus&lt;&gt;"Completed"),"Pass with Findings","Passed"))))))))</f>
      </c>
      <c r="Q83">
        <f t="shared" si="6"/>
      </c>
    </row>
    <row r="84" spans="1:17" x14ac:dyDescent="0.35">
      <c r="A84" s="192">
        <v>80</v>
      </c>
      <c r="B84" s="193">
        <f t="shared" si="4"/>
      </c>
      <c r="C84" s="317"/>
      <c r="D84" s="194">
        <f>IF($C84="","",_xlfn.XLOOKUP($C84,StrategiesSolutions[S&amp;S ID],StrategiesSolutions[Products / Services],""))</f>
      </c>
      <c r="E84" s="61"/>
      <c r="F84" s="61"/>
      <c r="G84" s="195">
        <f>IF($C84="","",_xlfn.XLOOKUP($C84,StrategiesSolutions[S&amp;S ID],StrategiesSolutions[Dependency],""))</f>
      </c>
      <c r="H84" s="194">
        <f>IF($C84="","",_xlfn.XLOOKUP($C84,StrategiesSolutions[S&amp;S ID],StrategiesSolutions[Risk Assumption],""))</f>
      </c>
      <c r="I84" s="194">
        <f>IF($C84="","",_xlfn.XLOOKUP($C84,StrategiesSolutions[S&amp;S ID],StrategiesSolutions[Disruption Scenario],""))</f>
      </c>
      <c r="J84" s="194">
        <f>IF($C84="","",_xlfn.XLOOKUP($C84,StrategiesSolutions[S&amp;S ID],StrategiesSolutions[Strategy],""))</f>
      </c>
      <c r="K84" s="194">
        <f>IF($C84="","",_xlfn.LET(_xlpm.x,_xlfn.XLOOKUP($C84,StrategiesSolutions[S&amp;S ID],StrategiesSolutions[Strategy Details / Do nothing Justification],""),IF(_xlpm.x=0,"",_xlpm.x)))</f>
      </c>
      <c r="L84" s="62"/>
      <c r="M84" s="62"/>
      <c r="N84" s="330"/>
      <c r="O84" s="196">
        <f t="shared" si="5"/>
      </c>
      <c r="P84" s="197">
        <f ca="1">IF($C84="","",_xlfn.LET(_xlpm.ssStatus,_xlfn.XLOOKUP($C84,StrategiesSolutions[S&amp;S ID],StrategiesSolutions[Status],""),IF($L84="","Not Scheduled",IF($M84="",IF($L84&lt;TODAY(),"Overdue","Scheduled"),IF($N84="","Result Required",IF(OR($E84="",$F84="",$Q84=""),"Incomplete Exercise",IF($N84="Fail","Failed",IF(OR($N84="Pass with Findings",_xlpm.ssStatus&lt;&gt;"Completed"),"Pass with Findings","Passed"))))))))</f>
      </c>
      <c r="Q84">
        <f t="shared" si="6"/>
      </c>
    </row>
    <row r="85" spans="1:17" x14ac:dyDescent="0.35">
      <c r="A85" s="192">
        <v>81</v>
      </c>
      <c r="B85" s="193">
        <f t="shared" si="4"/>
      </c>
      <c r="C85" s="317"/>
      <c r="D85" s="194">
        <f>IF($C85="","",_xlfn.XLOOKUP($C85,StrategiesSolutions[S&amp;S ID],StrategiesSolutions[Products / Services],""))</f>
      </c>
      <c r="E85" s="61"/>
      <c r="F85" s="61"/>
      <c r="G85" s="195">
        <f>IF($C85="","",_xlfn.XLOOKUP($C85,StrategiesSolutions[S&amp;S ID],StrategiesSolutions[Dependency],""))</f>
      </c>
      <c r="H85" s="194">
        <f>IF($C85="","",_xlfn.XLOOKUP($C85,StrategiesSolutions[S&amp;S ID],StrategiesSolutions[Risk Assumption],""))</f>
      </c>
      <c r="I85" s="194">
        <f>IF($C85="","",_xlfn.XLOOKUP($C85,StrategiesSolutions[S&amp;S ID],StrategiesSolutions[Disruption Scenario],""))</f>
      </c>
      <c r="J85" s="194">
        <f>IF($C85="","",_xlfn.XLOOKUP($C85,StrategiesSolutions[S&amp;S ID],StrategiesSolutions[Strategy],""))</f>
      </c>
      <c r="K85" s="194">
        <f>IF($C85="","",_xlfn.LET(_xlpm.x,_xlfn.XLOOKUP($C85,StrategiesSolutions[S&amp;S ID],StrategiesSolutions[Strategy Details / Do nothing Justification],""),IF(_xlpm.x=0,"",_xlpm.x)))</f>
      </c>
      <c r="L85" s="62"/>
      <c r="M85" s="62"/>
      <c r="N85" s="330"/>
      <c r="O85" s="196">
        <f t="shared" si="5"/>
      </c>
      <c r="P85" s="197">
        <f ca="1">IF($C85="","",_xlfn.LET(_xlpm.ssStatus,_xlfn.XLOOKUP($C85,StrategiesSolutions[S&amp;S ID],StrategiesSolutions[Status],""),IF($L85="","Not Scheduled",IF($M85="",IF($L85&lt;TODAY(),"Overdue","Scheduled"),IF($N85="","Result Required",IF(OR($E85="",$F85="",$Q85=""),"Incomplete Exercise",IF($N85="Fail","Failed",IF(OR($N85="Pass with Findings",_xlpm.ssStatus&lt;&gt;"Completed"),"Pass with Findings","Passed"))))))))</f>
      </c>
      <c r="Q85">
        <f t="shared" si="6"/>
      </c>
    </row>
    <row r="86" spans="1:17" x14ac:dyDescent="0.35">
      <c r="A86" s="192">
        <v>82</v>
      </c>
      <c r="B86" s="193">
        <f t="shared" si="4"/>
      </c>
      <c r="C86" s="317"/>
      <c r="D86" s="194">
        <f>IF($C86="","",_xlfn.XLOOKUP($C86,StrategiesSolutions[S&amp;S ID],StrategiesSolutions[Products / Services],""))</f>
      </c>
      <c r="E86" s="61"/>
      <c r="F86" s="61"/>
      <c r="G86" s="195">
        <f>IF($C86="","",_xlfn.XLOOKUP($C86,StrategiesSolutions[S&amp;S ID],StrategiesSolutions[Dependency],""))</f>
      </c>
      <c r="H86" s="194">
        <f>IF($C86="","",_xlfn.XLOOKUP($C86,StrategiesSolutions[S&amp;S ID],StrategiesSolutions[Risk Assumption],""))</f>
      </c>
      <c r="I86" s="194">
        <f>IF($C86="","",_xlfn.XLOOKUP($C86,StrategiesSolutions[S&amp;S ID],StrategiesSolutions[Disruption Scenario],""))</f>
      </c>
      <c r="J86" s="194">
        <f>IF($C86="","",_xlfn.XLOOKUP($C86,StrategiesSolutions[S&amp;S ID],StrategiesSolutions[Strategy],""))</f>
      </c>
      <c r="K86" s="194">
        <f>IF($C86="","",_xlfn.LET(_xlpm.x,_xlfn.XLOOKUP($C86,StrategiesSolutions[S&amp;S ID],StrategiesSolutions[Strategy Details / Do nothing Justification],""),IF(_xlpm.x=0,"",_xlpm.x)))</f>
      </c>
      <c r="L86" s="62"/>
      <c r="M86" s="62"/>
      <c r="N86" s="330"/>
      <c r="O86" s="196">
        <f t="shared" si="5"/>
      </c>
      <c r="P86" s="197">
        <f ca="1">IF($C86="","",_xlfn.LET(_xlpm.ssStatus,_xlfn.XLOOKUP($C86,StrategiesSolutions[S&amp;S ID],StrategiesSolutions[Status],""),IF($L86="","Not Scheduled",IF($M86="",IF($L86&lt;TODAY(),"Overdue","Scheduled"),IF($N86="","Result Required",IF(OR($E86="",$F86="",$Q86=""),"Incomplete Exercise",IF($N86="Fail","Failed",IF(OR($N86="Pass with Findings",_xlpm.ssStatus&lt;&gt;"Completed"),"Pass with Findings","Passed"))))))))</f>
      </c>
      <c r="Q86">
        <f t="shared" si="6"/>
      </c>
    </row>
    <row r="87" spans="1:17" x14ac:dyDescent="0.35">
      <c r="A87" s="192">
        <v>83</v>
      </c>
      <c r="B87" s="193">
        <f t="shared" si="4"/>
      </c>
      <c r="C87" s="317"/>
      <c r="D87" s="194">
        <f>IF($C87="","",_xlfn.XLOOKUP($C87,StrategiesSolutions[S&amp;S ID],StrategiesSolutions[Products / Services],""))</f>
      </c>
      <c r="E87" s="61"/>
      <c r="F87" s="61"/>
      <c r="G87" s="195">
        <f>IF($C87="","",_xlfn.XLOOKUP($C87,StrategiesSolutions[S&amp;S ID],StrategiesSolutions[Dependency],""))</f>
      </c>
      <c r="H87" s="194">
        <f>IF($C87="","",_xlfn.XLOOKUP($C87,StrategiesSolutions[S&amp;S ID],StrategiesSolutions[Risk Assumption],""))</f>
      </c>
      <c r="I87" s="194">
        <f>IF($C87="","",_xlfn.XLOOKUP($C87,StrategiesSolutions[S&amp;S ID],StrategiesSolutions[Disruption Scenario],""))</f>
      </c>
      <c r="J87" s="194">
        <f>IF($C87="","",_xlfn.XLOOKUP($C87,StrategiesSolutions[S&amp;S ID],StrategiesSolutions[Strategy],""))</f>
      </c>
      <c r="K87" s="194">
        <f>IF($C87="","",_xlfn.LET(_xlpm.x,_xlfn.XLOOKUP($C87,StrategiesSolutions[S&amp;S ID],StrategiesSolutions[Strategy Details / Do nothing Justification],""),IF(_xlpm.x=0,"",_xlpm.x)))</f>
      </c>
      <c r="L87" s="62"/>
      <c r="M87" s="62"/>
      <c r="N87" s="330"/>
      <c r="O87" s="196">
        <f t="shared" si="5"/>
      </c>
      <c r="P87" s="197">
        <f ca="1">IF($C87="","",_xlfn.LET(_xlpm.ssStatus,_xlfn.XLOOKUP($C87,StrategiesSolutions[S&amp;S ID],StrategiesSolutions[Status],""),IF($L87="","Not Scheduled",IF($M87="",IF($L87&lt;TODAY(),"Overdue","Scheduled"),IF($N87="","Result Required",IF(OR($E87="",$F87="",$Q87=""),"Incomplete Exercise",IF($N87="Fail","Failed",IF(OR($N87="Pass with Findings",_xlpm.ssStatus&lt;&gt;"Completed"),"Pass with Findings","Passed"))))))))</f>
      </c>
      <c r="Q87">
        <f t="shared" si="6"/>
      </c>
    </row>
    <row r="88" spans="1:17" x14ac:dyDescent="0.35">
      <c r="A88" s="192">
        <v>84</v>
      </c>
      <c r="B88" s="193">
        <f t="shared" si="4"/>
      </c>
      <c r="C88" s="317"/>
      <c r="D88" s="194">
        <f>IF($C88="","",_xlfn.XLOOKUP($C88,StrategiesSolutions[S&amp;S ID],StrategiesSolutions[Products / Services],""))</f>
      </c>
      <c r="E88" s="61"/>
      <c r="F88" s="61"/>
      <c r="G88" s="195">
        <f>IF($C88="","",_xlfn.XLOOKUP($C88,StrategiesSolutions[S&amp;S ID],StrategiesSolutions[Dependency],""))</f>
      </c>
      <c r="H88" s="194">
        <f>IF($C88="","",_xlfn.XLOOKUP($C88,StrategiesSolutions[S&amp;S ID],StrategiesSolutions[Risk Assumption],""))</f>
      </c>
      <c r="I88" s="194">
        <f>IF($C88="","",_xlfn.XLOOKUP($C88,StrategiesSolutions[S&amp;S ID],StrategiesSolutions[Disruption Scenario],""))</f>
      </c>
      <c r="J88" s="194">
        <f>IF($C88="","",_xlfn.XLOOKUP($C88,StrategiesSolutions[S&amp;S ID],StrategiesSolutions[Strategy],""))</f>
      </c>
      <c r="K88" s="194">
        <f>IF($C88="","",_xlfn.LET(_xlpm.x,_xlfn.XLOOKUP($C88,StrategiesSolutions[S&amp;S ID],StrategiesSolutions[Strategy Details / Do nothing Justification],""),IF(_xlpm.x=0,"",_xlpm.x)))</f>
      </c>
      <c r="L88" s="62"/>
      <c r="M88" s="62"/>
      <c r="N88" s="330"/>
      <c r="O88" s="196">
        <f t="shared" si="5"/>
      </c>
      <c r="P88" s="197">
        <f ca="1">IF($C88="","",_xlfn.LET(_xlpm.ssStatus,_xlfn.XLOOKUP($C88,StrategiesSolutions[S&amp;S ID],StrategiesSolutions[Status],""),IF($L88="","Not Scheduled",IF($M88="",IF($L88&lt;TODAY(),"Overdue","Scheduled"),IF($N88="","Result Required",IF(OR($E88="",$F88="",$Q88=""),"Incomplete Exercise",IF($N88="Fail","Failed",IF(OR($N88="Pass with Findings",_xlpm.ssStatus&lt;&gt;"Completed"),"Pass with Findings","Passed"))))))))</f>
      </c>
      <c r="Q88">
        <f t="shared" si="6"/>
      </c>
    </row>
    <row r="89" spans="1:17" x14ac:dyDescent="0.35">
      <c r="A89" s="192">
        <v>85</v>
      </c>
      <c r="B89" s="193">
        <f t="shared" si="4"/>
      </c>
      <c r="C89" s="317"/>
      <c r="D89" s="194">
        <f>IF($C89="","",_xlfn.XLOOKUP($C89,StrategiesSolutions[S&amp;S ID],StrategiesSolutions[Products / Services],""))</f>
      </c>
      <c r="E89" s="61"/>
      <c r="F89" s="61"/>
      <c r="G89" s="195">
        <f>IF($C89="","",_xlfn.XLOOKUP($C89,StrategiesSolutions[S&amp;S ID],StrategiesSolutions[Dependency],""))</f>
      </c>
      <c r="H89" s="194">
        <f>IF($C89="","",_xlfn.XLOOKUP($C89,StrategiesSolutions[S&amp;S ID],StrategiesSolutions[Risk Assumption],""))</f>
      </c>
      <c r="I89" s="194">
        <f>IF($C89="","",_xlfn.XLOOKUP($C89,StrategiesSolutions[S&amp;S ID],StrategiesSolutions[Disruption Scenario],""))</f>
      </c>
      <c r="J89" s="194">
        <f>IF($C89="","",_xlfn.XLOOKUP($C89,StrategiesSolutions[S&amp;S ID],StrategiesSolutions[Strategy],""))</f>
      </c>
      <c r="K89" s="194">
        <f>IF($C89="","",_xlfn.LET(_xlpm.x,_xlfn.XLOOKUP($C89,StrategiesSolutions[S&amp;S ID],StrategiesSolutions[Strategy Details / Do nothing Justification],""),IF(_xlpm.x=0,"",_xlpm.x)))</f>
      </c>
      <c r="L89" s="62"/>
      <c r="M89" s="62"/>
      <c r="N89" s="330"/>
      <c r="O89" s="196">
        <f t="shared" si="5"/>
      </c>
      <c r="P89" s="197">
        <f ca="1">IF($C89="","",_xlfn.LET(_xlpm.ssStatus,_xlfn.XLOOKUP($C89,StrategiesSolutions[S&amp;S ID],StrategiesSolutions[Status],""),IF($L89="","Not Scheduled",IF($M89="",IF($L89&lt;TODAY(),"Overdue","Scheduled"),IF($N89="","Result Required",IF(OR($E89="",$F89="",$Q89=""),"Incomplete Exercise",IF($N89="Fail","Failed",IF(OR($N89="Pass with Findings",_xlpm.ssStatus&lt;&gt;"Completed"),"Pass with Findings","Passed"))))))))</f>
      </c>
      <c r="Q89">
        <f t="shared" si="6"/>
      </c>
    </row>
    <row r="90" spans="1:17" x14ac:dyDescent="0.35">
      <c r="A90" s="192">
        <v>86</v>
      </c>
      <c r="B90" s="193">
        <f t="shared" si="4"/>
      </c>
      <c r="C90" s="317"/>
      <c r="D90" s="194">
        <f>IF($C90="","",_xlfn.XLOOKUP($C90,StrategiesSolutions[S&amp;S ID],StrategiesSolutions[Products / Services],""))</f>
      </c>
      <c r="E90" s="61"/>
      <c r="F90" s="61"/>
      <c r="G90" s="195">
        <f>IF($C90="","",_xlfn.XLOOKUP($C90,StrategiesSolutions[S&amp;S ID],StrategiesSolutions[Dependency],""))</f>
      </c>
      <c r="H90" s="194">
        <f>IF($C90="","",_xlfn.XLOOKUP($C90,StrategiesSolutions[S&amp;S ID],StrategiesSolutions[Risk Assumption],""))</f>
      </c>
      <c r="I90" s="194">
        <f>IF($C90="","",_xlfn.XLOOKUP($C90,StrategiesSolutions[S&amp;S ID],StrategiesSolutions[Disruption Scenario],""))</f>
      </c>
      <c r="J90" s="194">
        <f>IF($C90="","",_xlfn.XLOOKUP($C90,StrategiesSolutions[S&amp;S ID],StrategiesSolutions[Strategy],""))</f>
      </c>
      <c r="K90" s="194">
        <f>IF($C90="","",_xlfn.LET(_xlpm.x,_xlfn.XLOOKUP($C90,StrategiesSolutions[S&amp;S ID],StrategiesSolutions[Strategy Details / Do nothing Justification],""),IF(_xlpm.x=0,"",_xlpm.x)))</f>
      </c>
      <c r="L90" s="62"/>
      <c r="M90" s="62"/>
      <c r="N90" s="330"/>
      <c r="O90" s="196">
        <f t="shared" si="5"/>
      </c>
      <c r="P90" s="197">
        <f ca="1">IF($C90="","",_xlfn.LET(_xlpm.ssStatus,_xlfn.XLOOKUP($C90,StrategiesSolutions[S&amp;S ID],StrategiesSolutions[Status],""),IF($L90="","Not Scheduled",IF($M90="",IF($L90&lt;TODAY(),"Overdue","Scheduled"),IF($N90="","Result Required",IF(OR($E90="",$F90="",$Q90=""),"Incomplete Exercise",IF($N90="Fail","Failed",IF(OR($N90="Pass with Findings",_xlpm.ssStatus&lt;&gt;"Completed"),"Pass with Findings","Passed"))))))))</f>
      </c>
      <c r="Q90">
        <f t="shared" si="6"/>
      </c>
    </row>
    <row r="91" spans="1:17" x14ac:dyDescent="0.35">
      <c r="A91" s="192">
        <v>87</v>
      </c>
      <c r="B91" s="193">
        <f t="shared" si="4"/>
      </c>
      <c r="C91" s="317"/>
      <c r="D91" s="194">
        <f>IF($C91="","",_xlfn.XLOOKUP($C91,StrategiesSolutions[S&amp;S ID],StrategiesSolutions[Products / Services],""))</f>
      </c>
      <c r="E91" s="61"/>
      <c r="F91" s="61"/>
      <c r="G91" s="195">
        <f>IF($C91="","",_xlfn.XLOOKUP($C91,StrategiesSolutions[S&amp;S ID],StrategiesSolutions[Dependency],""))</f>
      </c>
      <c r="H91" s="194">
        <f>IF($C91="","",_xlfn.XLOOKUP($C91,StrategiesSolutions[S&amp;S ID],StrategiesSolutions[Risk Assumption],""))</f>
      </c>
      <c r="I91" s="194">
        <f>IF($C91="","",_xlfn.XLOOKUP($C91,StrategiesSolutions[S&amp;S ID],StrategiesSolutions[Disruption Scenario],""))</f>
      </c>
      <c r="J91" s="194">
        <f>IF($C91="","",_xlfn.XLOOKUP($C91,StrategiesSolutions[S&amp;S ID],StrategiesSolutions[Strategy],""))</f>
      </c>
      <c r="K91" s="194">
        <f>IF($C91="","",_xlfn.LET(_xlpm.x,_xlfn.XLOOKUP($C91,StrategiesSolutions[S&amp;S ID],StrategiesSolutions[Strategy Details / Do nothing Justification],""),IF(_xlpm.x=0,"",_xlpm.x)))</f>
      </c>
      <c r="L91" s="62"/>
      <c r="M91" s="62"/>
      <c r="N91" s="330"/>
      <c r="O91" s="196">
        <f t="shared" si="5"/>
      </c>
      <c r="P91" s="197">
        <f ca="1">IF($C91="","",_xlfn.LET(_xlpm.ssStatus,_xlfn.XLOOKUP($C91,StrategiesSolutions[S&amp;S ID],StrategiesSolutions[Status],""),IF($L91="","Not Scheduled",IF($M91="",IF($L91&lt;TODAY(),"Overdue","Scheduled"),IF($N91="","Result Required",IF(OR($E91="",$F91="",$Q91=""),"Incomplete Exercise",IF($N91="Fail","Failed",IF(OR($N91="Pass with Findings",_xlpm.ssStatus&lt;&gt;"Completed"),"Pass with Findings","Passed"))))))))</f>
      </c>
      <c r="Q91">
        <f t="shared" si="6"/>
      </c>
    </row>
    <row r="92" spans="1:17" x14ac:dyDescent="0.35">
      <c r="A92" s="192">
        <v>88</v>
      </c>
      <c r="B92" s="193">
        <f t="shared" si="4"/>
      </c>
      <c r="C92" s="317"/>
      <c r="D92" s="194">
        <f>IF($C92="","",_xlfn.XLOOKUP($C92,StrategiesSolutions[S&amp;S ID],StrategiesSolutions[Products / Services],""))</f>
      </c>
      <c r="E92" s="61"/>
      <c r="F92" s="61"/>
      <c r="G92" s="195">
        <f>IF($C92="","",_xlfn.XLOOKUP($C92,StrategiesSolutions[S&amp;S ID],StrategiesSolutions[Dependency],""))</f>
      </c>
      <c r="H92" s="194">
        <f>IF($C92="","",_xlfn.XLOOKUP($C92,StrategiesSolutions[S&amp;S ID],StrategiesSolutions[Risk Assumption],""))</f>
      </c>
      <c r="I92" s="194">
        <f>IF($C92="","",_xlfn.XLOOKUP($C92,StrategiesSolutions[S&amp;S ID],StrategiesSolutions[Disruption Scenario],""))</f>
      </c>
      <c r="J92" s="194">
        <f>IF($C92="","",_xlfn.XLOOKUP($C92,StrategiesSolutions[S&amp;S ID],StrategiesSolutions[Strategy],""))</f>
      </c>
      <c r="K92" s="194">
        <f>IF($C92="","",_xlfn.LET(_xlpm.x,_xlfn.XLOOKUP($C92,StrategiesSolutions[S&amp;S ID],StrategiesSolutions[Strategy Details / Do nothing Justification],""),IF(_xlpm.x=0,"",_xlpm.x)))</f>
      </c>
      <c r="L92" s="62"/>
      <c r="M92" s="62"/>
      <c r="N92" s="330"/>
      <c r="O92" s="196">
        <f t="shared" si="5"/>
      </c>
      <c r="P92" s="197">
        <f ca="1">IF($C92="","",_xlfn.LET(_xlpm.ssStatus,_xlfn.XLOOKUP($C92,StrategiesSolutions[S&amp;S ID],StrategiesSolutions[Status],""),IF($L92="","Not Scheduled",IF($M92="",IF($L92&lt;TODAY(),"Overdue","Scheduled"),IF($N92="","Result Required",IF(OR($E92="",$F92="",$Q92=""),"Incomplete Exercise",IF($N92="Fail","Failed",IF(OR($N92="Pass with Findings",_xlpm.ssStatus&lt;&gt;"Completed"),"Pass with Findings","Passed"))))))))</f>
      </c>
      <c r="Q92">
        <f t="shared" si="6"/>
      </c>
    </row>
    <row r="93" spans="1:17" x14ac:dyDescent="0.35">
      <c r="A93" s="192">
        <v>89</v>
      </c>
      <c r="B93" s="193">
        <f t="shared" si="4"/>
      </c>
      <c r="C93" s="317"/>
      <c r="D93" s="194">
        <f>IF($C93="","",_xlfn.XLOOKUP($C93,StrategiesSolutions[S&amp;S ID],StrategiesSolutions[Products / Services],""))</f>
      </c>
      <c r="E93" s="61"/>
      <c r="F93" s="61"/>
      <c r="G93" s="195">
        <f>IF($C93="","",_xlfn.XLOOKUP($C93,StrategiesSolutions[S&amp;S ID],StrategiesSolutions[Dependency],""))</f>
      </c>
      <c r="H93" s="194">
        <f>IF($C93="","",_xlfn.XLOOKUP($C93,StrategiesSolutions[S&amp;S ID],StrategiesSolutions[Risk Assumption],""))</f>
      </c>
      <c r="I93" s="194">
        <f>IF($C93="","",_xlfn.XLOOKUP($C93,StrategiesSolutions[S&amp;S ID],StrategiesSolutions[Disruption Scenario],""))</f>
      </c>
      <c r="J93" s="194">
        <f>IF($C93="","",_xlfn.XLOOKUP($C93,StrategiesSolutions[S&amp;S ID],StrategiesSolutions[Strategy],""))</f>
      </c>
      <c r="K93" s="194">
        <f>IF($C93="","",_xlfn.LET(_xlpm.x,_xlfn.XLOOKUP($C93,StrategiesSolutions[S&amp;S ID],StrategiesSolutions[Strategy Details / Do nothing Justification],""),IF(_xlpm.x=0,"",_xlpm.x)))</f>
      </c>
      <c r="L93" s="62"/>
      <c r="M93" s="62"/>
      <c r="N93" s="330"/>
      <c r="O93" s="196">
        <f t="shared" si="5"/>
      </c>
      <c r="P93" s="197">
        <f ca="1">IF($C93="","",_xlfn.LET(_xlpm.ssStatus,_xlfn.XLOOKUP($C93,StrategiesSolutions[S&amp;S ID],StrategiesSolutions[Status],""),IF($L93="","Not Scheduled",IF($M93="",IF($L93&lt;TODAY(),"Overdue","Scheduled"),IF($N93="","Result Required",IF(OR($E93="",$F93="",$Q93=""),"Incomplete Exercise",IF($N93="Fail","Failed",IF(OR($N93="Pass with Findings",_xlpm.ssStatus&lt;&gt;"Completed"),"Pass with Findings","Passed"))))))))</f>
      </c>
      <c r="Q93">
        <f t="shared" si="6"/>
      </c>
    </row>
    <row r="94" spans="1:17" x14ac:dyDescent="0.35">
      <c r="A94" s="192">
        <v>90</v>
      </c>
      <c r="B94" s="193">
        <f t="shared" si="4"/>
      </c>
      <c r="C94" s="317"/>
      <c r="D94" s="194">
        <f>IF($C94="","",_xlfn.XLOOKUP($C94,StrategiesSolutions[S&amp;S ID],StrategiesSolutions[Products / Services],""))</f>
      </c>
      <c r="E94" s="61"/>
      <c r="F94" s="61"/>
      <c r="G94" s="195">
        <f>IF($C94="","",_xlfn.XLOOKUP($C94,StrategiesSolutions[S&amp;S ID],StrategiesSolutions[Dependency],""))</f>
      </c>
      <c r="H94" s="194">
        <f>IF($C94="","",_xlfn.XLOOKUP($C94,StrategiesSolutions[S&amp;S ID],StrategiesSolutions[Risk Assumption],""))</f>
      </c>
      <c r="I94" s="194">
        <f>IF($C94="","",_xlfn.XLOOKUP($C94,StrategiesSolutions[S&amp;S ID],StrategiesSolutions[Disruption Scenario],""))</f>
      </c>
      <c r="J94" s="194">
        <f>IF($C94="","",_xlfn.XLOOKUP($C94,StrategiesSolutions[S&amp;S ID],StrategiesSolutions[Strategy],""))</f>
      </c>
      <c r="K94" s="194">
        <f>IF($C94="","",_xlfn.LET(_xlpm.x,_xlfn.XLOOKUP($C94,StrategiesSolutions[S&amp;S ID],StrategiesSolutions[Strategy Details / Do nothing Justification],""),IF(_xlpm.x=0,"",_xlpm.x)))</f>
      </c>
      <c r="L94" s="62"/>
      <c r="M94" s="62"/>
      <c r="N94" s="330"/>
      <c r="O94" s="196">
        <f t="shared" si="5"/>
      </c>
      <c r="P94" s="197">
        <f ca="1">IF($C94="","",_xlfn.LET(_xlpm.ssStatus,_xlfn.XLOOKUP($C94,StrategiesSolutions[S&amp;S ID],StrategiesSolutions[Status],""),IF($L94="","Not Scheduled",IF($M94="",IF($L94&lt;TODAY(),"Overdue","Scheduled"),IF($N94="","Result Required",IF(OR($E94="",$F94="",$Q94=""),"Incomplete Exercise",IF($N94="Fail","Failed",IF(OR($N94="Pass with Findings",_xlpm.ssStatus&lt;&gt;"Completed"),"Pass with Findings","Passed"))))))))</f>
      </c>
      <c r="Q94">
        <f t="shared" si="6"/>
      </c>
    </row>
    <row r="95" spans="1:17" x14ac:dyDescent="0.35">
      <c r="A95" s="192">
        <v>91</v>
      </c>
      <c r="B95" s="193">
        <f t="shared" si="4"/>
      </c>
      <c r="C95" s="317"/>
      <c r="D95" s="194">
        <f>IF($C95="","",_xlfn.XLOOKUP($C95,StrategiesSolutions[S&amp;S ID],StrategiesSolutions[Products / Services],""))</f>
      </c>
      <c r="E95" s="61"/>
      <c r="F95" s="61"/>
      <c r="G95" s="195">
        <f>IF($C95="","",_xlfn.XLOOKUP($C95,StrategiesSolutions[S&amp;S ID],StrategiesSolutions[Dependency],""))</f>
      </c>
      <c r="H95" s="194">
        <f>IF($C95="","",_xlfn.XLOOKUP($C95,StrategiesSolutions[S&amp;S ID],StrategiesSolutions[Risk Assumption],""))</f>
      </c>
      <c r="I95" s="194">
        <f>IF($C95="","",_xlfn.XLOOKUP($C95,StrategiesSolutions[S&amp;S ID],StrategiesSolutions[Disruption Scenario],""))</f>
      </c>
      <c r="J95" s="194">
        <f>IF($C95="","",_xlfn.XLOOKUP($C95,StrategiesSolutions[S&amp;S ID],StrategiesSolutions[Strategy],""))</f>
      </c>
      <c r="K95" s="194">
        <f>IF($C95="","",_xlfn.LET(_xlpm.x,_xlfn.XLOOKUP($C95,StrategiesSolutions[S&amp;S ID],StrategiesSolutions[Strategy Details / Do nothing Justification],""),IF(_xlpm.x=0,"",_xlpm.x)))</f>
      </c>
      <c r="L95" s="62"/>
      <c r="M95" s="62"/>
      <c r="N95" s="330"/>
      <c r="O95" s="196">
        <f t="shared" si="5"/>
      </c>
      <c r="P95" s="197">
        <f ca="1">IF($C95="","",_xlfn.LET(_xlpm.ssStatus,_xlfn.XLOOKUP($C95,StrategiesSolutions[S&amp;S ID],StrategiesSolutions[Status],""),IF($L95="","Not Scheduled",IF($M95="",IF($L95&lt;TODAY(),"Overdue","Scheduled"),IF($N95="","Result Required",IF(OR($E95="",$F95="",$Q95=""),"Incomplete Exercise",IF($N95="Fail","Failed",IF(OR($N95="Pass with Findings",_xlpm.ssStatus&lt;&gt;"Completed"),"Pass with Findings","Passed"))))))))</f>
      </c>
      <c r="Q95">
        <f t="shared" si="6"/>
      </c>
    </row>
    <row r="96" spans="1:17" x14ac:dyDescent="0.35">
      <c r="A96" s="192">
        <v>92</v>
      </c>
      <c r="B96" s="193">
        <f t="shared" si="4"/>
      </c>
      <c r="C96" s="317"/>
      <c r="D96" s="194">
        <f>IF($C96="","",_xlfn.XLOOKUP($C96,StrategiesSolutions[S&amp;S ID],StrategiesSolutions[Products / Services],""))</f>
      </c>
      <c r="E96" s="61"/>
      <c r="F96" s="61"/>
      <c r="G96" s="195">
        <f>IF($C96="","",_xlfn.XLOOKUP($C96,StrategiesSolutions[S&amp;S ID],StrategiesSolutions[Dependency],""))</f>
      </c>
      <c r="H96" s="194">
        <f>IF($C96="","",_xlfn.XLOOKUP($C96,StrategiesSolutions[S&amp;S ID],StrategiesSolutions[Risk Assumption],""))</f>
      </c>
      <c r="I96" s="194">
        <f>IF($C96="","",_xlfn.XLOOKUP($C96,StrategiesSolutions[S&amp;S ID],StrategiesSolutions[Disruption Scenario],""))</f>
      </c>
      <c r="J96" s="194">
        <f>IF($C96="","",_xlfn.XLOOKUP($C96,StrategiesSolutions[S&amp;S ID],StrategiesSolutions[Strategy],""))</f>
      </c>
      <c r="K96" s="194">
        <f>IF($C96="","",_xlfn.LET(_xlpm.x,_xlfn.XLOOKUP($C96,StrategiesSolutions[S&amp;S ID],StrategiesSolutions[Strategy Details / Do nothing Justification],""),IF(_xlpm.x=0,"",_xlpm.x)))</f>
      </c>
      <c r="L96" s="62"/>
      <c r="M96" s="62"/>
      <c r="N96" s="330"/>
      <c r="O96" s="196">
        <f t="shared" si="5"/>
      </c>
      <c r="P96" s="197">
        <f ca="1">IF($C96="","",_xlfn.LET(_xlpm.ssStatus,_xlfn.XLOOKUP($C96,StrategiesSolutions[S&amp;S ID],StrategiesSolutions[Status],""),IF($L96="","Not Scheduled",IF($M96="",IF($L96&lt;TODAY(),"Overdue","Scheduled"),IF($N96="","Result Required",IF(OR($E96="",$F96="",$Q96=""),"Incomplete Exercise",IF($N96="Fail","Failed",IF(OR($N96="Pass with Findings",_xlpm.ssStatus&lt;&gt;"Completed"),"Pass with Findings","Passed"))))))))</f>
      </c>
      <c r="Q96">
        <f t="shared" si="6"/>
      </c>
    </row>
    <row r="97" spans="1:17" x14ac:dyDescent="0.35">
      <c r="A97" s="192">
        <v>93</v>
      </c>
      <c r="B97" s="193">
        <f t="shared" si="4"/>
      </c>
      <c r="C97" s="317"/>
      <c r="D97" s="194">
        <f>IF($C97="","",_xlfn.XLOOKUP($C97,StrategiesSolutions[S&amp;S ID],StrategiesSolutions[Products / Services],""))</f>
      </c>
      <c r="E97" s="61"/>
      <c r="F97" s="61"/>
      <c r="G97" s="195">
        <f>IF($C97="","",_xlfn.XLOOKUP($C97,StrategiesSolutions[S&amp;S ID],StrategiesSolutions[Dependency],""))</f>
      </c>
      <c r="H97" s="194">
        <f>IF($C97="","",_xlfn.XLOOKUP($C97,StrategiesSolutions[S&amp;S ID],StrategiesSolutions[Risk Assumption],""))</f>
      </c>
      <c r="I97" s="194">
        <f>IF($C97="","",_xlfn.XLOOKUP($C97,StrategiesSolutions[S&amp;S ID],StrategiesSolutions[Disruption Scenario],""))</f>
      </c>
      <c r="J97" s="194">
        <f>IF($C97="","",_xlfn.XLOOKUP($C97,StrategiesSolutions[S&amp;S ID],StrategiesSolutions[Strategy],""))</f>
      </c>
      <c r="K97" s="194">
        <f>IF($C97="","",_xlfn.LET(_xlpm.x,_xlfn.XLOOKUP($C97,StrategiesSolutions[S&amp;S ID],StrategiesSolutions[Strategy Details / Do nothing Justification],""),IF(_xlpm.x=0,"",_xlpm.x)))</f>
      </c>
      <c r="L97" s="62"/>
      <c r="M97" s="62"/>
      <c r="N97" s="330"/>
      <c r="O97" s="196">
        <f t="shared" si="5"/>
      </c>
      <c r="P97" s="197">
        <f ca="1">IF($C97="","",_xlfn.LET(_xlpm.ssStatus,_xlfn.XLOOKUP($C97,StrategiesSolutions[S&amp;S ID],StrategiesSolutions[Status],""),IF($L97="","Not Scheduled",IF($M97="",IF($L97&lt;TODAY(),"Overdue","Scheduled"),IF($N97="","Result Required",IF(OR($E97="",$F97="",$Q97=""),"Incomplete Exercise",IF($N97="Fail","Failed",IF(OR($N97="Pass with Findings",_xlpm.ssStatus&lt;&gt;"Completed"),"Pass with Findings","Passed"))))))))</f>
      </c>
      <c r="Q97">
        <f t="shared" si="6"/>
      </c>
    </row>
    <row r="98" spans="1:17" x14ac:dyDescent="0.35">
      <c r="A98" s="192">
        <v>94</v>
      </c>
      <c r="B98" s="193">
        <f t="shared" si="4"/>
      </c>
      <c r="C98" s="317"/>
      <c r="D98" s="194">
        <f>IF($C98="","",_xlfn.XLOOKUP($C98,StrategiesSolutions[S&amp;S ID],StrategiesSolutions[Products / Services],""))</f>
      </c>
      <c r="E98" s="61"/>
      <c r="F98" s="61"/>
      <c r="G98" s="195">
        <f>IF($C98="","",_xlfn.XLOOKUP($C98,StrategiesSolutions[S&amp;S ID],StrategiesSolutions[Dependency],""))</f>
      </c>
      <c r="H98" s="194">
        <f>IF($C98="","",_xlfn.XLOOKUP($C98,StrategiesSolutions[S&amp;S ID],StrategiesSolutions[Risk Assumption],""))</f>
      </c>
      <c r="I98" s="194">
        <f>IF($C98="","",_xlfn.XLOOKUP($C98,StrategiesSolutions[S&amp;S ID],StrategiesSolutions[Disruption Scenario],""))</f>
      </c>
      <c r="J98" s="194">
        <f>IF($C98="","",_xlfn.XLOOKUP($C98,StrategiesSolutions[S&amp;S ID],StrategiesSolutions[Strategy],""))</f>
      </c>
      <c r="K98" s="194">
        <f>IF($C98="","",_xlfn.LET(_xlpm.x,_xlfn.XLOOKUP($C98,StrategiesSolutions[S&amp;S ID],StrategiesSolutions[Strategy Details / Do nothing Justification],""),IF(_xlpm.x=0,"",_xlpm.x)))</f>
      </c>
      <c r="L98" s="62"/>
      <c r="M98" s="62"/>
      <c r="N98" s="330"/>
      <c r="O98" s="196">
        <f t="shared" si="5"/>
      </c>
      <c r="P98" s="197">
        <f ca="1">IF($C98="","",_xlfn.LET(_xlpm.ssStatus,_xlfn.XLOOKUP($C98,StrategiesSolutions[S&amp;S ID],StrategiesSolutions[Status],""),IF($L98="","Not Scheduled",IF($M98="",IF($L98&lt;TODAY(),"Overdue","Scheduled"),IF($N98="","Result Required",IF(OR($E98="",$F98="",$Q98=""),"Incomplete Exercise",IF($N98="Fail","Failed",IF(OR($N98="Pass with Findings",_xlpm.ssStatus&lt;&gt;"Completed"),"Pass with Findings","Passed"))))))))</f>
      </c>
      <c r="Q98">
        <f t="shared" si="6"/>
      </c>
    </row>
    <row r="99" spans="1:17" x14ac:dyDescent="0.35">
      <c r="A99" s="192">
        <v>95</v>
      </c>
      <c r="B99" s="193">
        <f t="shared" si="4"/>
      </c>
      <c r="C99" s="317"/>
      <c r="D99" s="194">
        <f>IF($C99="","",_xlfn.XLOOKUP($C99,StrategiesSolutions[S&amp;S ID],StrategiesSolutions[Products / Services],""))</f>
      </c>
      <c r="E99" s="61"/>
      <c r="F99" s="61"/>
      <c r="G99" s="195">
        <f>IF($C99="","",_xlfn.XLOOKUP($C99,StrategiesSolutions[S&amp;S ID],StrategiesSolutions[Dependency],""))</f>
      </c>
      <c r="H99" s="194">
        <f>IF($C99="","",_xlfn.XLOOKUP($C99,StrategiesSolutions[S&amp;S ID],StrategiesSolutions[Risk Assumption],""))</f>
      </c>
      <c r="I99" s="194">
        <f>IF($C99="","",_xlfn.XLOOKUP($C99,StrategiesSolutions[S&amp;S ID],StrategiesSolutions[Disruption Scenario],""))</f>
      </c>
      <c r="J99" s="194">
        <f>IF($C99="","",_xlfn.XLOOKUP($C99,StrategiesSolutions[S&amp;S ID],StrategiesSolutions[Strategy],""))</f>
      </c>
      <c r="K99" s="194">
        <f>IF($C99="","",_xlfn.LET(_xlpm.x,_xlfn.XLOOKUP($C99,StrategiesSolutions[S&amp;S ID],StrategiesSolutions[Strategy Details / Do nothing Justification],""),IF(_xlpm.x=0,"",_xlpm.x)))</f>
      </c>
      <c r="L99" s="62"/>
      <c r="M99" s="62"/>
      <c r="N99" s="330"/>
      <c r="O99" s="196">
        <f t="shared" si="5"/>
      </c>
      <c r="P99" s="197">
        <f ca="1">IF($C99="","",_xlfn.LET(_xlpm.ssStatus,_xlfn.XLOOKUP($C99,StrategiesSolutions[S&amp;S ID],StrategiesSolutions[Status],""),IF($L99="","Not Scheduled",IF($M99="",IF($L99&lt;TODAY(),"Overdue","Scheduled"),IF($N99="","Result Required",IF(OR($E99="",$F99="",$Q99=""),"Incomplete Exercise",IF($N99="Fail","Failed",IF(OR($N99="Pass with Findings",_xlpm.ssStatus&lt;&gt;"Completed"),"Pass with Findings","Passed"))))))))</f>
      </c>
      <c r="Q99">
        <f t="shared" si="6"/>
      </c>
    </row>
    <row r="100" spans="1:17" x14ac:dyDescent="0.35">
      <c r="A100" s="192">
        <v>96</v>
      </c>
      <c r="B100" s="193">
        <f t="shared" si="4"/>
      </c>
      <c r="C100" s="317"/>
      <c r="D100" s="194">
        <f>IF($C100="","",_xlfn.XLOOKUP($C100,StrategiesSolutions[S&amp;S ID],StrategiesSolutions[Products / Services],""))</f>
      </c>
      <c r="E100" s="61"/>
      <c r="F100" s="61"/>
      <c r="G100" s="195">
        <f>IF($C100="","",_xlfn.XLOOKUP($C100,StrategiesSolutions[S&amp;S ID],StrategiesSolutions[Dependency],""))</f>
      </c>
      <c r="H100" s="194">
        <f>IF($C100="","",_xlfn.XLOOKUP($C100,StrategiesSolutions[S&amp;S ID],StrategiesSolutions[Risk Assumption],""))</f>
      </c>
      <c r="I100" s="194">
        <f>IF($C100="","",_xlfn.XLOOKUP($C100,StrategiesSolutions[S&amp;S ID],StrategiesSolutions[Disruption Scenario],""))</f>
      </c>
      <c r="J100" s="194">
        <f>IF($C100="","",_xlfn.XLOOKUP($C100,StrategiesSolutions[S&amp;S ID],StrategiesSolutions[Strategy],""))</f>
      </c>
      <c r="K100" s="194">
        <f>IF($C100="","",_xlfn.LET(_xlpm.x,_xlfn.XLOOKUP($C100,StrategiesSolutions[S&amp;S ID],StrategiesSolutions[Strategy Details / Do nothing Justification],""),IF(_xlpm.x=0,"",_xlpm.x)))</f>
      </c>
      <c r="L100" s="62"/>
      <c r="M100" s="62"/>
      <c r="N100" s="330"/>
      <c r="O100" s="196">
        <f t="shared" si="5"/>
      </c>
      <c r="P100" s="197">
        <f ca="1">IF($C100="","",_xlfn.LET(_xlpm.ssStatus,_xlfn.XLOOKUP($C100,StrategiesSolutions[S&amp;S ID],StrategiesSolutions[Status],""),IF($L100="","Not Scheduled",IF($M100="",IF($L100&lt;TODAY(),"Overdue","Scheduled"),IF($N100="","Result Required",IF(OR($E100="",$F100="",$Q100=""),"Incomplete Exercise",IF($N100="Fail","Failed",IF(OR($N100="Pass with Findings",_xlpm.ssStatus&lt;&gt;"Completed"),"Pass with Findings","Passed"))))))))</f>
      </c>
      <c r="Q100">
        <f t="shared" si="6"/>
      </c>
    </row>
    <row r="101" spans="1:17" x14ac:dyDescent="0.35">
      <c r="A101" s="192">
        <v>97</v>
      </c>
      <c r="B101" s="193">
        <f t="shared" si="4"/>
      </c>
      <c r="C101" s="317"/>
      <c r="D101" s="194">
        <f>IF($C101="","",_xlfn.XLOOKUP($C101,StrategiesSolutions[S&amp;S ID],StrategiesSolutions[Products / Services],""))</f>
      </c>
      <c r="E101" s="61"/>
      <c r="F101" s="61"/>
      <c r="G101" s="195">
        <f>IF($C101="","",_xlfn.XLOOKUP($C101,StrategiesSolutions[S&amp;S ID],StrategiesSolutions[Dependency],""))</f>
      </c>
      <c r="H101" s="194">
        <f>IF($C101="","",_xlfn.XLOOKUP($C101,StrategiesSolutions[S&amp;S ID],StrategiesSolutions[Risk Assumption],""))</f>
      </c>
      <c r="I101" s="194">
        <f>IF($C101="","",_xlfn.XLOOKUP($C101,StrategiesSolutions[S&amp;S ID],StrategiesSolutions[Disruption Scenario],""))</f>
      </c>
      <c r="J101" s="194">
        <f>IF($C101="","",_xlfn.XLOOKUP($C101,StrategiesSolutions[S&amp;S ID],StrategiesSolutions[Strategy],""))</f>
      </c>
      <c r="K101" s="194">
        <f>IF($C101="","",_xlfn.LET(_xlpm.x,_xlfn.XLOOKUP($C101,StrategiesSolutions[S&amp;S ID],StrategiesSolutions[Strategy Details / Do nothing Justification],""),IF(_xlpm.x=0,"",_xlpm.x)))</f>
      </c>
      <c r="L101" s="62"/>
      <c r="M101" s="62"/>
      <c r="N101" s="330"/>
      <c r="O101" s="196">
        <f t="shared" si="5"/>
      </c>
      <c r="P101" s="197">
        <f ca="1">IF($C101="","",_xlfn.LET(_xlpm.ssStatus,_xlfn.XLOOKUP($C101,StrategiesSolutions[S&amp;S ID],StrategiesSolutions[Status],""),IF($L101="","Not Scheduled",IF($M101="",IF($L101&lt;TODAY(),"Overdue","Scheduled"),IF($N101="","Result Required",IF(OR($E101="",$F101="",$Q101=""),"Incomplete Exercise",IF($N101="Fail","Failed",IF(OR($N101="Pass with Findings",_xlpm.ssStatus&lt;&gt;"Completed"),"Pass with Findings","Passed"))))))))</f>
      </c>
      <c r="Q101">
        <f t="shared" si="6"/>
      </c>
    </row>
    <row r="102" spans="1:17" x14ac:dyDescent="0.35">
      <c r="A102" s="192">
        <v>98</v>
      </c>
      <c r="B102" s="193">
        <f t="shared" si="4"/>
      </c>
      <c r="C102" s="317"/>
      <c r="D102" s="194">
        <f>IF($C102="","",_xlfn.XLOOKUP($C102,StrategiesSolutions[S&amp;S ID],StrategiesSolutions[Products / Services],""))</f>
      </c>
      <c r="E102" s="61"/>
      <c r="F102" s="61"/>
      <c r="G102" s="195">
        <f>IF($C102="","",_xlfn.XLOOKUP($C102,StrategiesSolutions[S&amp;S ID],StrategiesSolutions[Dependency],""))</f>
      </c>
      <c r="H102" s="194">
        <f>IF($C102="","",_xlfn.XLOOKUP($C102,StrategiesSolutions[S&amp;S ID],StrategiesSolutions[Risk Assumption],""))</f>
      </c>
      <c r="I102" s="194">
        <f>IF($C102="","",_xlfn.XLOOKUP($C102,StrategiesSolutions[S&amp;S ID],StrategiesSolutions[Disruption Scenario],""))</f>
      </c>
      <c r="J102" s="194">
        <f>IF($C102="","",_xlfn.XLOOKUP($C102,StrategiesSolutions[S&amp;S ID],StrategiesSolutions[Strategy],""))</f>
      </c>
      <c r="K102" s="194">
        <f>IF($C102="","",_xlfn.LET(_xlpm.x,_xlfn.XLOOKUP($C102,StrategiesSolutions[S&amp;S ID],StrategiesSolutions[Strategy Details / Do nothing Justification],""),IF(_xlpm.x=0,"",_xlpm.x)))</f>
      </c>
      <c r="L102" s="62"/>
      <c r="M102" s="62"/>
      <c r="N102" s="330"/>
      <c r="O102" s="196">
        <f t="shared" si="5"/>
      </c>
      <c r="P102" s="197">
        <f ca="1">IF($C102="","",_xlfn.LET(_xlpm.ssStatus,_xlfn.XLOOKUP($C102,StrategiesSolutions[S&amp;S ID],StrategiesSolutions[Status],""),IF($L102="","Not Scheduled",IF($M102="",IF($L102&lt;TODAY(),"Overdue","Scheduled"),IF($N102="","Result Required",IF(OR($E102="",$F102="",$Q102=""),"Incomplete Exercise",IF($N102="Fail","Failed",IF(OR($N102="Pass with Findings",_xlpm.ssStatus&lt;&gt;"Completed"),"Pass with Findings","Passed"))))))))</f>
      </c>
      <c r="Q102">
        <f t="shared" si="6"/>
      </c>
    </row>
    <row r="103" spans="1:17" x14ac:dyDescent="0.35">
      <c r="A103" s="192">
        <v>99</v>
      </c>
      <c r="B103" s="193">
        <f t="shared" si="4"/>
      </c>
      <c r="C103" s="317"/>
      <c r="D103" s="194">
        <f>IF($C103="","",_xlfn.XLOOKUP($C103,StrategiesSolutions[S&amp;S ID],StrategiesSolutions[Products / Services],""))</f>
      </c>
      <c r="E103" s="61"/>
      <c r="F103" s="61"/>
      <c r="G103" s="195">
        <f>IF($C103="","",_xlfn.XLOOKUP($C103,StrategiesSolutions[S&amp;S ID],StrategiesSolutions[Dependency],""))</f>
      </c>
      <c r="H103" s="194">
        <f>IF($C103="","",_xlfn.XLOOKUP($C103,StrategiesSolutions[S&amp;S ID],StrategiesSolutions[Risk Assumption],""))</f>
      </c>
      <c r="I103" s="194">
        <f>IF($C103="","",_xlfn.XLOOKUP($C103,StrategiesSolutions[S&amp;S ID],StrategiesSolutions[Disruption Scenario],""))</f>
      </c>
      <c r="J103" s="194">
        <f>IF($C103="","",_xlfn.XLOOKUP($C103,StrategiesSolutions[S&amp;S ID],StrategiesSolutions[Strategy],""))</f>
      </c>
      <c r="K103" s="194">
        <f>IF($C103="","",_xlfn.LET(_xlpm.x,_xlfn.XLOOKUP($C103,StrategiesSolutions[S&amp;S ID],StrategiesSolutions[Strategy Details / Do nothing Justification],""),IF(_xlpm.x=0,"",_xlpm.x)))</f>
      </c>
      <c r="L103" s="62"/>
      <c r="M103" s="62"/>
      <c r="N103" s="330"/>
      <c r="O103" s="196">
        <f t="shared" si="5"/>
      </c>
      <c r="P103" s="197">
        <f ca="1">IF($C103="","",_xlfn.LET(_xlpm.ssStatus,_xlfn.XLOOKUP($C103,StrategiesSolutions[S&amp;S ID],StrategiesSolutions[Status],""),IF($L103="","Not Scheduled",IF($M103="",IF($L103&lt;TODAY(),"Overdue","Scheduled"),IF($N103="","Result Required",IF(OR($E103="",$F103="",$Q103=""),"Incomplete Exercise",IF($N103="Fail","Failed",IF(OR($N103="Pass with Findings",_xlpm.ssStatus&lt;&gt;"Completed"),"Pass with Findings","Passed"))))))))</f>
      </c>
      <c r="Q103">
        <f t="shared" si="6"/>
      </c>
    </row>
    <row r="104" spans="1:17" x14ac:dyDescent="0.35">
      <c r="A104" s="192">
        <v>100</v>
      </c>
      <c r="B104" s="193">
        <f t="shared" si="4"/>
      </c>
      <c r="C104" s="317"/>
      <c r="D104" s="194">
        <f>IF($C104="","",_xlfn.XLOOKUP($C104,StrategiesSolutions[S&amp;S ID],StrategiesSolutions[Products / Services],""))</f>
      </c>
      <c r="E104" s="61"/>
      <c r="F104" s="61"/>
      <c r="G104" s="195">
        <f>IF($C104="","",_xlfn.XLOOKUP($C104,StrategiesSolutions[S&amp;S ID],StrategiesSolutions[Dependency],""))</f>
      </c>
      <c r="H104" s="194">
        <f>IF($C104="","",_xlfn.XLOOKUP($C104,StrategiesSolutions[S&amp;S ID],StrategiesSolutions[Risk Assumption],""))</f>
      </c>
      <c r="I104" s="194">
        <f>IF($C104="","",_xlfn.XLOOKUP($C104,StrategiesSolutions[S&amp;S ID],StrategiesSolutions[Disruption Scenario],""))</f>
      </c>
      <c r="J104" s="194">
        <f>IF($C104="","",_xlfn.XLOOKUP($C104,StrategiesSolutions[S&amp;S ID],StrategiesSolutions[Strategy],""))</f>
      </c>
      <c r="K104" s="194">
        <f>IF($C104="","",_xlfn.LET(_xlpm.x,_xlfn.XLOOKUP($C104,StrategiesSolutions[S&amp;S ID],StrategiesSolutions[Strategy Details / Do nothing Justification],""),IF(_xlpm.x=0,"",_xlpm.x)))</f>
      </c>
      <c r="L104" s="62"/>
      <c r="M104" s="62"/>
      <c r="N104" s="330"/>
      <c r="O104" s="196">
        <f t="shared" si="5"/>
      </c>
      <c r="P104" s="197">
        <f ca="1">IF($C104="","",_xlfn.LET(_xlpm.ssStatus,_xlfn.XLOOKUP($C104,StrategiesSolutions[S&amp;S ID],StrategiesSolutions[Status],""),IF($L104="","Not Scheduled",IF($M104="",IF($L104&lt;TODAY(),"Overdue","Scheduled"),IF($N104="","Result Required",IF(OR($E104="",$F104="",$Q104=""),"Incomplete Exercise",IF($N104="Fail","Failed",IF(OR($N104="Pass with Findings",_xlpm.ssStatus&lt;&gt;"Completed"),"Pass with Findings","Passed"))))))))</f>
      </c>
      <c r="Q104">
        <f t="shared" si="6"/>
      </c>
    </row>
    <row r="109" spans="1:17" x14ac:dyDescent="0.35">
      <c r="K109" s="12"/>
    </row>
    <row r="110" spans="1:17" x14ac:dyDescent="0.35">
      <c r="K110" s="12"/>
    </row>
  </sheetData>
  <mergeCells count="2">
    <mergeCell ref="A2:P2"/>
    <mergeCell ref="A1:P1"/>
  </mergeCells>
  <conditionalFormatting sqref="B5:B104 N5:O104">
    <cfRule type="cellIs" dxfId="43" priority="2" operator="equal">
      <formula>"Completed"</formula>
    </cfRule>
    <cfRule type="cellIs" dxfId="42" priority="3" operator="equal">
      <formula>"Overdue"</formula>
    </cfRule>
    <cfRule type="cellIs" dxfId="41" priority="4" operator="equal">
      <formula>"In Progress"</formula>
    </cfRule>
    <cfRule type="cellIs" dxfId="40" priority="5" operator="equal">
      <formula>"Not Scheduled"</formula>
    </cfRule>
  </conditionalFormatting>
  <conditionalFormatting sqref="P5:P104">
    <cfRule type="expression" dxfId="39" priority="6">
      <formula>$P5="Passed"</formula>
    </cfRule>
    <cfRule type="expression" dxfId="38" priority="7">
      <formula>$P5="Pass with Findings"</formula>
    </cfRule>
    <cfRule type="expression" dxfId="37" priority="8">
      <formula>$P5="Failed"</formula>
    </cfRule>
    <cfRule type="expression" dxfId="36" priority="9">
      <formula>$P5="Overdue"</formula>
    </cfRule>
    <cfRule type="expression" dxfId="35" priority="10">
      <formula>OR($P5="Result Required",$P5="Incomplete Exercise")</formula>
    </cfRule>
    <cfRule type="expression" dxfId="34" priority="11">
      <formula>$P5="Scheduled"</formula>
    </cfRule>
    <cfRule type="expression" dxfId="33" priority="12">
      <formula>$P5="Not Scheduled"</formula>
    </cfRule>
    <cfRule type="expression" dxfId="32" priority="13">
      <formula>AND($B5&lt;&gt;"",OR($P5="Overdue",$P5="Not Scheduled"))</formula>
    </cfRule>
  </conditionalFormatting>
  <conditionalFormatting sqref="E5:F104 L5:L104">
    <cfRule type="expression" dxfId="250" priority="14">
      <formula>AND($C5&lt;&gt;"",E5="")</formula>
    </cfRule>
  </conditionalFormatting>
  <dataValidations count="2">
    <dataValidation type="list" allowBlank="1" sqref="C5:C104" xr:uid="{00000000-0002-0000-0E00-000000000000}">
      <formula1>SSIDs</formula1>
      <formula2>0</formula2>
    </dataValidation>
    <dataValidation type="list" allowBlank="1" showInputMessage="1" showErrorMessage="1" errorTitle="Invalid result" error="Select Pass, Pass with Findings, or Fail." promptTitle="Exercise result" prompt="Select Pass, Pass with Findings, or Fail based on evidence." sqref="N5:N104" xr:uid="{A3D76ED4-3FB1-4633-B7E5-6EC54AC2817F}">
      <formula1>"Pass,Pass with Findings,Fail"</formula1>
    </dataValidation>
  </dataValidations>
  <pageMargins left="0.75" right="0.75" top="1" bottom="1" header="0.511811023622047" footer="0.51180555555555596"/>
  <pageSetup paperSize="9" orientation="portrait" horizontalDpi="300" verticalDpi="300"/>
  <headerFooter>
    <oddFooter>&amp;L&amp;A&amp;RPage &amp;P of &amp;N</oddFooter>
  </headerFooter>
  <legacyDrawing r:id="rId1"/>
  <tableParts count="1">
    <tablePart r:id="rId2"/>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2A900"/>
  </sheetPr>
  <dimension ref="A1:X200"/>
  <sheetViews>
    <sheetView showGridLines="0" zoomScale="70" zoomScaleNormal="70" workbookViewId="0">
      <pane ySplit="5" topLeftCell="A6" activePane="bottomLeft" state="frozen"/>
      <selection pane="bottomLeft" sqref="A1:X1"/>
    </sheetView>
  </sheetViews>
  <sheetFormatPr defaultColWidth="8.54296875" defaultRowHeight="14.5" x14ac:dyDescent="0.35"/>
  <cols>
    <col min="1" max="1" width="6.81640625" bestFit="1" customWidth="1"/>
    <col min="2" max="2" width="20.54296875" bestFit="1" customWidth="1"/>
    <col min="3" max="3" width="23.453125" bestFit="1" customWidth="1"/>
    <col min="4" max="4" width="11.453125" bestFit="1" customWidth="1"/>
    <col min="5" max="5" width="9.54296875" bestFit="1" customWidth="1"/>
    <col min="6" max="6" width="11.453125" bestFit="1" customWidth="1"/>
    <col min="7" max="7" width="11.81640625" bestFit="1" customWidth="1"/>
    <col min="8" max="8" width="11.1796875" bestFit="1" customWidth="1"/>
    <col min="9" max="9" width="21.81640625" bestFit="1" customWidth="1"/>
    <col min="10" max="10" width="20.7265625" bestFit="1" customWidth="1"/>
    <col min="11" max="11" width="17.1796875" bestFit="1" customWidth="1"/>
    <col min="12" max="12" width="11.453125" bestFit="1" customWidth="1"/>
    <col min="13" max="13" width="16.1796875" bestFit="1" customWidth="1"/>
    <col min="14" max="14" width="18.54296875" bestFit="1" customWidth="1"/>
    <col min="15" max="15" width="19.54296875" bestFit="1" customWidth="1"/>
    <col min="16" max="16" width="21.26953125" bestFit="1" customWidth="1"/>
    <col min="17" max="17" width="23.26953125" bestFit="1" customWidth="1"/>
    <col min="18" max="18" width="14" bestFit="1" customWidth="1"/>
    <col min="19" max="19" width="16.1796875" bestFit="1" customWidth="1"/>
    <col min="20" max="20" width="15.54296875" bestFit="1" customWidth="1"/>
    <col min="21" max="21" width="16.1796875" bestFit="1" customWidth="1"/>
    <col min="22" max="22" width="14.1796875" bestFit="1" customWidth="1"/>
    <col min="23" max="23" width="23.453125" bestFit="1" customWidth="1"/>
    <col min="24" max="24" width="17" bestFit="1" customWidth="1"/>
  </cols>
  <sheetData>
    <row r="1" spans="1:24" ht="23" x14ac:dyDescent="0.35">
      <c r="A1" s="215" t="s">
        <v>330</v>
      </c>
      <c r="B1" s="215"/>
      <c r="C1" s="215"/>
      <c r="D1" s="215"/>
      <c r="E1" s="215"/>
      <c r="F1" s="215"/>
      <c r="G1" s="215"/>
      <c r="H1" s="215"/>
      <c r="I1" s="215"/>
      <c r="J1" s="215"/>
      <c r="K1" s="215"/>
      <c r="L1" s="215"/>
      <c r="M1" s="215"/>
      <c r="N1" s="215"/>
      <c r="O1" s="215"/>
      <c r="P1" s="215"/>
      <c r="Q1" s="215"/>
      <c r="R1" s="215"/>
      <c r="S1" s="215"/>
      <c r="T1" s="215"/>
      <c r="U1" s="215"/>
      <c r="V1" s="215"/>
      <c r="W1" s="215"/>
      <c r="X1" s="215"/>
    </row>
    <row r="2" spans="1:24" ht="16.5" x14ac:dyDescent="0.35">
      <c r="A2" s="216"/>
      <c r="B2" s="216"/>
      <c r="C2" s="216"/>
      <c r="D2" s="216"/>
      <c r="E2" s="216"/>
      <c r="F2" s="216"/>
      <c r="G2" s="216"/>
      <c r="H2" s="216"/>
      <c r="I2" s="216"/>
      <c r="J2" s="216"/>
      <c r="K2" s="216"/>
      <c r="L2" s="216"/>
      <c r="M2" s="216"/>
      <c r="N2" s="216"/>
      <c r="O2" s="216"/>
      <c r="P2" s="216"/>
      <c r="Q2" s="216"/>
      <c r="R2" s="216"/>
      <c r="S2" s="216"/>
      <c r="T2" s="216"/>
      <c r="U2" s="216"/>
      <c r="V2" s="216"/>
      <c r="W2" s="216"/>
      <c r="X2" s="216"/>
    </row>
    <row r="5" spans="1:24" ht="45" x14ac:dyDescent="0.35">
      <c r="A5" s="129" t="s">
        <v>276</v>
      </c>
      <c r="B5" s="129" t="s">
        <v>331</v>
      </c>
      <c r="C5" s="129" t="s">
        <v>332</v>
      </c>
      <c r="D5" s="129" t="s">
        <v>333</v>
      </c>
      <c r="E5" s="129" t="s">
        <v>334</v>
      </c>
      <c r="F5" s="129" t="s">
        <v>335</v>
      </c>
      <c r="G5" s="129" t="s">
        <v>336</v>
      </c>
      <c r="H5" s="129" t="s">
        <v>337</v>
      </c>
      <c r="I5" s="129" t="s">
        <v>338</v>
      </c>
      <c r="J5" s="129" t="s">
        <v>339</v>
      </c>
      <c r="K5" s="129" t="s">
        <v>340</v>
      </c>
      <c r="L5" s="129" t="s">
        <v>273</v>
      </c>
      <c r="M5" s="129" t="s">
        <v>341</v>
      </c>
      <c r="N5" s="129" t="s">
        <v>342</v>
      </c>
      <c r="O5" s="129" t="s">
        <v>343</v>
      </c>
      <c r="P5" s="129" t="s">
        <v>344</v>
      </c>
      <c r="Q5" s="130" t="s">
        <v>345</v>
      </c>
      <c r="R5" s="130" t="s">
        <v>346</v>
      </c>
      <c r="S5" s="129" t="s">
        <v>347</v>
      </c>
      <c r="T5" s="129" t="s">
        <v>348</v>
      </c>
      <c r="U5" s="129" t="s">
        <v>349</v>
      </c>
      <c r="V5" s="129" t="s">
        <v>350</v>
      </c>
      <c r="W5" s="130" t="s">
        <v>351</v>
      </c>
      <c r="X5" s="130" t="s">
        <v>352</v>
      </c>
    </row>
    <row r="6" spans="1:24" ht="15" x14ac:dyDescent="0.35">
      <c r="A6" s="4" cm="1">
        <f t="array" ref="A6">_xlfn._xlws.FILTER(INDEX(RiskAssessment[],0,2),INDEX(RiskAssessment[],0,2)&lt;&gt;"","")</f>
      </c>
      <c r="B6" s="199" cm="1">
        <f t="array" ref="B6">IF(_xlfn.ANCHORARRAY(A6)="","",_xlfn.XLOOKUP(_xlfn.ANCHORARRAY(A6),INDEX(RiskAssessment[],0,2),INDEX(RiskAssessment[],0,7),""))</f>
      </c>
      <c r="C6" s="199" cm="1">
        <f t="array" ref="C6">IF(_xlfn.ANCHORARRAY(A6)="","",_xlfn.XLOOKUP(_xlfn.ANCHORARRAY(A6),INDEX(RiskAssessment[],0,2),INDEX(RiskAssessment[],0,8),""))</f>
      </c>
      <c r="D6" s="7" cm="1">
        <f t="array" ref="D6">IF(_xlfn.ANCHORARRAY(A6)="","",_xlfn.XLOOKUP(_xlfn.ANCHORARRAY(A6),INDEX(RiskAssessment[],0,2),INDEX(RiskAssessment[],0,5),""))</f>
      </c>
      <c r="E6" s="7" cm="1">
        <f t="array" ref="E6">IF(_xlfn.ANCHORARRAY(A6)="","",_xlfn.XLOOKUP(_xlfn.ANCHORARRAY(A6),INDEX(RiskAssessment[],0,2),INDEX(RiskAssessment[],0,12),""))</f>
      </c>
      <c r="F6" s="7" cm="1">
        <f t="array" ref="F6">IF(_xlfn.ANCHORARRAY(A6)="","",_xlfn.XLOOKUP(_xlfn.ANCHORARRAY(A6),INDEX(RiskAssessment[],0,2),INDEX(RiskAssessment[],0,14),""))</f>
      </c>
      <c r="G6" s="7" cm="1">
        <f t="array" ref="G6">IF(_xlfn.ANCHORARRAY(A6)="","",_xlfn.XLOOKUP(_xlfn.ANCHORARRAY(A6),INDEX(RiskAssessment[],0,2),INDEX(RiskAssessment[],0,16),""))</f>
      </c>
      <c r="H6" s="200" cm="1">
        <f t="array" ref="H6">IF(_xlfn.ANCHORARRAY(A6)="","",_xlfn.XLOOKUP(_xlfn.ANCHORARRAY(A6),INDEX(RiskAssessment[],0,2),INDEX(RiskAssessment[],0,17),""))</f>
      </c>
      <c r="I6" s="199" cm="1">
        <f t="array" ref="I6">_xlfn.MAP(_xlfn.ANCHORARRAY(A6),_xlfn.LAMBDA(_xlpm.id,IF(_xlpm.id="","",_xlfn.LET(_xlpm.r,_xlfn.XMATCH(_xlpm.id,INDEX(RiskAssessment[],0,2)),_xlpm.selBU,INDEX(INDEX(RiskAssessment[],0,3),_xlpm.r),_xlpm.selDiv,INDEX(INDEX(RiskAssessment[],0,4),_xlpm.r),_xlpm.selDep,INDEX(INDEX(RiskAssessment[],0,5),_xlpm.r),_xlpm.bia,_xlfn.SCAN("",'07. BIA'!$B$6:$B$285,_xlfn.LAMBDA(_xlpm.a,_xlpm.v,IF(_xlpm.v="",_xlpm.a,_xlpm.v))),_xlpm.bu,_xlfn.SCAN("",'07. BIA'!$C$6:$C$285,_xlfn.LAMBDA(_xlpm.a,_xlpm.v,IF(_xlpm.v="",_xlpm.a,_xlpm.v))),_xlpm.div,_xlfn.SCAN("",'07. BIA'!$D$6:$D$285,_xlfn.LAMBDA(_xlpm.a,_xlpm.v,IF(_xlpm.v="",_xlpm.a,_xlpm.v))),_xlpm.srcDep,LOWER(SUBSTITUTE(SUBSTITUTE(SUBSTITUTE('07. BIA'!$G$6:$G$285," ",""),"-",""),"/","")),_xlpm.rawKey,LOWER(SUBSTITUTE(SUBSTITUTE(SUBSTITUTE(_xlpm.selDep," ",""),"-",""),"/","")),_xlpm.key,IF(_xlpm.rawKey="data","datainfo",_xlpm.rawKey),IF(_xlpm.selDiv="",IFERROR(_xlfn.TEXTJOIN(",",TRUE,_xlfn.UNIQUE(_xlfn._xlws.FILTER(_xlpm.bia,(_xlpm.bu=_xlpm.selBU)*(_xlpm.bia&lt;&gt;"")))),""),IF(_xlpm.selDep="","",IFERROR(_xlfn.TEXTJOIN(",",TRUE,_xlfn.UNIQUE(_xlfn._xlws.FILTER(_xlpm.bia,(_xlpm.bu=_xlpm.selBU)*(_xlpm.div=_xlpm.selDiv)*(_xlpm.srcDep=_xlpm.key)*('07. BIA'!$H$6:$H$285="Yes")))),"")))))))</f>
      </c>
      <c r="J6" s="199" cm="1">
        <f t="array" ref="J6">_xlfn.MAP(_xlfn.ANCHORARRAY(A6),_xlfn.ANCHORARRAY(I6),_xlfn.LAMBDA(_xlpm.id,_xlpm.bias,IF(_xlpm.id="","",IF(_xlpm.bias="","",_xlfn.LET(_xlpm.x,TRIM(_xlfn.TEXTSPLIT(_xlpm.bias,",")),_xlpm.names,_xlfn.XLOOKUP(_xlpm.x,'07. BIA'!$B$6:$B$285,'07. BIA'!$E$6:$E$285,""),IFERROR(_xlfn.TEXTJOIN(", ",TRUE,_xlfn.UNIQUE(_xlfn._xlws.FILTER(_xlpm.names,_xlpm.names&lt;&gt;""))),""))))))</f>
      </c>
      <c r="K6" s="199" cm="1">
        <f t="array" ref="K6">_xlfn.MAP(_xlfn.ANCHORARRAY(A6),_xlfn.LAMBDA(_xlpm.id,IF(_xlpm.id="","",_xlfn.LET(_xlpm.ss,_xlfn._xlws.FILTER(INDEX(StrategiesSolutions[],0,3),(INDEX(StrategiesSolutions[],0,2)=_xlpm.id)*(INDEX(StrategiesSolutions[],0,3)&lt;&gt;""),""),_xlpm.x,_xlfn._xlws.FILTER(INDEX(RecoveryResponsePlans[],0,2),ISNUMBER(_xlfn.XMATCH(INDEX(RecoveryResponsePlans[],0,3),_xlpm.ss))*(INDEX(RecoveryResponsePlans[],0,2)&lt;&gt;""),""),IF(SUM(--(_xlpm.x&lt;&gt;""))=0,"Not Created",_xlfn.TEXTJOIN(",",TRUE,_xlfn.UNIQUE(_xlpm.x)))))))</f>
      </c>
      <c r="L6" s="7" cm="1">
        <f t="array" ref="L6">_xlfn.MAP(_xlfn.ANCHORARRAY(A6),_xlfn.LAMBDA(_xlpm.id,IF(_xlpm.id="","",_xlfn.LET(_xlpm.x,_xlfn._xlws.FILTER(INDEX(StrategiesSolutions[],0,3),(INDEX(StrategiesSolutions[],0,2)=_xlpm.id)*(INDEX(StrategiesSolutions[],0,3)&lt;&gt;""),""),IF(SUM(--(_xlpm.x&lt;&gt;""))=0,"Not Created",_xlfn.TEXTJOIN(",",TRUE,_xlfn.UNIQUE(_xlpm.x)))))))</f>
      </c>
      <c r="M6" s="7" cm="1">
        <f t="array" ref="M6">_xlfn.MAP(_xlfn.ANCHORARRAY(A6),_xlfn.LAMBDA(_xlpm.id,IF(_xlpm.id="","",_xlfn.LET(_xlpm.s,_xlfn._xlws.FILTER(INDEX(StrategiesSolutions[],0,20),(INDEX(StrategiesSolutions[],0,2)=_xlpm.id)*(INDEX(StrategiesSolutions[],0,3)&lt;&gt;""),""),_xlpm.n,SUM(--(_xlpm.s&lt;&gt;"")),_xlpm.ord,{"Completed","Planned","In Progress","Incomplete","Overdue"},IF(_xlpm.n=0,"Not Created",INDEX(_xlpm.ord,1,MAX(IFERROR(_xlfn.XMATCH(_xlpm.s,_xlpm.ord,0),4))))))))</f>
      </c>
      <c r="N6" s="201" cm="1">
        <f t="array" ref="N6">_xlfn.MAP(_xlfn.ANCHORARRAY(A6),_xlfn.LAMBDA(_xlpm.id,IF(_xlpm.id="","",_xlfn.LET(_xlpm.d,_xlfn._xlws.FILTER(INDEX(StrategiesSolutions[],0,18),(INDEX(StrategiesSolutions[],0,2)=_xlpm.id)*(INDEX(StrategiesSolutions[],0,3)&lt;&gt;"")*(INDEX(StrategiesSolutions[],0,20)&lt;&gt;"Completed")*(ISNUMBER(INDEX(StrategiesSolutions[],0,18))),""),IF(SUM(--ISNUMBER(_xlpm.d))=0,"",MIN(_xlpm.d))))))</f>
      </c>
      <c r="O6" s="7" cm="1">
        <f t="array" ref="O6">_xlfn.MAP(_xlfn.ANCHORARRAY(A6),_xlfn.LAMBDA(_xlpm.id,IF(_xlpm.id="","",_xlfn.LET(_xlpm.ss,_xlfn._xlws.FILTER(INDEX(StrategiesSolutions[],0,3),(INDEX(StrategiesSolutions[],0,2)=_xlpm.id)*(INDEX(StrategiesSolutions[],0,3)&lt;&gt;""),""),_xlpm.st,_xlfn._xlws.FILTER(INDEX(RecoveryResponsePlans[],0,16),ISNUMBER(_xlfn.XMATCH(INDEX(RecoveryResponsePlans[],0,3),_xlpm.ss))*(INDEX(RecoveryResponsePlans[],0,2)&lt;&gt;""),""),_xlpm.n,SUM(--(_xlpm.st&lt;&gt;"")),_xlpm.ord,{"Passed","Scheduled","Not Scheduled","Pass with Findings","Result Required","Incomplete Exercise","Overdue","Failed"},IF(_xlpm.n=0,"Not Created",INDEX(_xlpm.ord,1,MAX(IFERROR(_xlfn.XMATCH(_xlpm.st,_xlpm.ord,0),4))))))))</f>
      </c>
      <c r="P6" s="202" cm="1">
        <f t="array" aca="1" ref="P6" ca="1">IF(_xlfn.ANCHORARRAY(A6)="","",IF(_xlfn.ANCHORARRAY(X6)="Incomplete","Red - Action Required",_xlfn.MAP(_xlfn.ANCHORARRAY(G6),_xlfn.ANCHORARRAY(H6),_xlfn.ANCHORARRAY(M6),_xlfn.ANCHORARRAY(N6),_xlfn.ANCHORARRAY(O6),_xlfn.LAMBDA(_xlpm.rating,_xlpm.priority,_xlpm.ss,_xlpm.due,_xlpm.exercise,_xlfn.LET(_xlpm.critical,OR(_xlpm.rating="Critical",AND(ISNUMBER(_xlpm.priority),_xlpm.priority=1)),_xlpm.unrated,_xlpm.rating="",_xlfn.IFS(OR(_xlpm.unrated,_xlpm.ss="Overdue",_xlpm.exercise="Failed",_xlpm.exercise="Overdue",AND(_xlpm.critical,OR(_xlpm.ss="Not Created",_xlpm.exercise="Not Created"))),"Red - Action Required",OR(_xlpm.ss="Not Created",_xlpm.ss="Incomplete",_xlpm.ss="In Progress",_xlpm.exercise="Not Created",_xlpm.exercise="Result Required",_xlpm.exercise="Not Scheduled",AND(ISNUMBER(_xlpm.due),_xlpm.due&lt;TODAY())),"Amber - Attention",TRUE,"Green - On Track"))))))</f>
      </c>
      <c r="Q6" s="202" cm="1">
        <f t="array" aca="1" ref="Q6" ca="1">IF(_xlfn.ANCHORARRAY(A6)="","",IF(_xlfn.ANCHORARRAY(X6)="Incomplete","ESCALATE: Source risk record incomplete",_xlfn.MAP(_xlfn.ANCHORARRAY(G6),_xlfn.ANCHORARRAY(H6),_xlfn.ANCHORARRAY(M6),_xlfn.ANCHORARRAY(N6),_xlfn.ANCHORARRAY(O6),_xlfn.ANCHORARRAY(P6),_xlfn.LAMBDA(_xlpm.rating,_xlpm.priority,_xlpm.ss,_xlpm.due,_xlpm.exercise,_xlpm.health,_xlfn.LET(_xlpm.critical,OR(_xlpm.rating="Critical",AND(ISNUMBER(_xlpm.priority),_xlpm.priority=1)),_xlpm.unrated,_xlpm.rating="",_xlfn.IFS(AND(_xlpm.unrated,_xlpm.ss="Not Created"),"ESCALATE: Unrated risk has no strategy",AND(_xlpm.critical,_xlpm.ss="Not Created"),"ESCALATE: Critical risk has no strategy",AND(_xlpm.critical,_xlpm.exercise="Not Created"),"ESCALATE: Critical risk has no recovery plan",_xlpm.ss="Overdue","ESCALATE: Strategy overdue",AND(ISNUMBER(_xlpm.due),_xlpm.due&lt;TODAY()),"ESCALATE: Strategy action overdue",_xlpm.exercise="Overdue","ESCALATE: Exercise overdue",_xlpm.exercise="Failed","ESCALATE: Exercise failed",_xlpm.exercise="Result Required","ESCALATE: Exercise result required",OR(_xlpm.exercise="Not Scheduled",_xlpm.exercise="Not Created"),"REVIEW: Exercise not scheduled",_xlpm.health="Amber - Attention","REVIEW: Treatment needs attention",TRUE,"MONITOR"))))))</f>
      </c>
      <c r="R6" s="202" cm="1">
        <f t="array" ref="R6">IF(_xlfn.ANCHORARRAY(A6)="","",_xlfn.LET(_xlpm.x,_xlfn.XLOOKUP(_xlfn.ANCHORARRAY(A6),INDEX(RiskAssessment[],0,2),INDEX(RiskAssessment[],0,18),""),IF(_xlpm.x=0,"",_xlpm.x)))</f>
      </c>
      <c r="S6" s="202" cm="1">
        <f t="array" ref="S6">IF(_xlfn.ANCHORARRAY(A6)="","",_xlfn.XLOOKUP(_xlfn.ANCHORARRAY(A6),INDEX(RiskAssessment[],0,2),INDEX(RiskAssessment[],0,21),""))</f>
      </c>
      <c r="T6" s="202" cm="1">
        <f t="array" ref="T6">IF(_xlfn.ANCHORARRAY(A6)="","",_xlfn.XLOOKUP(_xlfn.ANCHORARRAY(A6),INDEX(RiskAssessment[],0,2),INDEX(RiskAssessment[],0,22),""))</f>
      </c>
      <c r="U6" s="202" cm="1">
        <f t="array" ref="U6">IF(_xlfn.ANCHORARRAY(A6)="","",_xlfn.XLOOKUP(_xlfn.ANCHORARRAY(A6),INDEX(RiskAssessment[],0,2),INDEX(RiskAssessment[],0,23),""))</f>
      </c>
      <c r="V6" s="202" cm="1">
        <f t="array" ref="V6">IF(_xlfn.ANCHORARRAY(A6)="","",_xlfn.XLOOKUP(_xlfn.ANCHORARRAY(A6),INDEX(RiskAssessment[],0,2),INDEX(RiskAssessment[],0,24),""))</f>
      </c>
      <c r="W6" s="202" cm="1">
        <f t="array" ref="W6">IF(_xlfn.ANCHORARRAY(A6)="","",_xlfn.XLOOKUP(_xlfn.ANCHORARRAY(A6),INDEX(RiskAssessment[],0,2),INDEX(RiskAssessment[],0,25),""))</f>
      </c>
      <c r="X6" s="202" cm="1">
        <f t="array" ref="X6">IF(_xlfn.ANCHORARRAY(A6)="","",_xlfn.XLOOKUP(_xlfn.ANCHORARRAY(A6),INDEX(RiskAssessment[],0,2),INDEX(RiskAssessment[],0,26),""))</f>
      </c>
    </row>
    <row r="7" spans="1:24" ht="15" x14ac:dyDescent="0.35">
      <c r="A7" s="4"/>
      <c r="B7" s="199"/>
      <c r="C7" s="199"/>
      <c r="D7" s="7"/>
      <c r="E7" s="7"/>
      <c r="F7" s="7"/>
      <c r="G7" s="7"/>
      <c r="H7" s="200"/>
      <c r="I7" s="199"/>
      <c r="J7" s="199"/>
      <c r="K7" s="199"/>
      <c r="L7" s="7"/>
      <c r="M7" s="7"/>
      <c r="N7" s="201"/>
      <c r="O7" s="7"/>
      <c r="P7" s="202"/>
      <c r="Q7" s="202"/>
      <c r="R7" s="202"/>
      <c r="S7" s="202"/>
      <c r="T7" s="202"/>
      <c r="U7" s="202"/>
      <c r="V7" s="202"/>
      <c r="W7" s="202"/>
      <c r="X7" s="202"/>
    </row>
    <row r="8" spans="1:24" ht="15" x14ac:dyDescent="0.35">
      <c r="A8" s="4"/>
      <c r="B8" s="199"/>
      <c r="C8" s="199"/>
      <c r="D8" s="7"/>
      <c r="E8" s="7"/>
      <c r="F8" s="7"/>
      <c r="G8" s="7"/>
      <c r="H8" s="200"/>
      <c r="I8" s="199"/>
      <c r="J8" s="199"/>
      <c r="K8" s="199"/>
      <c r="L8" s="7"/>
      <c r="M8" s="7"/>
      <c r="N8" s="201"/>
      <c r="O8" s="7"/>
      <c r="P8" s="202"/>
      <c r="Q8" s="202"/>
      <c r="R8" s="202"/>
      <c r="S8" s="202"/>
      <c r="T8" s="202"/>
      <c r="U8" s="202"/>
      <c r="V8" s="202"/>
      <c r="W8" s="202"/>
      <c r="X8" s="202"/>
    </row>
    <row r="9" spans="1:24" ht="15" x14ac:dyDescent="0.35">
      <c r="A9" s="4"/>
      <c r="B9" s="199"/>
      <c r="C9" s="199"/>
      <c r="D9" s="7"/>
      <c r="E9" s="7"/>
      <c r="F9" s="7"/>
      <c r="G9" s="7"/>
      <c r="H9" s="200"/>
      <c r="I9" s="199"/>
      <c r="J9" s="199"/>
      <c r="K9" s="199"/>
      <c r="L9" s="7"/>
      <c r="M9" s="7"/>
      <c r="N9" s="201"/>
      <c r="O9" s="7"/>
      <c r="P9" s="202"/>
      <c r="Q9" s="202"/>
      <c r="R9" s="202"/>
      <c r="S9" s="202"/>
      <c r="T9" s="202"/>
      <c r="U9" s="202"/>
      <c r="V9" s="202"/>
      <c r="W9" s="202"/>
      <c r="X9" s="202"/>
    </row>
    <row r="10" spans="1:24" ht="15" x14ac:dyDescent="0.35">
      <c r="A10" s="4"/>
      <c r="B10" s="199"/>
      <c r="C10" s="199"/>
      <c r="D10" s="7"/>
      <c r="E10" s="7"/>
      <c r="F10" s="7"/>
      <c r="G10" s="7"/>
      <c r="H10" s="200"/>
      <c r="I10" s="199"/>
      <c r="J10" s="199"/>
      <c r="K10" s="199"/>
      <c r="L10" s="7"/>
      <c r="M10" s="7"/>
      <c r="N10" s="201"/>
      <c r="O10" s="7"/>
      <c r="P10" s="202"/>
      <c r="Q10" s="202"/>
      <c r="R10" s="202"/>
      <c r="S10" s="202"/>
      <c r="T10" s="202"/>
      <c r="U10" s="202"/>
      <c r="V10" s="202"/>
      <c r="W10" s="202"/>
      <c r="X10" s="202"/>
    </row>
    <row r="11" spans="1:24" ht="15" x14ac:dyDescent="0.35">
      <c r="A11" s="4"/>
      <c r="B11" s="199"/>
      <c r="C11" s="199"/>
      <c r="D11" s="7"/>
      <c r="E11" s="7"/>
      <c r="F11" s="7"/>
      <c r="G11" s="7"/>
      <c r="H11" s="200"/>
      <c r="I11" s="199"/>
      <c r="J11" s="199"/>
      <c r="K11" s="199"/>
      <c r="L11" s="7"/>
      <c r="M11" s="7"/>
      <c r="N11" s="201"/>
      <c r="O11" s="7"/>
      <c r="P11" s="202"/>
      <c r="Q11" s="202"/>
      <c r="R11" s="202"/>
      <c r="S11" s="202"/>
      <c r="T11" s="202"/>
      <c r="U11" s="202"/>
      <c r="V11" s="202"/>
      <c r="W11" s="202"/>
      <c r="X11" s="202"/>
    </row>
    <row r="12" spans="1:24" ht="15" x14ac:dyDescent="0.35">
      <c r="A12" s="4"/>
      <c r="B12" s="199"/>
      <c r="C12" s="199"/>
      <c r="D12" s="7"/>
      <c r="E12" s="7"/>
      <c r="F12" s="7"/>
      <c r="G12" s="7"/>
      <c r="H12" s="200"/>
      <c r="I12" s="199"/>
      <c r="J12" s="199"/>
      <c r="K12" s="199"/>
      <c r="L12" s="7"/>
      <c r="M12" s="7"/>
      <c r="N12" s="201"/>
      <c r="O12" s="7"/>
      <c r="P12" s="202"/>
      <c r="Q12" s="202"/>
      <c r="R12" s="202"/>
      <c r="S12" s="202"/>
      <c r="T12" s="202"/>
      <c r="U12" s="202"/>
      <c r="V12" s="202"/>
      <c r="W12" s="202"/>
      <c r="X12" s="202"/>
    </row>
    <row r="13" spans="1:24" ht="15" x14ac:dyDescent="0.35">
      <c r="A13" s="4"/>
      <c r="B13" s="199"/>
      <c r="C13" s="199"/>
      <c r="D13" s="7"/>
      <c r="E13" s="7"/>
      <c r="F13" s="7"/>
      <c r="G13" s="7"/>
      <c r="H13" s="200"/>
      <c r="I13" s="199"/>
      <c r="J13" s="199"/>
      <c r="K13" s="199"/>
      <c r="L13" s="7"/>
      <c r="M13" s="7"/>
      <c r="N13" s="201"/>
      <c r="O13" s="7"/>
      <c r="P13" s="202"/>
      <c r="Q13" s="202"/>
      <c r="R13" s="202"/>
      <c r="S13" s="202"/>
      <c r="T13" s="202"/>
      <c r="U13" s="202"/>
      <c r="V13" s="202"/>
      <c r="W13" s="202"/>
      <c r="X13" s="202"/>
    </row>
    <row r="14" spans="1:24" ht="15" x14ac:dyDescent="0.35">
      <c r="A14" s="4"/>
      <c r="B14" s="199"/>
      <c r="C14" s="199"/>
      <c r="D14" s="7"/>
      <c r="E14" s="7"/>
      <c r="F14" s="7"/>
      <c r="G14" s="7"/>
      <c r="H14" s="200"/>
      <c r="I14" s="199"/>
      <c r="J14" s="199"/>
      <c r="K14" s="199"/>
      <c r="L14" s="7"/>
      <c r="M14" s="7"/>
      <c r="N14" s="201"/>
      <c r="O14" s="7"/>
      <c r="P14" s="202"/>
      <c r="Q14" s="202"/>
      <c r="R14" s="202"/>
      <c r="S14" s="202"/>
      <c r="T14" s="202"/>
      <c r="U14" s="202"/>
      <c r="V14" s="202"/>
      <c r="W14" s="202"/>
      <c r="X14" s="202"/>
    </row>
    <row r="15" spans="1:24" ht="15" x14ac:dyDescent="0.35">
      <c r="A15" s="4"/>
      <c r="B15" s="199"/>
      <c r="C15" s="199"/>
      <c r="D15" s="7"/>
      <c r="E15" s="7"/>
      <c r="F15" s="7"/>
      <c r="G15" s="7"/>
      <c r="H15" s="200"/>
      <c r="I15" s="199"/>
      <c r="J15" s="199"/>
      <c r="K15" s="199"/>
      <c r="L15" s="7"/>
      <c r="M15" s="7"/>
      <c r="N15" s="201"/>
      <c r="O15" s="7"/>
      <c r="P15" s="202"/>
      <c r="Q15" s="202"/>
      <c r="R15" s="202"/>
      <c r="S15" s="202"/>
      <c r="T15" s="202"/>
      <c r="U15" s="202"/>
      <c r="V15" s="202"/>
      <c r="W15" s="202"/>
      <c r="X15" s="202"/>
    </row>
    <row r="16" spans="1:24" ht="15" x14ac:dyDescent="0.35">
      <c r="A16" s="4"/>
      <c r="B16" s="199"/>
      <c r="C16" s="199"/>
      <c r="D16" s="7"/>
      <c r="E16" s="7"/>
      <c r="F16" s="7"/>
      <c r="G16" s="7"/>
      <c r="H16" s="200"/>
      <c r="I16" s="199"/>
      <c r="J16" s="199"/>
      <c r="K16" s="199"/>
      <c r="L16" s="7"/>
      <c r="M16" s="7"/>
      <c r="N16" s="201"/>
      <c r="O16" s="7"/>
      <c r="P16" s="202"/>
      <c r="Q16" s="202"/>
      <c r="R16" s="202"/>
      <c r="S16" s="202"/>
      <c r="T16" s="202"/>
      <c r="U16" s="202"/>
      <c r="V16" s="202"/>
      <c r="W16" s="202"/>
      <c r="X16" s="202"/>
    </row>
    <row r="17" spans="1:24" ht="15" x14ac:dyDescent="0.35">
      <c r="A17" s="4"/>
      <c r="B17" s="199"/>
      <c r="C17" s="199"/>
      <c r="D17" s="7"/>
      <c r="E17" s="7"/>
      <c r="F17" s="7"/>
      <c r="G17" s="7"/>
      <c r="H17" s="200"/>
      <c r="I17" s="199"/>
      <c r="J17" s="199"/>
      <c r="K17" s="199"/>
      <c r="L17" s="7"/>
      <c r="M17" s="7"/>
      <c r="N17" s="201"/>
      <c r="O17" s="7"/>
      <c r="P17" s="202"/>
      <c r="Q17" s="202"/>
      <c r="R17" s="202"/>
      <c r="S17" s="202"/>
      <c r="T17" s="202"/>
      <c r="U17" s="202"/>
      <c r="V17" s="202"/>
      <c r="W17" s="202"/>
      <c r="X17" s="202"/>
    </row>
    <row r="18" spans="1:24" ht="15" x14ac:dyDescent="0.35">
      <c r="A18" s="4"/>
      <c r="B18" s="199"/>
      <c r="C18" s="199"/>
      <c r="D18" s="7"/>
      <c r="E18" s="7"/>
      <c r="F18" s="7"/>
      <c r="G18" s="7"/>
      <c r="H18" s="200"/>
      <c r="I18" s="199"/>
      <c r="J18" s="199"/>
      <c r="K18" s="199"/>
      <c r="L18" s="7"/>
      <c r="M18" s="7"/>
      <c r="N18" s="201"/>
      <c r="O18" s="7"/>
      <c r="P18" s="202"/>
      <c r="Q18" s="202"/>
      <c r="R18" s="202"/>
      <c r="S18" s="202"/>
      <c r="T18" s="202"/>
      <c r="U18" s="202"/>
      <c r="V18" s="202"/>
      <c r="W18" s="202"/>
      <c r="X18" s="202"/>
    </row>
    <row r="19" spans="1:24" ht="15" x14ac:dyDescent="0.35">
      <c r="A19" s="4"/>
      <c r="B19" s="199"/>
      <c r="C19" s="199"/>
      <c r="D19" s="7"/>
      <c r="E19" s="7"/>
      <c r="F19" s="7"/>
      <c r="G19" s="7"/>
      <c r="H19" s="200"/>
      <c r="I19" s="199"/>
      <c r="J19" s="199"/>
      <c r="K19" s="199"/>
      <c r="L19" s="7"/>
      <c r="M19" s="7"/>
      <c r="N19" s="201"/>
      <c r="O19" s="7"/>
      <c r="P19" s="202"/>
      <c r="Q19" s="202"/>
      <c r="R19" s="202"/>
      <c r="S19" s="202"/>
      <c r="T19" s="202"/>
      <c r="U19" s="202"/>
      <c r="V19" s="202"/>
      <c r="W19" s="202"/>
      <c r="X19" s="202"/>
    </row>
    <row r="20" spans="1:24" ht="15" x14ac:dyDescent="0.35">
      <c r="A20" s="4"/>
      <c r="B20" s="199"/>
      <c r="C20" s="199"/>
      <c r="D20" s="7"/>
      <c r="E20" s="7"/>
      <c r="F20" s="7"/>
      <c r="G20" s="7"/>
      <c r="H20" s="200"/>
      <c r="I20" s="199"/>
      <c r="J20" s="199"/>
      <c r="K20" s="199"/>
      <c r="L20" s="7"/>
      <c r="M20" s="7"/>
      <c r="N20" s="201"/>
      <c r="O20" s="7"/>
      <c r="P20" s="202"/>
      <c r="Q20" s="202"/>
      <c r="R20" s="202"/>
      <c r="S20" s="202"/>
      <c r="T20" s="202"/>
      <c r="U20" s="202"/>
      <c r="V20" s="202"/>
      <c r="W20" s="202"/>
      <c r="X20" s="202"/>
    </row>
    <row r="21" spans="1:24" ht="15" x14ac:dyDescent="0.35">
      <c r="A21" s="4"/>
      <c r="B21" s="199"/>
      <c r="C21" s="199"/>
      <c r="D21" s="7"/>
      <c r="E21" s="7"/>
      <c r="F21" s="7"/>
      <c r="G21" s="7"/>
      <c r="H21" s="200"/>
      <c r="I21" s="199"/>
      <c r="J21" s="199"/>
      <c r="K21" s="199"/>
      <c r="L21" s="7"/>
      <c r="M21" s="7"/>
      <c r="N21" s="201"/>
      <c r="O21" s="7"/>
      <c r="P21" s="202"/>
      <c r="Q21" s="202"/>
      <c r="R21" s="202"/>
      <c r="S21" s="202"/>
      <c r="T21" s="202"/>
      <c r="U21" s="202"/>
      <c r="V21" s="202"/>
      <c r="W21" s="202"/>
      <c r="X21" s="202"/>
    </row>
    <row r="22" spans="1:24" ht="15" x14ac:dyDescent="0.35">
      <c r="A22" s="4"/>
      <c r="B22" s="199"/>
      <c r="C22" s="199"/>
      <c r="D22" s="7"/>
      <c r="E22" s="7"/>
      <c r="F22" s="7"/>
      <c r="G22" s="7"/>
      <c r="H22" s="200"/>
      <c r="I22" s="199"/>
      <c r="J22" s="199"/>
      <c r="K22" s="199"/>
      <c r="L22" s="7"/>
      <c r="M22" s="7"/>
      <c r="N22" s="201"/>
      <c r="O22" s="7"/>
      <c r="P22" s="202"/>
      <c r="Q22" s="202"/>
      <c r="R22" s="202"/>
      <c r="S22" s="202"/>
      <c r="T22" s="202"/>
      <c r="U22" s="202"/>
      <c r="V22" s="202"/>
      <c r="W22" s="202"/>
      <c r="X22" s="202"/>
    </row>
    <row r="23" spans="1:24" ht="15" x14ac:dyDescent="0.35">
      <c r="A23" s="4"/>
      <c r="B23" s="199"/>
      <c r="C23" s="199"/>
      <c r="D23" s="7"/>
      <c r="E23" s="7"/>
      <c r="F23" s="7"/>
      <c r="G23" s="7"/>
      <c r="H23" s="200"/>
      <c r="I23" s="199"/>
      <c r="J23" s="199"/>
      <c r="K23" s="199"/>
      <c r="L23" s="7"/>
      <c r="M23" s="7"/>
      <c r="N23" s="201"/>
      <c r="O23" s="7"/>
      <c r="P23" s="202"/>
      <c r="Q23" s="202"/>
      <c r="R23" s="202"/>
      <c r="S23" s="202"/>
      <c r="T23" s="202"/>
      <c r="U23" s="202"/>
      <c r="V23" s="202"/>
      <c r="W23" s="202"/>
      <c r="X23" s="202"/>
    </row>
    <row r="24" spans="1:24" ht="15" x14ac:dyDescent="0.35">
      <c r="A24" s="4"/>
      <c r="B24" s="199"/>
      <c r="C24" s="199"/>
      <c r="D24" s="7"/>
      <c r="E24" s="7"/>
      <c r="F24" s="7"/>
      <c r="G24" s="7"/>
      <c r="H24" s="200"/>
      <c r="I24" s="199"/>
      <c r="J24" s="199"/>
      <c r="K24" s="199"/>
      <c r="L24" s="7"/>
      <c r="M24" s="7"/>
      <c r="N24" s="201"/>
      <c r="O24" s="7"/>
      <c r="P24" s="202"/>
      <c r="Q24" s="202"/>
      <c r="R24" s="202"/>
      <c r="S24" s="202"/>
      <c r="T24" s="202"/>
      <c r="U24" s="202"/>
      <c r="V24" s="202"/>
      <c r="W24" s="202"/>
      <c r="X24" s="202"/>
    </row>
    <row r="25" spans="1:24" ht="15" x14ac:dyDescent="0.35">
      <c r="A25" s="4"/>
      <c r="B25" s="199"/>
      <c r="C25" s="199"/>
      <c r="D25" s="7"/>
      <c r="E25" s="7"/>
      <c r="F25" s="7"/>
      <c r="G25" s="7"/>
      <c r="H25" s="200"/>
      <c r="I25" s="199"/>
      <c r="J25" s="199"/>
      <c r="K25" s="199"/>
      <c r="L25" s="7"/>
      <c r="M25" s="7"/>
      <c r="N25" s="201"/>
      <c r="O25" s="7"/>
      <c r="P25" s="202"/>
      <c r="Q25" s="202"/>
      <c r="R25" s="202"/>
      <c r="S25" s="202"/>
      <c r="T25" s="202"/>
      <c r="U25" s="202"/>
      <c r="V25" s="202"/>
      <c r="W25" s="202"/>
      <c r="X25" s="202"/>
    </row>
    <row r="26" spans="1:24" ht="15" x14ac:dyDescent="0.35">
      <c r="A26" s="4"/>
      <c r="B26" s="199"/>
      <c r="C26" s="199"/>
      <c r="D26" s="7"/>
      <c r="E26" s="7"/>
      <c r="F26" s="7"/>
      <c r="G26" s="7"/>
      <c r="H26" s="200"/>
      <c r="I26" s="199"/>
      <c r="J26" s="199"/>
      <c r="K26" s="199"/>
      <c r="L26" s="7"/>
      <c r="M26" s="7"/>
      <c r="N26" s="201"/>
      <c r="O26" s="7"/>
      <c r="P26" s="202"/>
      <c r="Q26" s="202"/>
      <c r="R26" s="202"/>
      <c r="S26" s="202"/>
      <c r="T26" s="202"/>
      <c r="U26" s="202"/>
      <c r="V26" s="202"/>
      <c r="W26" s="202"/>
      <c r="X26" s="202"/>
    </row>
    <row r="27" spans="1:24" ht="15" x14ac:dyDescent="0.35">
      <c r="A27" s="4"/>
      <c r="B27" s="199"/>
      <c r="C27" s="199"/>
      <c r="D27" s="7"/>
      <c r="E27" s="7"/>
      <c r="F27" s="7"/>
      <c r="G27" s="7"/>
      <c r="H27" s="200"/>
      <c r="I27" s="199"/>
      <c r="J27" s="199"/>
      <c r="K27" s="199"/>
      <c r="L27" s="7"/>
      <c r="M27" s="7"/>
      <c r="N27" s="201"/>
      <c r="O27" s="7"/>
      <c r="P27" s="202"/>
      <c r="Q27" s="202"/>
      <c r="R27" s="202"/>
      <c r="S27" s="202"/>
      <c r="T27" s="202"/>
      <c r="U27" s="202"/>
      <c r="V27" s="202"/>
      <c r="W27" s="202"/>
      <c r="X27" s="202"/>
    </row>
    <row r="28" spans="1:24" ht="15" x14ac:dyDescent="0.35">
      <c r="A28" s="4"/>
      <c r="B28" s="199"/>
      <c r="C28" s="199"/>
      <c r="D28" s="7"/>
      <c r="E28" s="7"/>
      <c r="F28" s="7"/>
      <c r="G28" s="7"/>
      <c r="H28" s="200"/>
      <c r="I28" s="199"/>
      <c r="J28" s="199"/>
      <c r="K28" s="199"/>
      <c r="L28" s="7"/>
      <c r="M28" s="7"/>
      <c r="N28" s="201"/>
      <c r="O28" s="7"/>
      <c r="P28" s="202"/>
      <c r="Q28" s="202"/>
      <c r="R28" s="202"/>
      <c r="S28" s="202"/>
      <c r="T28" s="202"/>
      <c r="U28" s="202"/>
      <c r="V28" s="202"/>
      <c r="W28" s="202"/>
      <c r="X28" s="202"/>
    </row>
    <row r="29" spans="1:24" ht="15" x14ac:dyDescent="0.35">
      <c r="A29" s="4"/>
      <c r="B29" s="199"/>
      <c r="C29" s="199"/>
      <c r="D29" s="7"/>
      <c r="E29" s="7"/>
      <c r="F29" s="7"/>
      <c r="G29" s="7"/>
      <c r="H29" s="200"/>
      <c r="I29" s="199"/>
      <c r="J29" s="199"/>
      <c r="K29" s="199"/>
      <c r="L29" s="7"/>
      <c r="M29" s="7"/>
      <c r="N29" s="201"/>
      <c r="O29" s="7"/>
      <c r="P29" s="202"/>
      <c r="Q29" s="202"/>
      <c r="R29" s="202"/>
      <c r="S29" s="202"/>
      <c r="T29" s="202"/>
      <c r="U29" s="202"/>
      <c r="V29" s="202"/>
      <c r="W29" s="202"/>
      <c r="X29" s="202"/>
    </row>
    <row r="30" spans="1:24" ht="15" x14ac:dyDescent="0.35">
      <c r="A30" s="4"/>
      <c r="B30" s="199"/>
      <c r="C30" s="199"/>
      <c r="D30" s="7"/>
      <c r="E30" s="7"/>
      <c r="F30" s="7"/>
      <c r="G30" s="7"/>
      <c r="H30" s="200"/>
      <c r="I30" s="199"/>
      <c r="J30" s="199"/>
      <c r="K30" s="199"/>
      <c r="L30" s="7"/>
      <c r="M30" s="7"/>
      <c r="N30" s="201"/>
      <c r="O30" s="7"/>
      <c r="P30" s="202"/>
      <c r="Q30" s="202"/>
      <c r="R30" s="202"/>
      <c r="S30" s="202"/>
      <c r="T30" s="202"/>
      <c r="U30" s="202"/>
      <c r="V30" s="202"/>
      <c r="W30" s="202"/>
      <c r="X30" s="202"/>
    </row>
    <row r="31" spans="1:24" ht="15" x14ac:dyDescent="0.35">
      <c r="A31" s="4"/>
      <c r="B31" s="199"/>
      <c r="C31" s="199"/>
      <c r="D31" s="7"/>
      <c r="E31" s="7"/>
      <c r="F31" s="7"/>
      <c r="G31" s="7"/>
      <c r="H31" s="200"/>
      <c r="I31" s="199"/>
      <c r="J31" s="199"/>
      <c r="K31" s="199"/>
      <c r="L31" s="7"/>
      <c r="M31" s="7"/>
      <c r="N31" s="201"/>
      <c r="O31" s="7"/>
      <c r="P31" s="202"/>
      <c r="Q31" s="202"/>
      <c r="R31" s="202"/>
      <c r="S31" s="202"/>
      <c r="T31" s="202"/>
      <c r="U31" s="202"/>
      <c r="V31" s="202"/>
      <c r="W31" s="202"/>
      <c r="X31" s="202"/>
    </row>
    <row r="32" spans="1:24" ht="15" x14ac:dyDescent="0.35">
      <c r="A32" s="4"/>
      <c r="B32" s="199"/>
      <c r="C32" s="199"/>
      <c r="D32" s="7"/>
      <c r="E32" s="7"/>
      <c r="F32" s="7"/>
      <c r="G32" s="7"/>
      <c r="H32" s="200"/>
      <c r="I32" s="199"/>
      <c r="J32" s="199"/>
      <c r="K32" s="199"/>
      <c r="L32" s="7"/>
      <c r="M32" s="7"/>
      <c r="N32" s="201"/>
      <c r="O32" s="7"/>
      <c r="P32" s="202"/>
      <c r="Q32" s="202"/>
      <c r="R32" s="202"/>
      <c r="S32" s="202"/>
      <c r="T32" s="202"/>
      <c r="U32" s="202"/>
      <c r="V32" s="202"/>
      <c r="W32" s="202"/>
      <c r="X32" s="202"/>
    </row>
    <row r="33" spans="1:24" ht="15" x14ac:dyDescent="0.35">
      <c r="A33" s="4"/>
      <c r="B33" s="199"/>
      <c r="C33" s="199"/>
      <c r="D33" s="7"/>
      <c r="E33" s="7"/>
      <c r="F33" s="7"/>
      <c r="G33" s="7"/>
      <c r="H33" s="200"/>
      <c r="I33" s="199"/>
      <c r="J33" s="199"/>
      <c r="K33" s="199"/>
      <c r="L33" s="7"/>
      <c r="M33" s="7"/>
      <c r="N33" s="201"/>
      <c r="O33" s="7"/>
      <c r="P33" s="202"/>
      <c r="Q33" s="202"/>
      <c r="R33" s="202"/>
      <c r="S33" s="202"/>
      <c r="T33" s="202"/>
      <c r="U33" s="202"/>
      <c r="V33" s="202"/>
      <c r="W33" s="202"/>
      <c r="X33" s="202"/>
    </row>
    <row r="34" spans="1:24" ht="15" x14ac:dyDescent="0.35">
      <c r="A34" s="4"/>
      <c r="B34" s="199"/>
      <c r="C34" s="199"/>
      <c r="D34" s="7"/>
      <c r="E34" s="7"/>
      <c r="F34" s="7"/>
      <c r="G34" s="7"/>
      <c r="H34" s="200"/>
      <c r="I34" s="199"/>
      <c r="J34" s="199"/>
      <c r="K34" s="199"/>
      <c r="L34" s="7"/>
      <c r="M34" s="7"/>
      <c r="N34" s="201"/>
      <c r="O34" s="7"/>
      <c r="P34" s="202"/>
      <c r="Q34" s="202"/>
      <c r="R34" s="202"/>
      <c r="S34" s="202"/>
      <c r="T34" s="202"/>
      <c r="U34" s="202"/>
      <c r="V34" s="202"/>
      <c r="W34" s="202"/>
      <c r="X34" s="202"/>
    </row>
    <row r="35" spans="1:24" ht="15" x14ac:dyDescent="0.35">
      <c r="A35" s="4"/>
      <c r="B35" s="199"/>
      <c r="C35" s="199"/>
      <c r="D35" s="7"/>
      <c r="E35" s="7"/>
      <c r="F35" s="7"/>
      <c r="G35" s="7"/>
      <c r="H35" s="200"/>
      <c r="I35" s="199"/>
      <c r="J35" s="199"/>
      <c r="K35" s="199"/>
      <c r="L35" s="7"/>
      <c r="M35" s="7"/>
      <c r="N35" s="201"/>
      <c r="O35" s="7"/>
      <c r="P35" s="202"/>
      <c r="Q35" s="202"/>
      <c r="R35" s="202"/>
      <c r="S35" s="202"/>
      <c r="T35" s="202"/>
      <c r="U35" s="202"/>
      <c r="V35" s="202"/>
      <c r="W35" s="202"/>
      <c r="X35" s="202"/>
    </row>
    <row r="36" spans="1:24" ht="15" x14ac:dyDescent="0.35">
      <c r="A36" s="4"/>
      <c r="B36" s="199"/>
      <c r="C36" s="199"/>
      <c r="D36" s="7"/>
      <c r="E36" s="7"/>
      <c r="F36" s="7"/>
      <c r="G36" s="7"/>
      <c r="H36" s="200"/>
      <c r="I36" s="199"/>
      <c r="J36" s="199"/>
      <c r="K36" s="199"/>
      <c r="L36" s="7"/>
      <c r="M36" s="7"/>
      <c r="N36" s="201"/>
      <c r="O36" s="7"/>
      <c r="P36" s="202"/>
      <c r="Q36" s="202"/>
      <c r="R36" s="202"/>
      <c r="S36" s="202"/>
      <c r="T36" s="202"/>
      <c r="U36" s="202"/>
      <c r="V36" s="202"/>
      <c r="W36" s="202"/>
      <c r="X36" s="202"/>
    </row>
    <row r="37" spans="1:24" ht="15" x14ac:dyDescent="0.35">
      <c r="A37" s="4"/>
      <c r="B37" s="199"/>
      <c r="C37" s="199"/>
      <c r="D37" s="7"/>
      <c r="E37" s="7"/>
      <c r="F37" s="7"/>
      <c r="G37" s="7"/>
      <c r="H37" s="200"/>
      <c r="I37" s="199"/>
      <c r="J37" s="199"/>
      <c r="K37" s="199"/>
      <c r="L37" s="7"/>
      <c r="M37" s="7"/>
      <c r="N37" s="201"/>
      <c r="O37" s="7"/>
      <c r="P37" s="202"/>
      <c r="Q37" s="202"/>
      <c r="R37" s="202"/>
      <c r="S37" s="202"/>
      <c r="T37" s="202"/>
      <c r="U37" s="202"/>
      <c r="V37" s="202"/>
      <c r="W37" s="202"/>
      <c r="X37" s="202"/>
    </row>
    <row r="38" spans="1:24" ht="15" x14ac:dyDescent="0.35">
      <c r="A38" s="4"/>
      <c r="B38" s="199"/>
      <c r="C38" s="199"/>
      <c r="D38" s="7"/>
      <c r="E38" s="7"/>
      <c r="F38" s="7"/>
      <c r="G38" s="7"/>
      <c r="H38" s="200"/>
      <c r="I38" s="199"/>
      <c r="J38" s="199"/>
      <c r="K38" s="199"/>
      <c r="L38" s="7"/>
      <c r="M38" s="7"/>
      <c r="N38" s="201"/>
      <c r="O38" s="7"/>
      <c r="P38" s="202"/>
      <c r="Q38" s="202"/>
      <c r="R38" s="202"/>
      <c r="S38" s="202"/>
      <c r="T38" s="202"/>
      <c r="U38" s="202"/>
      <c r="V38" s="202"/>
      <c r="W38" s="202"/>
      <c r="X38" s="202"/>
    </row>
    <row r="39" spans="1:24" ht="15" x14ac:dyDescent="0.35">
      <c r="A39" s="4"/>
      <c r="B39" s="199"/>
      <c r="C39" s="199"/>
      <c r="D39" s="7"/>
      <c r="E39" s="7"/>
      <c r="F39" s="7"/>
      <c r="G39" s="7"/>
      <c r="H39" s="200"/>
      <c r="I39" s="199"/>
      <c r="J39" s="199"/>
      <c r="K39" s="199"/>
      <c r="L39" s="7"/>
      <c r="M39" s="7"/>
      <c r="N39" s="201"/>
      <c r="O39" s="7"/>
      <c r="P39" s="202"/>
      <c r="Q39" s="202"/>
      <c r="R39" s="202"/>
      <c r="S39" s="202"/>
      <c r="T39" s="202"/>
      <c r="U39" s="202"/>
      <c r="V39" s="202"/>
      <c r="W39" s="202"/>
      <c r="X39" s="202"/>
    </row>
    <row r="40" spans="1:24" ht="15" x14ac:dyDescent="0.35">
      <c r="A40" s="4"/>
      <c r="B40" s="199"/>
      <c r="C40" s="199"/>
      <c r="D40" s="7"/>
      <c r="E40" s="7"/>
      <c r="F40" s="7"/>
      <c r="G40" s="7"/>
      <c r="H40" s="200"/>
      <c r="I40" s="199"/>
      <c r="J40" s="199"/>
      <c r="K40" s="199"/>
      <c r="L40" s="7"/>
      <c r="M40" s="7"/>
      <c r="N40" s="201"/>
      <c r="O40" s="7"/>
      <c r="P40" s="202"/>
      <c r="Q40" s="202"/>
      <c r="R40" s="202"/>
      <c r="S40" s="202"/>
      <c r="T40" s="202"/>
      <c r="U40" s="202"/>
      <c r="V40" s="202"/>
      <c r="W40" s="202"/>
      <c r="X40" s="202"/>
    </row>
    <row r="41" spans="1:24" ht="15" x14ac:dyDescent="0.35">
      <c r="A41" s="4"/>
      <c r="B41" s="199"/>
      <c r="C41" s="199"/>
      <c r="D41" s="7"/>
      <c r="E41" s="7"/>
      <c r="F41" s="7"/>
      <c r="G41" s="7"/>
      <c r="H41" s="200"/>
      <c r="I41" s="199"/>
      <c r="J41" s="199"/>
      <c r="K41" s="199"/>
      <c r="L41" s="7"/>
      <c r="M41" s="7"/>
      <c r="N41" s="201"/>
      <c r="O41" s="7"/>
      <c r="P41" s="202"/>
      <c r="Q41" s="202"/>
      <c r="R41" s="202"/>
      <c r="S41" s="202"/>
      <c r="T41" s="202"/>
      <c r="U41" s="202"/>
      <c r="V41" s="202"/>
      <c r="W41" s="202"/>
      <c r="X41" s="202"/>
    </row>
    <row r="42" spans="1:24" ht="15" x14ac:dyDescent="0.35">
      <c r="A42" s="4"/>
      <c r="B42" s="199"/>
      <c r="C42" s="199"/>
      <c r="D42" s="7"/>
      <c r="E42" s="7"/>
      <c r="F42" s="7"/>
      <c r="G42" s="7"/>
      <c r="H42" s="200"/>
      <c r="I42" s="199"/>
      <c r="J42" s="199"/>
      <c r="K42" s="199"/>
      <c r="L42" s="7"/>
      <c r="M42" s="7"/>
      <c r="N42" s="201"/>
      <c r="O42" s="7"/>
      <c r="P42" s="202"/>
      <c r="Q42" s="202"/>
      <c r="R42" s="202"/>
      <c r="S42" s="202"/>
      <c r="T42" s="202"/>
      <c r="U42" s="202"/>
      <c r="V42" s="202"/>
      <c r="W42" s="202"/>
      <c r="X42" s="202"/>
    </row>
    <row r="43" spans="1:24" ht="15" x14ac:dyDescent="0.35">
      <c r="A43" s="4"/>
      <c r="B43" s="199"/>
      <c r="C43" s="199"/>
      <c r="D43" s="7"/>
      <c r="E43" s="7"/>
      <c r="F43" s="7"/>
      <c r="G43" s="7"/>
      <c r="H43" s="200"/>
      <c r="I43" s="199"/>
      <c r="J43" s="199"/>
      <c r="K43" s="199"/>
      <c r="L43" s="7"/>
      <c r="M43" s="7"/>
      <c r="N43" s="201"/>
      <c r="O43" s="7"/>
      <c r="P43" s="202"/>
      <c r="Q43" s="202"/>
      <c r="R43" s="202"/>
      <c r="S43" s="202"/>
      <c r="T43" s="202"/>
      <c r="U43" s="202"/>
      <c r="V43" s="202"/>
      <c r="W43" s="202"/>
      <c r="X43" s="202"/>
    </row>
    <row r="44" spans="1:24" ht="15" x14ac:dyDescent="0.35">
      <c r="A44" s="4"/>
      <c r="B44" s="199"/>
      <c r="C44" s="199"/>
      <c r="D44" s="7"/>
      <c r="E44" s="7"/>
      <c r="F44" s="7"/>
      <c r="G44" s="7"/>
      <c r="H44" s="200"/>
      <c r="I44" s="199"/>
      <c r="J44" s="199"/>
      <c r="K44" s="199"/>
      <c r="L44" s="7"/>
      <c r="M44" s="7"/>
      <c r="N44" s="201"/>
      <c r="O44" s="7"/>
      <c r="P44" s="202"/>
      <c r="Q44" s="202"/>
      <c r="R44" s="202"/>
      <c r="S44" s="202"/>
      <c r="T44" s="202"/>
      <c r="U44" s="202"/>
      <c r="V44" s="202"/>
      <c r="W44" s="202"/>
      <c r="X44" s="202"/>
    </row>
    <row r="45" spans="1:24" ht="15" x14ac:dyDescent="0.35">
      <c r="A45" s="4"/>
      <c r="B45" s="199"/>
      <c r="C45" s="199"/>
      <c r="D45" s="7"/>
      <c r="E45" s="7"/>
      <c r="F45" s="7"/>
      <c r="G45" s="7"/>
      <c r="H45" s="200"/>
      <c r="I45" s="199"/>
      <c r="J45" s="199"/>
      <c r="K45" s="199"/>
      <c r="L45" s="7"/>
      <c r="M45" s="7"/>
      <c r="N45" s="201"/>
      <c r="O45" s="7"/>
      <c r="P45" s="202"/>
      <c r="Q45" s="202"/>
      <c r="R45" s="202"/>
      <c r="S45" s="202"/>
      <c r="T45" s="202"/>
      <c r="U45" s="202"/>
      <c r="V45" s="202"/>
      <c r="W45" s="202"/>
      <c r="X45" s="202"/>
    </row>
    <row r="46" spans="1:24" ht="15" x14ac:dyDescent="0.35">
      <c r="A46" s="4"/>
      <c r="B46" s="199"/>
      <c r="C46" s="199"/>
      <c r="D46" s="7"/>
      <c r="E46" s="7"/>
      <c r="F46" s="7"/>
      <c r="G46" s="7"/>
      <c r="H46" s="200"/>
      <c r="I46" s="199"/>
      <c r="J46" s="199"/>
      <c r="K46" s="199"/>
      <c r="L46" s="7"/>
      <c r="M46" s="7"/>
      <c r="N46" s="201"/>
      <c r="O46" s="7"/>
      <c r="P46" s="202"/>
      <c r="Q46" s="202"/>
      <c r="R46" s="202"/>
      <c r="S46" s="202"/>
      <c r="T46" s="202"/>
      <c r="U46" s="202"/>
      <c r="V46" s="202"/>
      <c r="W46" s="202"/>
      <c r="X46" s="202"/>
    </row>
    <row r="47" spans="1:24" ht="15" x14ac:dyDescent="0.35">
      <c r="A47" s="4"/>
      <c r="B47" s="199"/>
      <c r="C47" s="199"/>
      <c r="D47" s="7"/>
      <c r="E47" s="7"/>
      <c r="F47" s="7"/>
      <c r="G47" s="7"/>
      <c r="H47" s="200"/>
      <c r="I47" s="199"/>
      <c r="J47" s="199"/>
      <c r="K47" s="199"/>
      <c r="L47" s="7"/>
      <c r="M47" s="7"/>
      <c r="N47" s="201"/>
      <c r="O47" s="7"/>
      <c r="P47" s="202"/>
      <c r="Q47" s="202"/>
      <c r="R47" s="202"/>
      <c r="S47" s="202"/>
      <c r="T47" s="202"/>
      <c r="U47" s="202"/>
      <c r="V47" s="202"/>
      <c r="W47" s="202"/>
      <c r="X47" s="202"/>
    </row>
    <row r="48" spans="1:24" ht="15" x14ac:dyDescent="0.35">
      <c r="A48" s="4"/>
      <c r="B48" s="199"/>
      <c r="C48" s="199"/>
      <c r="D48" s="7"/>
      <c r="E48" s="7"/>
      <c r="F48" s="7"/>
      <c r="G48" s="7"/>
      <c r="H48" s="200"/>
      <c r="I48" s="199"/>
      <c r="J48" s="199"/>
      <c r="K48" s="199"/>
      <c r="L48" s="7"/>
      <c r="M48" s="7"/>
      <c r="N48" s="201"/>
      <c r="O48" s="7"/>
      <c r="P48" s="202"/>
      <c r="Q48" s="202"/>
      <c r="R48" s="202"/>
      <c r="S48" s="202"/>
      <c r="T48" s="202"/>
      <c r="U48" s="202"/>
      <c r="V48" s="202"/>
      <c r="W48" s="202"/>
      <c r="X48" s="202"/>
    </row>
    <row r="49" spans="1:24" ht="15" x14ac:dyDescent="0.35">
      <c r="A49" s="4"/>
      <c r="B49" s="199"/>
      <c r="C49" s="199"/>
      <c r="D49" s="7"/>
      <c r="E49" s="7"/>
      <c r="F49" s="7"/>
      <c r="G49" s="7"/>
      <c r="H49" s="200"/>
      <c r="I49" s="199"/>
      <c r="J49" s="199"/>
      <c r="K49" s="199"/>
      <c r="L49" s="7"/>
      <c r="M49" s="7"/>
      <c r="N49" s="201"/>
      <c r="O49" s="7"/>
      <c r="P49" s="202"/>
      <c r="Q49" s="202"/>
      <c r="R49" s="202"/>
      <c r="S49" s="202"/>
      <c r="T49" s="202"/>
      <c r="U49" s="202"/>
      <c r="V49" s="202"/>
      <c r="W49" s="202"/>
      <c r="X49" s="202"/>
    </row>
    <row r="50" spans="1:24" ht="15" x14ac:dyDescent="0.35">
      <c r="A50" s="4"/>
      <c r="B50" s="199"/>
      <c r="C50" s="199"/>
      <c r="D50" s="7"/>
      <c r="E50" s="7"/>
      <c r="F50" s="7"/>
      <c r="G50" s="7"/>
      <c r="H50" s="200"/>
      <c r="I50" s="199"/>
      <c r="J50" s="199"/>
      <c r="K50" s="199"/>
      <c r="L50" s="7"/>
      <c r="M50" s="7"/>
      <c r="N50" s="201"/>
      <c r="O50" s="7"/>
      <c r="P50" s="202"/>
      <c r="Q50" s="202"/>
      <c r="R50" s="202"/>
      <c r="S50" s="202"/>
      <c r="T50" s="202"/>
      <c r="U50" s="202"/>
      <c r="V50" s="202"/>
      <c r="W50" s="202"/>
      <c r="X50" s="202"/>
    </row>
    <row r="51" spans="1:24" ht="15" x14ac:dyDescent="0.35">
      <c r="A51" s="4"/>
      <c r="B51" s="199"/>
      <c r="C51" s="199"/>
      <c r="D51" s="7"/>
      <c r="E51" s="7"/>
      <c r="F51" s="7"/>
      <c r="G51" s="7"/>
      <c r="H51" s="200"/>
      <c r="I51" s="199"/>
      <c r="J51" s="199"/>
      <c r="K51" s="199"/>
      <c r="L51" s="7"/>
      <c r="M51" s="7"/>
      <c r="N51" s="201"/>
      <c r="O51" s="7"/>
      <c r="P51" s="202"/>
      <c r="Q51" s="202"/>
      <c r="R51" s="202"/>
      <c r="S51" s="202"/>
      <c r="T51" s="202"/>
      <c r="U51" s="202"/>
      <c r="V51" s="202"/>
      <c r="W51" s="202"/>
      <c r="X51" s="202"/>
    </row>
    <row r="52" spans="1:24" ht="15" x14ac:dyDescent="0.35">
      <c r="A52" s="4"/>
      <c r="B52" s="199"/>
      <c r="C52" s="199"/>
      <c r="D52" s="7"/>
      <c r="E52" s="7"/>
      <c r="F52" s="7"/>
      <c r="G52" s="7"/>
      <c r="H52" s="200"/>
      <c r="I52" s="199"/>
      <c r="J52" s="199"/>
      <c r="K52" s="199"/>
      <c r="L52" s="7"/>
      <c r="M52" s="7"/>
      <c r="N52" s="201"/>
      <c r="O52" s="7"/>
      <c r="P52" s="202"/>
      <c r="Q52" s="202"/>
      <c r="R52" s="202"/>
      <c r="S52" s="202"/>
      <c r="T52" s="202"/>
      <c r="U52" s="202"/>
      <c r="V52" s="202"/>
      <c r="W52" s="202"/>
      <c r="X52" s="202"/>
    </row>
    <row r="53" spans="1:24" ht="15" x14ac:dyDescent="0.35">
      <c r="A53" s="4"/>
      <c r="B53" s="199"/>
      <c r="C53" s="199"/>
      <c r="D53" s="7"/>
      <c r="E53" s="7"/>
      <c r="F53" s="7"/>
      <c r="G53" s="7"/>
      <c r="H53" s="200"/>
      <c r="I53" s="199"/>
      <c r="J53" s="199"/>
      <c r="K53" s="199"/>
      <c r="L53" s="7"/>
      <c r="M53" s="7"/>
      <c r="N53" s="201"/>
      <c r="O53" s="7"/>
      <c r="P53" s="202"/>
      <c r="Q53" s="202"/>
      <c r="R53" s="202"/>
      <c r="S53" s="202"/>
      <c r="T53" s="202"/>
      <c r="U53" s="202"/>
      <c r="V53" s="202"/>
      <c r="W53" s="202"/>
      <c r="X53" s="202"/>
    </row>
    <row r="54" spans="1:24" ht="15" x14ac:dyDescent="0.35">
      <c r="A54" s="4"/>
      <c r="B54" s="199"/>
      <c r="C54" s="199"/>
      <c r="D54" s="7"/>
      <c r="E54" s="7"/>
      <c r="F54" s="7"/>
      <c r="G54" s="7"/>
      <c r="H54" s="200"/>
      <c r="I54" s="199"/>
      <c r="J54" s="199"/>
      <c r="K54" s="199"/>
      <c r="L54" s="7"/>
      <c r="M54" s="7"/>
      <c r="N54" s="201"/>
      <c r="O54" s="7"/>
      <c r="P54" s="202"/>
      <c r="Q54" s="202"/>
      <c r="R54" s="202"/>
      <c r="S54" s="202"/>
      <c r="T54" s="202"/>
      <c r="U54" s="202"/>
      <c r="V54" s="202"/>
      <c r="W54" s="202"/>
      <c r="X54" s="202"/>
    </row>
    <row r="55" spans="1:24" ht="15" x14ac:dyDescent="0.35">
      <c r="A55" s="4"/>
      <c r="B55" s="199"/>
      <c r="C55" s="199"/>
      <c r="D55" s="7"/>
      <c r="E55" s="7"/>
      <c r="F55" s="7"/>
      <c r="G55" s="7"/>
      <c r="H55" s="200"/>
      <c r="I55" s="199"/>
      <c r="J55" s="199"/>
      <c r="K55" s="199"/>
      <c r="L55" s="7"/>
      <c r="M55" s="7"/>
      <c r="N55" s="201"/>
      <c r="O55" s="7"/>
      <c r="P55" s="202"/>
      <c r="Q55" s="202"/>
      <c r="R55" s="202"/>
      <c r="S55" s="202"/>
      <c r="T55" s="202"/>
      <c r="U55" s="202"/>
      <c r="V55" s="202"/>
      <c r="W55" s="202"/>
      <c r="X55" s="202"/>
    </row>
    <row r="56" spans="1:24" ht="15" x14ac:dyDescent="0.35">
      <c r="A56" s="4"/>
      <c r="B56" s="199"/>
      <c r="C56" s="199"/>
      <c r="D56" s="7"/>
      <c r="E56" s="7"/>
      <c r="F56" s="7"/>
      <c r="G56" s="7"/>
      <c r="H56" s="200"/>
      <c r="I56" s="199"/>
      <c r="J56" s="199"/>
      <c r="K56" s="199"/>
      <c r="L56" s="7"/>
      <c r="M56" s="7"/>
      <c r="N56" s="201"/>
      <c r="O56" s="7"/>
      <c r="P56" s="202"/>
      <c r="Q56" s="202"/>
      <c r="R56" s="202"/>
      <c r="S56" s="202"/>
      <c r="T56" s="202"/>
      <c r="U56" s="202"/>
      <c r="V56" s="202"/>
      <c r="W56" s="202"/>
      <c r="X56" s="202"/>
    </row>
    <row r="57" spans="1:24" ht="15" x14ac:dyDescent="0.35">
      <c r="A57" s="4"/>
      <c r="B57" s="199"/>
      <c r="C57" s="199"/>
      <c r="D57" s="7"/>
      <c r="E57" s="7"/>
      <c r="F57" s="7"/>
      <c r="G57" s="7"/>
      <c r="H57" s="200"/>
      <c r="I57" s="199"/>
      <c r="J57" s="199"/>
      <c r="K57" s="199"/>
      <c r="L57" s="7"/>
      <c r="M57" s="7"/>
      <c r="N57" s="201"/>
      <c r="O57" s="7"/>
      <c r="P57" s="202"/>
      <c r="Q57" s="202"/>
      <c r="R57" s="202"/>
      <c r="S57" s="202"/>
      <c r="T57" s="202"/>
      <c r="U57" s="202"/>
      <c r="V57" s="202"/>
      <c r="W57" s="202"/>
      <c r="X57" s="202"/>
    </row>
    <row r="58" spans="1:24" ht="15" x14ac:dyDescent="0.35">
      <c r="A58" s="4"/>
      <c r="B58" s="199"/>
      <c r="C58" s="199"/>
      <c r="D58" s="7"/>
      <c r="E58" s="7"/>
      <c r="F58" s="7"/>
      <c r="G58" s="7"/>
      <c r="H58" s="200"/>
      <c r="I58" s="199"/>
      <c r="J58" s="199"/>
      <c r="K58" s="199"/>
      <c r="L58" s="7"/>
      <c r="M58" s="7"/>
      <c r="N58" s="201"/>
      <c r="O58" s="7"/>
      <c r="P58" s="202"/>
      <c r="Q58" s="202"/>
      <c r="R58" s="202"/>
      <c r="S58" s="202"/>
      <c r="T58" s="202"/>
      <c r="U58" s="202"/>
      <c r="V58" s="202"/>
      <c r="W58" s="202"/>
      <c r="X58" s="202"/>
    </row>
    <row r="59" spans="1:24" ht="15" x14ac:dyDescent="0.35">
      <c r="A59" s="4"/>
      <c r="B59" s="199"/>
      <c r="C59" s="199"/>
      <c r="D59" s="7"/>
      <c r="E59" s="7"/>
      <c r="F59" s="7"/>
      <c r="G59" s="7"/>
      <c r="H59" s="200"/>
      <c r="I59" s="199"/>
      <c r="J59" s="199"/>
      <c r="K59" s="199"/>
      <c r="L59" s="7"/>
      <c r="M59" s="7"/>
      <c r="N59" s="201"/>
      <c r="O59" s="7"/>
      <c r="P59" s="202"/>
      <c r="Q59" s="202"/>
      <c r="R59" s="202"/>
      <c r="S59" s="202"/>
      <c r="T59" s="202"/>
      <c r="U59" s="202"/>
      <c r="V59" s="202"/>
      <c r="W59" s="202"/>
      <c r="X59" s="202"/>
    </row>
    <row r="60" spans="1:24" ht="15" x14ac:dyDescent="0.35">
      <c r="A60" s="4"/>
      <c r="B60" s="199"/>
      <c r="C60" s="199"/>
      <c r="D60" s="7"/>
      <c r="E60" s="7"/>
      <c r="F60" s="7"/>
      <c r="G60" s="7"/>
      <c r="H60" s="200"/>
      <c r="I60" s="199"/>
      <c r="J60" s="199"/>
      <c r="K60" s="199"/>
      <c r="L60" s="7"/>
      <c r="M60" s="7"/>
      <c r="N60" s="201"/>
      <c r="O60" s="7"/>
      <c r="P60" s="202"/>
      <c r="Q60" s="202"/>
      <c r="R60" s="202"/>
      <c r="S60" s="202"/>
      <c r="T60" s="202"/>
      <c r="U60" s="202"/>
      <c r="V60" s="202"/>
      <c r="W60" s="202"/>
      <c r="X60" s="202"/>
    </row>
    <row r="61" spans="1:24" x14ac:dyDescent="0.35">
      <c r="A61" s="3"/>
      <c r="B61" s="3"/>
      <c r="C61" s="3"/>
      <c r="D61" s="3"/>
      <c r="E61" s="3"/>
      <c r="F61" s="3"/>
      <c r="G61" s="3"/>
      <c r="H61" s="133"/>
      <c r="I61" s="3"/>
      <c r="J61" s="3"/>
      <c r="K61" s="3"/>
      <c r="L61" s="3"/>
      <c r="M61" s="3"/>
      <c r="N61" s="131"/>
      <c r="O61" s="3"/>
      <c r="Q61" s="3"/>
      <c r="R61" s="3"/>
    </row>
    <row r="62" spans="1:24" x14ac:dyDescent="0.35">
      <c r="A62" s="3"/>
      <c r="B62" s="3"/>
      <c r="C62" s="3"/>
      <c r="D62" s="3"/>
      <c r="E62" s="3"/>
      <c r="F62" s="3"/>
      <c r="G62" s="3"/>
      <c r="H62" s="133"/>
      <c r="I62" s="3"/>
      <c r="J62" s="3"/>
      <c r="K62" s="3"/>
      <c r="L62" s="3"/>
      <c r="M62" s="3"/>
      <c r="N62" s="131"/>
      <c r="O62" s="3"/>
      <c r="Q62" s="3"/>
      <c r="R62" s="3"/>
    </row>
    <row r="63" spans="1:24" x14ac:dyDescent="0.35">
      <c r="A63" s="3"/>
      <c r="B63" s="3"/>
      <c r="C63" s="3"/>
      <c r="D63" s="3"/>
      <c r="E63" s="3"/>
      <c r="F63" s="3"/>
      <c r="G63" s="3"/>
      <c r="H63" s="133"/>
      <c r="I63" s="3"/>
      <c r="J63" s="3"/>
      <c r="K63" s="3"/>
      <c r="L63" s="3"/>
      <c r="M63" s="3"/>
      <c r="N63" s="131"/>
      <c r="O63" s="3"/>
      <c r="Q63" s="3"/>
      <c r="R63" s="3"/>
    </row>
    <row r="64" spans="1:24" x14ac:dyDescent="0.35">
      <c r="A64" s="3"/>
      <c r="B64" s="3"/>
      <c r="C64" s="3"/>
      <c r="D64" s="3"/>
      <c r="E64" s="3"/>
      <c r="F64" s="3"/>
      <c r="G64" s="3"/>
      <c r="H64" s="133"/>
      <c r="I64" s="3"/>
      <c r="J64" s="3"/>
      <c r="K64" s="3"/>
      <c r="L64" s="3"/>
      <c r="M64" s="3"/>
      <c r="N64" s="131"/>
      <c r="O64" s="3"/>
      <c r="Q64" s="3"/>
      <c r="R64" s="3"/>
    </row>
    <row r="65" spans="1:18" x14ac:dyDescent="0.35">
      <c r="A65" s="3"/>
      <c r="B65" s="3"/>
      <c r="C65" s="3"/>
      <c r="D65" s="3"/>
      <c r="E65" s="3"/>
      <c r="F65" s="3"/>
      <c r="G65" s="3"/>
      <c r="H65" s="133"/>
      <c r="I65" s="3"/>
      <c r="J65" s="3"/>
      <c r="K65" s="3"/>
      <c r="L65" s="3"/>
      <c r="M65" s="3"/>
      <c r="N65" s="131"/>
      <c r="O65" s="3"/>
      <c r="Q65" s="3"/>
      <c r="R65" s="3"/>
    </row>
    <row r="66" spans="1:18" x14ac:dyDescent="0.35">
      <c r="B66" s="3"/>
      <c r="C66" s="3"/>
      <c r="H66" s="134"/>
      <c r="N66" s="132"/>
      <c r="Q66" s="3"/>
      <c r="R66" s="3"/>
    </row>
    <row r="67" spans="1:18" x14ac:dyDescent="0.35">
      <c r="B67" s="3"/>
      <c r="C67" s="3"/>
      <c r="H67" s="134"/>
      <c r="N67" s="132"/>
      <c r="Q67" s="3"/>
      <c r="R67" s="3"/>
    </row>
    <row r="68" spans="1:18" x14ac:dyDescent="0.35">
      <c r="B68" s="3"/>
      <c r="C68" s="3"/>
      <c r="H68" s="134"/>
      <c r="N68" s="132"/>
      <c r="Q68" s="3"/>
      <c r="R68" s="3"/>
    </row>
    <row r="69" spans="1:18" x14ac:dyDescent="0.35">
      <c r="B69" s="3"/>
      <c r="C69" s="3"/>
      <c r="H69" s="134"/>
      <c r="N69" s="132"/>
      <c r="Q69" s="3"/>
      <c r="R69" s="3"/>
    </row>
    <row r="70" spans="1:18" x14ac:dyDescent="0.35">
      <c r="B70" s="3"/>
      <c r="C70" s="3"/>
      <c r="H70" s="134"/>
      <c r="N70" s="132"/>
      <c r="Q70" s="3"/>
      <c r="R70" s="3"/>
    </row>
    <row r="71" spans="1:18" x14ac:dyDescent="0.35">
      <c r="B71" s="3"/>
      <c r="C71" s="3"/>
      <c r="H71" s="134"/>
      <c r="N71" s="132"/>
      <c r="Q71" s="3"/>
      <c r="R71" s="3"/>
    </row>
    <row r="72" spans="1:18" x14ac:dyDescent="0.35">
      <c r="B72" s="3"/>
      <c r="C72" s="3"/>
      <c r="H72" s="134"/>
      <c r="N72" s="132"/>
      <c r="Q72" s="3"/>
      <c r="R72" s="3"/>
    </row>
    <row r="73" spans="1:18" x14ac:dyDescent="0.35">
      <c r="B73" s="3"/>
      <c r="C73" s="3"/>
      <c r="H73" s="134"/>
      <c r="N73" s="132"/>
      <c r="Q73" s="3"/>
      <c r="R73" s="3"/>
    </row>
    <row r="74" spans="1:18" x14ac:dyDescent="0.35">
      <c r="B74" s="3"/>
      <c r="C74" s="3"/>
      <c r="H74" s="134"/>
      <c r="N74" s="132"/>
      <c r="Q74" s="3"/>
      <c r="R74" s="3"/>
    </row>
    <row r="75" spans="1:18" x14ac:dyDescent="0.35">
      <c r="B75" s="3"/>
      <c r="C75" s="3"/>
      <c r="H75" s="134"/>
      <c r="N75" s="132"/>
      <c r="Q75" s="3"/>
      <c r="R75" s="3"/>
    </row>
    <row r="76" spans="1:18" x14ac:dyDescent="0.35">
      <c r="B76" s="3"/>
      <c r="C76" s="3"/>
      <c r="H76" s="134"/>
      <c r="N76" s="132"/>
      <c r="Q76" s="3"/>
      <c r="R76" s="3"/>
    </row>
    <row r="77" spans="1:18" x14ac:dyDescent="0.35">
      <c r="B77" s="3"/>
      <c r="C77" s="3"/>
      <c r="H77" s="134"/>
      <c r="N77" s="132"/>
      <c r="Q77" s="3"/>
      <c r="R77" s="3"/>
    </row>
    <row r="78" spans="1:18" x14ac:dyDescent="0.35">
      <c r="B78" s="3"/>
      <c r="C78" s="3"/>
      <c r="H78" s="134"/>
      <c r="N78" s="132"/>
      <c r="Q78" s="3"/>
      <c r="R78" s="3"/>
    </row>
    <row r="79" spans="1:18" x14ac:dyDescent="0.35">
      <c r="B79" s="3"/>
      <c r="C79" s="3"/>
      <c r="H79" s="134"/>
      <c r="N79" s="132"/>
      <c r="Q79" s="3"/>
      <c r="R79" s="3"/>
    </row>
    <row r="80" spans="1:18" x14ac:dyDescent="0.35">
      <c r="B80" s="3"/>
      <c r="C80" s="3"/>
      <c r="H80" s="134"/>
      <c r="N80" s="132"/>
      <c r="Q80" s="3"/>
      <c r="R80" s="3"/>
    </row>
    <row r="81" spans="2:18" x14ac:dyDescent="0.35">
      <c r="B81" s="3"/>
      <c r="C81" s="3"/>
      <c r="H81" s="134"/>
      <c r="N81" s="132"/>
      <c r="Q81" s="3"/>
      <c r="R81" s="3"/>
    </row>
    <row r="82" spans="2:18" x14ac:dyDescent="0.35">
      <c r="B82" s="3"/>
      <c r="C82" s="3"/>
      <c r="H82" s="134"/>
      <c r="N82" s="132"/>
      <c r="Q82" s="3"/>
      <c r="R82" s="3"/>
    </row>
    <row r="83" spans="2:18" x14ac:dyDescent="0.35">
      <c r="B83" s="3"/>
      <c r="C83" s="3"/>
      <c r="H83" s="134"/>
      <c r="N83" s="132"/>
      <c r="Q83" s="3"/>
      <c r="R83" s="3"/>
    </row>
    <row r="84" spans="2:18" x14ac:dyDescent="0.35">
      <c r="B84" s="3"/>
      <c r="C84" s="3"/>
      <c r="H84" s="134"/>
      <c r="N84" s="132"/>
      <c r="Q84" s="3"/>
      <c r="R84" s="3"/>
    </row>
    <row r="85" spans="2:18" x14ac:dyDescent="0.35">
      <c r="B85" s="3"/>
      <c r="C85" s="3"/>
      <c r="H85" s="134"/>
      <c r="N85" s="132"/>
      <c r="Q85" s="3"/>
      <c r="R85" s="3"/>
    </row>
    <row r="86" spans="2:18" x14ac:dyDescent="0.35">
      <c r="B86" s="3"/>
      <c r="C86" s="3"/>
      <c r="H86" s="134"/>
      <c r="N86" s="132"/>
      <c r="Q86" s="3"/>
      <c r="R86" s="3"/>
    </row>
    <row r="87" spans="2:18" x14ac:dyDescent="0.35">
      <c r="B87" s="3"/>
      <c r="C87" s="3"/>
      <c r="H87" s="134"/>
      <c r="N87" s="132"/>
      <c r="Q87" s="3"/>
      <c r="R87" s="3"/>
    </row>
    <row r="88" spans="2:18" x14ac:dyDescent="0.35">
      <c r="B88" s="3"/>
      <c r="C88" s="3"/>
      <c r="H88" s="134"/>
      <c r="N88" s="132"/>
      <c r="Q88" s="3"/>
      <c r="R88" s="3"/>
    </row>
    <row r="89" spans="2:18" x14ac:dyDescent="0.35">
      <c r="B89" s="3"/>
      <c r="C89" s="3"/>
      <c r="H89" s="134"/>
      <c r="N89" s="132"/>
      <c r="Q89" s="3"/>
      <c r="R89" s="3"/>
    </row>
    <row r="90" spans="2:18" x14ac:dyDescent="0.35">
      <c r="B90" s="3"/>
      <c r="C90" s="3"/>
      <c r="H90" s="134"/>
      <c r="N90" s="132"/>
      <c r="Q90" s="3"/>
      <c r="R90" s="3"/>
    </row>
    <row r="91" spans="2:18" x14ac:dyDescent="0.35">
      <c r="B91" s="3"/>
      <c r="C91" s="3"/>
      <c r="H91" s="134"/>
      <c r="N91" s="132"/>
      <c r="Q91" s="3"/>
      <c r="R91" s="3"/>
    </row>
    <row r="92" spans="2:18" x14ac:dyDescent="0.35">
      <c r="B92" s="3"/>
      <c r="C92" s="3"/>
      <c r="H92" s="134"/>
      <c r="N92" s="132"/>
      <c r="Q92" s="3"/>
      <c r="R92" s="3"/>
    </row>
    <row r="93" spans="2:18" x14ac:dyDescent="0.35">
      <c r="B93" s="3"/>
      <c r="C93" s="3"/>
      <c r="H93" s="134"/>
      <c r="N93" s="132"/>
      <c r="Q93" s="3"/>
      <c r="R93" s="3"/>
    </row>
    <row r="94" spans="2:18" x14ac:dyDescent="0.35">
      <c r="B94" s="3"/>
      <c r="C94" s="3"/>
      <c r="H94" s="134"/>
      <c r="N94" s="132"/>
      <c r="Q94" s="3"/>
      <c r="R94" s="3"/>
    </row>
    <row r="95" spans="2:18" x14ac:dyDescent="0.35">
      <c r="B95" s="3"/>
      <c r="C95" s="3"/>
      <c r="H95" s="134"/>
      <c r="N95" s="132"/>
      <c r="Q95" s="3"/>
      <c r="R95" s="3"/>
    </row>
    <row r="96" spans="2:18" x14ac:dyDescent="0.35">
      <c r="B96" s="3"/>
      <c r="C96" s="3"/>
      <c r="H96" s="134"/>
      <c r="N96" s="132"/>
      <c r="Q96" s="3"/>
      <c r="R96" s="3"/>
    </row>
    <row r="97" spans="2:18" x14ac:dyDescent="0.35">
      <c r="B97" s="3"/>
      <c r="C97" s="3"/>
      <c r="H97" s="134"/>
      <c r="N97" s="132"/>
      <c r="Q97" s="3"/>
      <c r="R97" s="3"/>
    </row>
    <row r="98" spans="2:18" x14ac:dyDescent="0.35">
      <c r="B98" s="3"/>
      <c r="C98" s="3"/>
      <c r="H98" s="134"/>
      <c r="N98" s="132"/>
      <c r="Q98" s="3"/>
      <c r="R98" s="3"/>
    </row>
    <row r="99" spans="2:18" x14ac:dyDescent="0.35">
      <c r="B99" s="3"/>
      <c r="C99" s="3"/>
      <c r="H99" s="134"/>
      <c r="N99" s="132"/>
      <c r="Q99" s="3"/>
      <c r="R99" s="3"/>
    </row>
    <row r="100" spans="2:18" x14ac:dyDescent="0.35">
      <c r="B100" s="3"/>
      <c r="C100" s="3"/>
      <c r="H100" s="134"/>
      <c r="N100" s="132"/>
      <c r="Q100" s="3"/>
      <c r="R100" s="3"/>
    </row>
    <row r="101" spans="2:18" x14ac:dyDescent="0.35">
      <c r="B101" s="3"/>
      <c r="C101" s="3"/>
      <c r="H101" s="134"/>
      <c r="N101" s="132"/>
      <c r="Q101" s="3"/>
      <c r="R101" s="3"/>
    </row>
    <row r="102" spans="2:18" x14ac:dyDescent="0.35">
      <c r="B102" s="3"/>
      <c r="C102" s="3"/>
      <c r="H102" s="134"/>
      <c r="N102" s="132"/>
      <c r="Q102" s="3"/>
      <c r="R102" s="3"/>
    </row>
    <row r="103" spans="2:18" x14ac:dyDescent="0.35">
      <c r="B103" s="3"/>
      <c r="C103" s="3"/>
      <c r="H103" s="134"/>
      <c r="N103" s="132"/>
      <c r="Q103" s="3"/>
      <c r="R103" s="3"/>
    </row>
    <row r="104" spans="2:18" x14ac:dyDescent="0.35">
      <c r="B104" s="3"/>
      <c r="C104" s="3"/>
      <c r="H104" s="134"/>
      <c r="N104" s="132"/>
      <c r="Q104" s="3"/>
      <c r="R104" s="3"/>
    </row>
    <row r="105" spans="2:18" x14ac:dyDescent="0.35">
      <c r="B105" s="3"/>
      <c r="C105" s="3"/>
      <c r="H105" s="134"/>
      <c r="N105" s="132"/>
      <c r="Q105" s="3"/>
      <c r="R105" s="3"/>
    </row>
    <row r="106" spans="2:18" x14ac:dyDescent="0.35">
      <c r="B106" s="3"/>
      <c r="C106" s="3"/>
      <c r="H106" s="134"/>
      <c r="N106" s="132"/>
      <c r="Q106" s="3"/>
      <c r="R106" s="3"/>
    </row>
    <row r="107" spans="2:18" x14ac:dyDescent="0.35">
      <c r="B107" s="3"/>
      <c r="C107" s="3"/>
      <c r="H107" s="134"/>
      <c r="N107" s="132"/>
      <c r="Q107" s="3"/>
      <c r="R107" s="3"/>
    </row>
    <row r="108" spans="2:18" x14ac:dyDescent="0.35">
      <c r="B108" s="3"/>
      <c r="C108" s="3"/>
      <c r="H108" s="134"/>
      <c r="N108" s="132"/>
      <c r="Q108" s="3"/>
      <c r="R108" s="3"/>
    </row>
    <row r="109" spans="2:18" x14ac:dyDescent="0.35">
      <c r="B109" s="3"/>
      <c r="C109" s="3"/>
      <c r="H109" s="134"/>
      <c r="N109" s="132"/>
      <c r="Q109" s="3"/>
      <c r="R109" s="3"/>
    </row>
    <row r="110" spans="2:18" x14ac:dyDescent="0.35">
      <c r="B110" s="3"/>
      <c r="C110" s="3"/>
      <c r="H110" s="134"/>
      <c r="N110" s="132"/>
      <c r="Q110" s="3"/>
      <c r="R110" s="3"/>
    </row>
    <row r="111" spans="2:18" x14ac:dyDescent="0.35">
      <c r="B111" s="3"/>
      <c r="C111" s="3"/>
      <c r="H111" s="134"/>
      <c r="N111" s="132"/>
      <c r="Q111" s="3"/>
      <c r="R111" s="3"/>
    </row>
    <row r="112" spans="2:18" x14ac:dyDescent="0.35">
      <c r="B112" s="3"/>
      <c r="C112" s="3"/>
      <c r="H112" s="134"/>
      <c r="N112" s="132"/>
      <c r="Q112" s="3"/>
      <c r="R112" s="3"/>
    </row>
    <row r="113" spans="2:18" x14ac:dyDescent="0.35">
      <c r="B113" s="3"/>
      <c r="C113" s="3"/>
      <c r="H113" s="134"/>
      <c r="N113" s="132"/>
      <c r="Q113" s="3"/>
      <c r="R113" s="3"/>
    </row>
    <row r="114" spans="2:18" x14ac:dyDescent="0.35">
      <c r="B114" s="3"/>
      <c r="C114" s="3"/>
      <c r="H114" s="134"/>
      <c r="N114" s="132"/>
      <c r="Q114" s="3"/>
      <c r="R114" s="3"/>
    </row>
    <row r="115" spans="2:18" x14ac:dyDescent="0.35">
      <c r="B115" s="3"/>
      <c r="C115" s="3"/>
      <c r="H115" s="134"/>
      <c r="N115" s="132"/>
      <c r="Q115" s="3"/>
      <c r="R115" s="3"/>
    </row>
    <row r="116" spans="2:18" x14ac:dyDescent="0.35">
      <c r="B116" s="3"/>
      <c r="C116" s="3"/>
      <c r="H116" s="134"/>
      <c r="N116" s="132"/>
      <c r="Q116" s="3"/>
      <c r="R116" s="3"/>
    </row>
    <row r="117" spans="2:18" x14ac:dyDescent="0.35">
      <c r="B117" s="3"/>
      <c r="C117" s="3"/>
      <c r="H117" s="134"/>
      <c r="N117" s="132"/>
      <c r="Q117" s="3"/>
      <c r="R117" s="3"/>
    </row>
    <row r="118" spans="2:18" x14ac:dyDescent="0.35">
      <c r="B118" s="3"/>
      <c r="C118" s="3"/>
      <c r="H118" s="134"/>
      <c r="N118" s="132"/>
      <c r="Q118" s="3"/>
      <c r="R118" s="3"/>
    </row>
    <row r="119" spans="2:18" x14ac:dyDescent="0.35">
      <c r="B119" s="3"/>
      <c r="C119" s="3"/>
      <c r="H119" s="134"/>
      <c r="N119" s="132"/>
      <c r="Q119" s="3"/>
      <c r="R119" s="3"/>
    </row>
    <row r="120" spans="2:18" x14ac:dyDescent="0.35">
      <c r="B120" s="3"/>
      <c r="C120" s="3"/>
      <c r="H120" s="134"/>
      <c r="N120" s="132"/>
      <c r="Q120" s="3"/>
      <c r="R120" s="3"/>
    </row>
    <row r="121" spans="2:18" x14ac:dyDescent="0.35">
      <c r="B121" s="3"/>
      <c r="C121" s="3"/>
      <c r="H121" s="134"/>
      <c r="N121" s="132"/>
      <c r="Q121" s="3"/>
      <c r="R121" s="3"/>
    </row>
    <row r="122" spans="2:18" x14ac:dyDescent="0.35">
      <c r="B122" s="3"/>
      <c r="C122" s="3"/>
      <c r="H122" s="134"/>
      <c r="N122" s="132"/>
      <c r="Q122" s="3"/>
      <c r="R122" s="3"/>
    </row>
    <row r="123" spans="2:18" x14ac:dyDescent="0.35">
      <c r="B123" s="3"/>
      <c r="C123" s="3"/>
      <c r="H123" s="134"/>
      <c r="N123" s="132"/>
      <c r="Q123" s="3"/>
      <c r="R123" s="3"/>
    </row>
    <row r="124" spans="2:18" x14ac:dyDescent="0.35">
      <c r="B124" s="3"/>
      <c r="C124" s="3"/>
      <c r="H124" s="134"/>
      <c r="N124" s="132"/>
      <c r="Q124" s="3"/>
      <c r="R124" s="3"/>
    </row>
    <row r="125" spans="2:18" x14ac:dyDescent="0.35">
      <c r="B125" s="3"/>
      <c r="C125" s="3"/>
      <c r="H125" s="134"/>
      <c r="N125" s="132"/>
      <c r="Q125" s="3"/>
      <c r="R125" s="3"/>
    </row>
    <row r="126" spans="2:18" x14ac:dyDescent="0.35">
      <c r="B126" s="3"/>
      <c r="C126" s="3"/>
      <c r="H126" s="134"/>
      <c r="N126" s="132"/>
      <c r="Q126" s="3"/>
      <c r="R126" s="3"/>
    </row>
    <row r="127" spans="2:18" x14ac:dyDescent="0.35">
      <c r="B127" s="3"/>
      <c r="C127" s="3"/>
      <c r="H127" s="134"/>
      <c r="N127" s="132"/>
      <c r="Q127" s="3"/>
      <c r="R127" s="3"/>
    </row>
    <row r="128" spans="2:18" x14ac:dyDescent="0.35">
      <c r="B128" s="3"/>
      <c r="C128" s="3"/>
      <c r="H128" s="134"/>
      <c r="N128" s="132"/>
      <c r="Q128" s="3"/>
      <c r="R128" s="3"/>
    </row>
    <row r="129" spans="2:18" x14ac:dyDescent="0.35">
      <c r="B129" s="3"/>
      <c r="C129" s="3"/>
      <c r="H129" s="134"/>
      <c r="N129" s="132"/>
      <c r="Q129" s="3"/>
      <c r="R129" s="3"/>
    </row>
    <row r="130" spans="2:18" x14ac:dyDescent="0.35">
      <c r="B130" s="3"/>
      <c r="C130" s="3"/>
      <c r="H130" s="134"/>
      <c r="N130" s="132"/>
      <c r="Q130" s="3"/>
      <c r="R130" s="3"/>
    </row>
    <row r="131" spans="2:18" x14ac:dyDescent="0.35">
      <c r="B131" s="3"/>
      <c r="C131" s="3"/>
      <c r="H131" s="134"/>
      <c r="N131" s="132"/>
      <c r="Q131" s="3"/>
      <c r="R131" s="3"/>
    </row>
    <row r="132" spans="2:18" x14ac:dyDescent="0.35">
      <c r="B132" s="3"/>
      <c r="C132" s="3"/>
      <c r="H132" s="134"/>
      <c r="N132" s="132"/>
      <c r="Q132" s="3"/>
      <c r="R132" s="3"/>
    </row>
    <row r="133" spans="2:18" x14ac:dyDescent="0.35">
      <c r="B133" s="3"/>
      <c r="C133" s="3"/>
      <c r="H133" s="134"/>
      <c r="N133" s="132"/>
      <c r="Q133" s="3"/>
      <c r="R133" s="3"/>
    </row>
    <row r="134" spans="2:18" x14ac:dyDescent="0.35">
      <c r="B134" s="3"/>
      <c r="C134" s="3"/>
      <c r="H134" s="134"/>
      <c r="N134" s="132"/>
      <c r="Q134" s="3"/>
      <c r="R134" s="3"/>
    </row>
    <row r="135" spans="2:18" x14ac:dyDescent="0.35">
      <c r="B135" s="3"/>
      <c r="C135" s="3"/>
      <c r="H135" s="134"/>
      <c r="N135" s="132"/>
      <c r="Q135" s="3"/>
      <c r="R135" s="3"/>
    </row>
    <row r="136" spans="2:18" x14ac:dyDescent="0.35">
      <c r="B136" s="3"/>
      <c r="C136" s="3"/>
      <c r="H136" s="134"/>
      <c r="N136" s="132"/>
      <c r="Q136" s="3"/>
      <c r="R136" s="3"/>
    </row>
    <row r="137" spans="2:18" x14ac:dyDescent="0.35">
      <c r="B137" s="3"/>
      <c r="C137" s="3"/>
      <c r="H137" s="134"/>
      <c r="N137" s="132"/>
      <c r="Q137" s="3"/>
      <c r="R137" s="3"/>
    </row>
    <row r="138" spans="2:18" x14ac:dyDescent="0.35">
      <c r="B138" s="3"/>
      <c r="C138" s="3"/>
      <c r="H138" s="134"/>
      <c r="N138" s="132"/>
      <c r="Q138" s="3"/>
      <c r="R138" s="3"/>
    </row>
    <row r="139" spans="2:18" x14ac:dyDescent="0.35">
      <c r="B139" s="3"/>
      <c r="C139" s="3"/>
      <c r="H139" s="134"/>
      <c r="N139" s="132"/>
      <c r="Q139" s="3"/>
      <c r="R139" s="3"/>
    </row>
    <row r="140" spans="2:18" x14ac:dyDescent="0.35">
      <c r="B140" s="3"/>
      <c r="C140" s="3"/>
      <c r="H140" s="134"/>
      <c r="N140" s="132"/>
      <c r="Q140" s="3"/>
      <c r="R140" s="3"/>
    </row>
    <row r="141" spans="2:18" x14ac:dyDescent="0.35">
      <c r="B141" s="3"/>
      <c r="C141" s="3"/>
      <c r="H141" s="134"/>
      <c r="N141" s="132"/>
      <c r="Q141" s="3"/>
      <c r="R141" s="3"/>
    </row>
    <row r="142" spans="2:18" x14ac:dyDescent="0.35">
      <c r="B142" s="3"/>
      <c r="C142" s="3"/>
      <c r="H142" s="134"/>
      <c r="N142" s="132"/>
      <c r="Q142" s="3"/>
      <c r="R142" s="3"/>
    </row>
    <row r="143" spans="2:18" x14ac:dyDescent="0.35">
      <c r="B143" s="3"/>
      <c r="C143" s="3"/>
      <c r="H143" s="134"/>
      <c r="N143" s="132"/>
      <c r="Q143" s="3"/>
      <c r="R143" s="3"/>
    </row>
    <row r="144" spans="2:18" x14ac:dyDescent="0.35">
      <c r="B144" s="3"/>
      <c r="C144" s="3"/>
      <c r="H144" s="134"/>
      <c r="N144" s="132"/>
      <c r="Q144" s="3"/>
      <c r="R144" s="3"/>
    </row>
    <row r="145" spans="2:18" x14ac:dyDescent="0.35">
      <c r="B145" s="3"/>
      <c r="C145" s="3"/>
      <c r="H145" s="134"/>
      <c r="N145" s="132"/>
      <c r="Q145" s="3"/>
      <c r="R145" s="3"/>
    </row>
    <row r="146" spans="2:18" x14ac:dyDescent="0.35">
      <c r="B146" s="3"/>
      <c r="C146" s="3"/>
      <c r="H146" s="134"/>
      <c r="N146" s="132"/>
      <c r="Q146" s="3"/>
      <c r="R146" s="3"/>
    </row>
    <row r="147" spans="2:18" x14ac:dyDescent="0.35">
      <c r="B147" s="3"/>
      <c r="C147" s="3"/>
      <c r="H147" s="134"/>
      <c r="N147" s="132"/>
      <c r="Q147" s="3"/>
      <c r="R147" s="3"/>
    </row>
    <row r="148" spans="2:18" x14ac:dyDescent="0.35">
      <c r="B148" s="3"/>
      <c r="C148" s="3"/>
      <c r="H148" s="134"/>
      <c r="N148" s="132"/>
      <c r="Q148" s="3"/>
      <c r="R148" s="3"/>
    </row>
    <row r="149" spans="2:18" x14ac:dyDescent="0.35">
      <c r="B149" s="3"/>
      <c r="C149" s="3"/>
      <c r="H149" s="134"/>
      <c r="N149" s="132"/>
      <c r="Q149" s="3"/>
      <c r="R149" s="3"/>
    </row>
    <row r="150" spans="2:18" x14ac:dyDescent="0.35">
      <c r="B150" s="3"/>
      <c r="C150" s="3"/>
      <c r="H150" s="134"/>
      <c r="N150" s="132"/>
      <c r="Q150" s="3"/>
      <c r="R150" s="3"/>
    </row>
    <row r="151" spans="2:18" x14ac:dyDescent="0.35">
      <c r="B151" s="3"/>
      <c r="C151" s="3"/>
      <c r="H151" s="134"/>
      <c r="N151" s="132"/>
      <c r="Q151" s="3"/>
      <c r="R151" s="3"/>
    </row>
    <row r="152" spans="2:18" x14ac:dyDescent="0.35">
      <c r="B152" s="3"/>
      <c r="C152" s="3"/>
      <c r="H152" s="134"/>
      <c r="N152" s="132"/>
      <c r="Q152" s="3"/>
      <c r="R152" s="3"/>
    </row>
    <row r="153" spans="2:18" x14ac:dyDescent="0.35">
      <c r="B153" s="3"/>
      <c r="C153" s="3"/>
      <c r="H153" s="134"/>
      <c r="N153" s="132"/>
      <c r="Q153" s="3"/>
      <c r="R153" s="3"/>
    </row>
    <row r="154" spans="2:18" x14ac:dyDescent="0.35">
      <c r="B154" s="3"/>
      <c r="C154" s="3"/>
      <c r="H154" s="134"/>
      <c r="N154" s="132"/>
      <c r="Q154" s="3"/>
      <c r="R154" s="3"/>
    </row>
    <row r="155" spans="2:18" x14ac:dyDescent="0.35">
      <c r="B155" s="3"/>
      <c r="C155" s="3"/>
      <c r="H155" s="134"/>
      <c r="N155" s="132"/>
      <c r="Q155" s="3"/>
      <c r="R155" s="3"/>
    </row>
    <row r="156" spans="2:18" x14ac:dyDescent="0.35">
      <c r="B156" s="3"/>
      <c r="C156" s="3"/>
      <c r="H156" s="134"/>
      <c r="N156" s="132"/>
      <c r="Q156" s="3"/>
      <c r="R156" s="3"/>
    </row>
    <row r="157" spans="2:18" x14ac:dyDescent="0.35">
      <c r="B157" s="3"/>
      <c r="C157" s="3"/>
      <c r="H157" s="134"/>
      <c r="N157" s="132"/>
      <c r="Q157" s="3"/>
      <c r="R157" s="3"/>
    </row>
    <row r="158" spans="2:18" x14ac:dyDescent="0.35">
      <c r="B158" s="3"/>
      <c r="C158" s="3"/>
      <c r="H158" s="134"/>
      <c r="N158" s="132"/>
      <c r="Q158" s="3"/>
      <c r="R158" s="3"/>
    </row>
    <row r="159" spans="2:18" x14ac:dyDescent="0.35">
      <c r="B159" s="3"/>
      <c r="C159" s="3"/>
      <c r="H159" s="134"/>
      <c r="N159" s="132"/>
      <c r="Q159" s="3"/>
      <c r="R159" s="3"/>
    </row>
    <row r="160" spans="2:18" x14ac:dyDescent="0.35">
      <c r="B160" s="3"/>
      <c r="C160" s="3"/>
      <c r="H160" s="134"/>
      <c r="N160" s="132"/>
      <c r="Q160" s="3"/>
      <c r="R160" s="3"/>
    </row>
    <row r="161" spans="2:18" x14ac:dyDescent="0.35">
      <c r="B161" s="3"/>
      <c r="C161" s="3"/>
      <c r="H161" s="134"/>
      <c r="N161" s="132"/>
      <c r="Q161" s="3"/>
      <c r="R161" s="3"/>
    </row>
    <row r="162" spans="2:18" x14ac:dyDescent="0.35">
      <c r="B162" s="3"/>
      <c r="C162" s="3"/>
      <c r="H162" s="134"/>
      <c r="N162" s="132"/>
      <c r="Q162" s="3"/>
      <c r="R162" s="3"/>
    </row>
    <row r="163" spans="2:18" x14ac:dyDescent="0.35">
      <c r="B163" s="3"/>
      <c r="C163" s="3"/>
      <c r="H163" s="134"/>
      <c r="N163" s="132"/>
      <c r="Q163" s="3"/>
      <c r="R163" s="3"/>
    </row>
    <row r="164" spans="2:18" x14ac:dyDescent="0.35">
      <c r="B164" s="3"/>
      <c r="C164" s="3"/>
      <c r="H164" s="134"/>
      <c r="N164" s="132"/>
      <c r="Q164" s="3"/>
      <c r="R164" s="3"/>
    </row>
    <row r="165" spans="2:18" x14ac:dyDescent="0.35">
      <c r="B165" s="3"/>
      <c r="C165" s="3"/>
      <c r="H165" s="134"/>
      <c r="N165" s="132"/>
      <c r="Q165" s="3"/>
      <c r="R165" s="3"/>
    </row>
    <row r="166" spans="2:18" x14ac:dyDescent="0.35">
      <c r="B166" s="3"/>
      <c r="C166" s="3"/>
      <c r="H166" s="134"/>
      <c r="N166" s="132"/>
      <c r="Q166" s="3"/>
      <c r="R166" s="3"/>
    </row>
    <row r="167" spans="2:18" x14ac:dyDescent="0.35">
      <c r="B167" s="3"/>
      <c r="C167" s="3"/>
      <c r="H167" s="134"/>
      <c r="N167" s="132"/>
      <c r="Q167" s="3"/>
      <c r="R167" s="3"/>
    </row>
    <row r="168" spans="2:18" x14ac:dyDescent="0.35">
      <c r="B168" s="3"/>
      <c r="C168" s="3"/>
      <c r="H168" s="134"/>
      <c r="N168" s="132"/>
      <c r="Q168" s="3"/>
      <c r="R168" s="3"/>
    </row>
    <row r="169" spans="2:18" x14ac:dyDescent="0.35">
      <c r="B169" s="3"/>
      <c r="C169" s="3"/>
      <c r="H169" s="134"/>
      <c r="N169" s="132"/>
      <c r="Q169" s="3"/>
      <c r="R169" s="3"/>
    </row>
    <row r="170" spans="2:18" x14ac:dyDescent="0.35">
      <c r="B170" s="3"/>
      <c r="C170" s="3"/>
      <c r="H170" s="134"/>
      <c r="N170" s="132"/>
      <c r="Q170" s="3"/>
      <c r="R170" s="3"/>
    </row>
    <row r="171" spans="2:18" x14ac:dyDescent="0.35">
      <c r="B171" s="3"/>
      <c r="C171" s="3"/>
      <c r="H171" s="134"/>
      <c r="N171" s="132"/>
      <c r="Q171" s="3"/>
      <c r="R171" s="3"/>
    </row>
    <row r="172" spans="2:18" x14ac:dyDescent="0.35">
      <c r="B172" s="3"/>
      <c r="C172" s="3"/>
      <c r="H172" s="134"/>
      <c r="N172" s="132"/>
      <c r="Q172" s="3"/>
      <c r="R172" s="3"/>
    </row>
    <row r="173" spans="2:18" x14ac:dyDescent="0.35">
      <c r="B173" s="3"/>
      <c r="C173" s="3"/>
      <c r="H173" s="134"/>
      <c r="N173" s="132"/>
      <c r="Q173" s="3"/>
      <c r="R173" s="3"/>
    </row>
    <row r="174" spans="2:18" x14ac:dyDescent="0.35">
      <c r="B174" s="3"/>
      <c r="C174" s="3"/>
      <c r="H174" s="134"/>
      <c r="N174" s="132"/>
      <c r="Q174" s="3"/>
      <c r="R174" s="3"/>
    </row>
    <row r="175" spans="2:18" x14ac:dyDescent="0.35">
      <c r="B175" s="3"/>
      <c r="C175" s="3"/>
      <c r="H175" s="134"/>
      <c r="N175" s="132"/>
      <c r="Q175" s="3"/>
      <c r="R175" s="3"/>
    </row>
    <row r="176" spans="2:18" x14ac:dyDescent="0.35">
      <c r="B176" s="3"/>
      <c r="C176" s="3"/>
      <c r="H176" s="134"/>
      <c r="N176" s="132"/>
      <c r="Q176" s="3"/>
      <c r="R176" s="3"/>
    </row>
    <row r="177" spans="2:18" x14ac:dyDescent="0.35">
      <c r="B177" s="3"/>
      <c r="C177" s="3"/>
      <c r="H177" s="134"/>
      <c r="N177" s="132"/>
      <c r="Q177" s="3"/>
      <c r="R177" s="3"/>
    </row>
    <row r="178" spans="2:18" x14ac:dyDescent="0.35">
      <c r="B178" s="3"/>
      <c r="C178" s="3"/>
      <c r="H178" s="134"/>
      <c r="N178" s="132"/>
      <c r="Q178" s="3"/>
      <c r="R178" s="3"/>
    </row>
    <row r="179" spans="2:18" x14ac:dyDescent="0.35">
      <c r="B179" s="3"/>
      <c r="C179" s="3"/>
      <c r="H179" s="134"/>
      <c r="N179" s="132"/>
      <c r="Q179" s="3"/>
      <c r="R179" s="3"/>
    </row>
    <row r="180" spans="2:18" x14ac:dyDescent="0.35">
      <c r="B180" s="3"/>
      <c r="C180" s="3"/>
      <c r="H180" s="134"/>
      <c r="N180" s="132"/>
      <c r="Q180" s="3"/>
      <c r="R180" s="3"/>
    </row>
    <row r="181" spans="2:18" x14ac:dyDescent="0.35">
      <c r="B181" s="3"/>
      <c r="C181" s="3"/>
      <c r="H181" s="134"/>
      <c r="N181" s="132"/>
      <c r="Q181" s="3"/>
      <c r="R181" s="3"/>
    </row>
    <row r="182" spans="2:18" x14ac:dyDescent="0.35">
      <c r="B182" s="3"/>
      <c r="C182" s="3"/>
      <c r="H182" s="134"/>
      <c r="N182" s="132"/>
      <c r="Q182" s="3"/>
      <c r="R182" s="3"/>
    </row>
    <row r="183" spans="2:18" x14ac:dyDescent="0.35">
      <c r="B183" s="3"/>
      <c r="C183" s="3"/>
      <c r="H183" s="134"/>
      <c r="N183" s="132"/>
      <c r="Q183" s="3"/>
      <c r="R183" s="3"/>
    </row>
    <row r="184" spans="2:18" x14ac:dyDescent="0.35">
      <c r="B184" s="3"/>
      <c r="C184" s="3"/>
      <c r="H184" s="134"/>
      <c r="N184" s="132"/>
      <c r="Q184" s="3"/>
      <c r="R184" s="3"/>
    </row>
    <row r="185" spans="2:18" x14ac:dyDescent="0.35">
      <c r="B185" s="3"/>
      <c r="C185" s="3"/>
      <c r="H185" s="134"/>
      <c r="N185" s="132"/>
      <c r="Q185" s="3"/>
      <c r="R185" s="3"/>
    </row>
    <row r="186" spans="2:18" x14ac:dyDescent="0.35">
      <c r="B186" s="3"/>
      <c r="C186" s="3"/>
      <c r="H186" s="134"/>
      <c r="N186" s="132"/>
      <c r="Q186" s="3"/>
      <c r="R186" s="3"/>
    </row>
    <row r="187" spans="2:18" x14ac:dyDescent="0.35">
      <c r="B187" s="3"/>
      <c r="C187" s="3"/>
      <c r="H187" s="134"/>
      <c r="N187" s="132"/>
      <c r="Q187" s="3"/>
      <c r="R187" s="3"/>
    </row>
    <row r="188" spans="2:18" x14ac:dyDescent="0.35">
      <c r="B188" s="3"/>
      <c r="C188" s="3"/>
      <c r="H188" s="134"/>
      <c r="N188" s="132"/>
      <c r="Q188" s="3"/>
      <c r="R188" s="3"/>
    </row>
    <row r="189" spans="2:18" x14ac:dyDescent="0.35">
      <c r="B189" s="3"/>
      <c r="C189" s="3"/>
      <c r="H189" s="134"/>
      <c r="N189" s="132"/>
      <c r="Q189" s="3"/>
      <c r="R189" s="3"/>
    </row>
    <row r="190" spans="2:18" x14ac:dyDescent="0.35">
      <c r="B190" s="3"/>
      <c r="C190" s="3"/>
      <c r="H190" s="134"/>
      <c r="N190" s="132"/>
      <c r="Q190" s="3"/>
      <c r="R190" s="3"/>
    </row>
    <row r="191" spans="2:18" x14ac:dyDescent="0.35">
      <c r="B191" s="3"/>
      <c r="C191" s="3"/>
      <c r="H191" s="134"/>
      <c r="N191" s="132"/>
      <c r="Q191" s="3"/>
      <c r="R191" s="3"/>
    </row>
    <row r="192" spans="2:18" x14ac:dyDescent="0.35">
      <c r="B192" s="3"/>
      <c r="C192" s="3"/>
      <c r="H192" s="134"/>
      <c r="N192" s="132"/>
      <c r="Q192" s="3"/>
      <c r="R192" s="3"/>
    </row>
    <row r="193" spans="2:18" x14ac:dyDescent="0.35">
      <c r="B193" s="3"/>
      <c r="C193" s="3"/>
      <c r="H193" s="134"/>
      <c r="N193" s="132"/>
      <c r="Q193" s="3"/>
      <c r="R193" s="3"/>
    </row>
    <row r="194" spans="2:18" x14ac:dyDescent="0.35">
      <c r="B194" s="3"/>
      <c r="C194" s="3"/>
      <c r="H194" s="134"/>
      <c r="N194" s="132"/>
      <c r="Q194" s="3"/>
      <c r="R194" s="3"/>
    </row>
    <row r="195" spans="2:18" x14ac:dyDescent="0.35">
      <c r="B195" s="3"/>
      <c r="C195" s="3"/>
      <c r="H195" s="134"/>
      <c r="N195" s="132"/>
      <c r="Q195" s="3"/>
      <c r="R195" s="3"/>
    </row>
    <row r="196" spans="2:18" x14ac:dyDescent="0.35">
      <c r="B196" s="3"/>
      <c r="C196" s="3"/>
      <c r="H196" s="134"/>
      <c r="N196" s="132"/>
      <c r="Q196" s="3"/>
      <c r="R196" s="3"/>
    </row>
    <row r="197" spans="2:18" x14ac:dyDescent="0.35">
      <c r="B197" s="3"/>
      <c r="C197" s="3"/>
      <c r="H197" s="134"/>
      <c r="N197" s="132"/>
      <c r="Q197" s="3"/>
      <c r="R197" s="3"/>
    </row>
    <row r="198" spans="2:18" x14ac:dyDescent="0.35">
      <c r="B198" s="3"/>
      <c r="C198" s="3"/>
      <c r="H198" s="134"/>
      <c r="N198" s="132"/>
      <c r="Q198" s="3"/>
      <c r="R198" s="3"/>
    </row>
    <row r="199" spans="2:18" x14ac:dyDescent="0.35">
      <c r="B199" s="3"/>
      <c r="C199" s="3"/>
      <c r="H199" s="134"/>
      <c r="N199" s="132"/>
      <c r="Q199" s="3"/>
      <c r="R199" s="3"/>
    </row>
    <row r="200" spans="2:18" x14ac:dyDescent="0.35">
      <c r="B200" s="3"/>
      <c r="C200" s="3"/>
      <c r="H200" s="134"/>
      <c r="N200" s="132"/>
      <c r="Q200" s="3"/>
      <c r="R200" s="3"/>
    </row>
  </sheetData>
  <mergeCells count="2">
    <mergeCell ref="A1:X1"/>
    <mergeCell ref="A2:X2"/>
  </mergeCells>
  <conditionalFormatting sqref="G6:G60">
    <cfRule type="cellIs" dxfId="31" priority="31" operator="equal">
      <formula>"Critical"</formula>
    </cfRule>
    <cfRule type="cellIs" dxfId="30" priority="32" operator="equal">
      <formula>"Significant"</formula>
    </cfRule>
    <cfRule type="cellIs" dxfId="29" priority="33" operator="equal">
      <formula>"Moderate"</formula>
    </cfRule>
    <cfRule type="cellIs" dxfId="28" priority="34" operator="equal">
      <formula>"Low"</formula>
    </cfRule>
  </conditionalFormatting>
  <conditionalFormatting sqref="P6:P200">
    <cfRule type="expression" dxfId="27" priority="35">
      <formula>$P6="Red - Action Required"</formula>
    </cfRule>
    <cfRule type="expression" dxfId="26" priority="36">
      <formula>$P6="Amber - Attention"</formula>
    </cfRule>
    <cfRule type="expression" dxfId="25" priority="37">
      <formula>$P6="Green - On Track"</formula>
    </cfRule>
  </conditionalFormatting>
  <conditionalFormatting sqref="Q61:Q200">
    <cfRule type="expression" dxfId="24" priority="38">
      <formula>LEFT($Q61,8)="ESCALATE"</formula>
    </cfRule>
    <cfRule type="expression" dxfId="23" priority="39">
      <formula>LEFT($Q61,6)="REVIEW"</formula>
    </cfRule>
  </conditionalFormatting>
  <conditionalFormatting sqref="Q6:X60">
    <cfRule type="expression" dxfId="22" priority="1">
      <formula>$P6="Red - Action Required"</formula>
    </cfRule>
    <cfRule type="expression" dxfId="21" priority="2">
      <formula>$P6="Amber - Attention"</formula>
    </cfRule>
    <cfRule type="expression" dxfId="20" priority="3">
      <formula>$P6="Green - On Track"</formula>
    </cfRule>
  </conditionalFormatting>
  <pageMargins left="0.75" right="0.75" top="1" bottom="1" header="0.511811023622047" footer="0.51180555555555596"/>
  <pageSetup paperSize="9" orientation="portrait" horizontalDpi="300" verticalDpi="300" r:id="rId1"/>
  <headerFooter>
    <oddFooter>&amp;L&amp;A&amp;RPage &amp;P of &amp;N</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0483A-FF9E-4A41-9763-AC0B247F37CC}">
  <dimension ref="A1:X105"/>
  <sheetViews>
    <sheetView workbookViewId="0">
      <selection activeCell="A2" sqref="A2:X2"/>
    </sheetView>
  </sheetViews>
  <sheetFormatPr defaultRowHeight="14.5" x14ac:dyDescent="0.35"/>
  <cols>
    <col min="1" max="1" width="6.26953125" bestFit="1" customWidth="1"/>
    <col min="2" max="2" width="10.1796875" bestFit="1" customWidth="1"/>
    <col min="3" max="3" width="13.453125" bestFit="1" customWidth="1"/>
    <col min="4" max="4" width="12.26953125" bestFit="1" customWidth="1"/>
    <col min="5" max="5" width="13.81640625" bestFit="1" customWidth="1"/>
    <col min="6" max="6" width="9.54296875" bestFit="1" customWidth="1"/>
    <col min="7" max="7" width="10.1796875" bestFit="1" customWidth="1"/>
    <col min="8" max="8" width="22.1796875" bestFit="1" customWidth="1"/>
    <col min="9" max="9" width="12.54296875" bestFit="1" customWidth="1"/>
    <col min="10" max="10" width="18" bestFit="1" customWidth="1"/>
    <col min="11" max="11" width="9" bestFit="1" customWidth="1"/>
    <col min="12" max="12" width="12.81640625" bestFit="1" customWidth="1"/>
    <col min="13" max="13" width="8.453125" bestFit="1" customWidth="1"/>
    <col min="14" max="14" width="14.1796875" bestFit="1" customWidth="1"/>
    <col min="15" max="15" width="19.54296875" bestFit="1" customWidth="1"/>
    <col min="16" max="16" width="13.1796875" bestFit="1" customWidth="1"/>
    <col min="17" max="17" width="14.54296875" bestFit="1" customWidth="1"/>
    <col min="18" max="18" width="14" bestFit="1" customWidth="1"/>
    <col min="19" max="19" width="12.26953125" bestFit="1" customWidth="1"/>
    <col min="20" max="20" width="10.54296875" bestFit="1" customWidth="1"/>
    <col min="21" max="22" width="8.81640625" bestFit="1" customWidth="1"/>
    <col min="23" max="23" width="9.1796875" bestFit="1" customWidth="1"/>
    <col min="24" max="24" width="10.453125" bestFit="1" customWidth="1"/>
  </cols>
  <sheetData>
    <row r="1" spans="1:24" ht="23.5" x14ac:dyDescent="0.55000000000000004">
      <c r="A1" s="277" t="s">
        <v>353</v>
      </c>
      <c r="B1" s="277"/>
      <c r="C1" s="277"/>
      <c r="D1" s="277"/>
      <c r="E1" s="277"/>
      <c r="F1" s="277"/>
      <c r="G1" s="277"/>
      <c r="H1" s="277"/>
      <c r="I1" s="277"/>
      <c r="J1" s="277"/>
      <c r="K1" s="277"/>
      <c r="L1" s="277"/>
      <c r="M1" s="277"/>
      <c r="N1" s="277"/>
      <c r="O1" s="277"/>
      <c r="P1" s="277"/>
      <c r="Q1" s="277"/>
      <c r="R1" s="277"/>
      <c r="S1" s="277"/>
      <c r="T1" s="277"/>
      <c r="U1" s="277"/>
      <c r="V1" s="277"/>
      <c r="W1" s="277"/>
      <c r="X1" s="277"/>
    </row>
    <row r="2" spans="1:24" x14ac:dyDescent="0.35">
      <c r="A2" s="278"/>
      <c r="B2" s="278"/>
      <c r="C2" s="278"/>
      <c r="D2" s="278"/>
      <c r="E2" s="278"/>
      <c r="F2" s="278"/>
      <c r="G2" s="278"/>
      <c r="H2" s="278"/>
      <c r="I2" s="278"/>
      <c r="J2" s="278"/>
      <c r="K2" s="278"/>
      <c r="L2" s="278"/>
      <c r="M2" s="278"/>
      <c r="N2" s="278"/>
      <c r="O2" s="278"/>
      <c r="P2" s="278"/>
      <c r="Q2" s="278"/>
      <c r="R2" s="278"/>
      <c r="S2" s="278"/>
      <c r="T2" s="278"/>
      <c r="U2" s="278"/>
      <c r="V2" s="278"/>
      <c r="W2" s="278"/>
      <c r="X2" s="278"/>
    </row>
    <row r="5" spans="1:24" ht="29" x14ac:dyDescent="0.35">
      <c r="A5" s="171" t="s">
        <v>131</v>
      </c>
      <c r="B5" s="171" t="s">
        <v>354</v>
      </c>
      <c r="C5" s="171" t="s">
        <v>355</v>
      </c>
      <c r="D5" s="171" t="s">
        <v>356</v>
      </c>
      <c r="E5" s="171" t="s">
        <v>357</v>
      </c>
      <c r="F5" s="171" t="s">
        <v>358</v>
      </c>
      <c r="G5" s="171" t="s">
        <v>359</v>
      </c>
      <c r="H5" s="171" t="s">
        <v>360</v>
      </c>
      <c r="I5" s="171" t="s">
        <v>361</v>
      </c>
      <c r="J5" s="171" t="s">
        <v>362</v>
      </c>
      <c r="K5" s="171" t="s">
        <v>99</v>
      </c>
      <c r="L5" s="171" t="s">
        <v>363</v>
      </c>
      <c r="M5" s="171" t="s">
        <v>1</v>
      </c>
      <c r="N5" s="171" t="s">
        <v>364</v>
      </c>
      <c r="O5" s="171" t="s">
        <v>365</v>
      </c>
      <c r="P5" s="171" t="s">
        <v>366</v>
      </c>
      <c r="Q5" s="171" t="s">
        <v>367</v>
      </c>
      <c r="R5" s="171" t="s">
        <v>368</v>
      </c>
      <c r="S5" s="171" t="s">
        <v>369</v>
      </c>
      <c r="T5" s="171" t="s">
        <v>370</v>
      </c>
      <c r="U5" s="171" t="s">
        <v>276</v>
      </c>
      <c r="V5" s="171" t="s">
        <v>277</v>
      </c>
      <c r="W5" s="171" t="s">
        <v>320</v>
      </c>
      <c r="X5" s="171" t="s">
        <v>220</v>
      </c>
    </row>
    <row r="6" spans="1:24" x14ac:dyDescent="0.35">
      <c r="A6" s="203">
        <v>1</v>
      </c>
      <c r="B6" s="13">
        <f t="shared" ref="B6:B69" si="0">IF(F6="","","CAPA-"&amp;TEXT(A6,"000"))</f>
      </c>
      <c r="C6" s="331"/>
      <c r="E6" s="132"/>
      <c r="F6" s="3"/>
      <c r="G6" s="331"/>
      <c r="H6" s="3"/>
      <c r="I6" s="3"/>
      <c r="J6" s="3"/>
      <c r="L6" s="132"/>
      <c r="M6" s="331"/>
      <c r="N6" s="3"/>
      <c r="O6" s="3"/>
      <c r="P6" s="132"/>
      <c r="Q6" s="331"/>
      <c r="R6" s="132"/>
      <c r="S6" s="134">
        <f t="shared" ref="S6:S37" ca="1" si="1">IF(E6="","",IF(R6&lt;&gt;"",R6-E6,TODAY()-E6))</f>
      </c>
      <c r="T6">
        <f t="shared" ref="T6:T69" ca="1" si="2">IF(OR(M6="Closed",M6="Cancelled",L6=""),"",IF(L6&lt;TODAY(),"Overdue","On Track"))</f>
      </c>
      <c r="X6" s="3"/>
    </row>
    <row r="7" spans="1:24" x14ac:dyDescent="0.35">
      <c r="A7" s="203">
        <v>2</v>
      </c>
      <c r="B7" s="13">
        <f t="shared" si="0"/>
      </c>
      <c r="C7" s="331"/>
      <c r="E7" s="132"/>
      <c r="F7" s="3"/>
      <c r="G7" s="331"/>
      <c r="H7" s="3"/>
      <c r="I7" s="3"/>
      <c r="J7" s="3"/>
      <c r="L7" s="132"/>
      <c r="M7" s="331"/>
      <c r="N7" s="3"/>
      <c r="O7" s="3"/>
      <c r="P7" s="132"/>
      <c r="Q7" s="331"/>
      <c r="R7" s="132"/>
      <c r="S7" s="134">
        <f t="shared" ca="1" si="1"/>
      </c>
      <c r="T7">
        <f t="shared" ca="1" si="2"/>
      </c>
      <c r="X7" s="3"/>
    </row>
    <row r="8" spans="1:24" x14ac:dyDescent="0.35">
      <c r="A8" s="203">
        <v>3</v>
      </c>
      <c r="B8" s="13">
        <f t="shared" si="0"/>
      </c>
      <c r="C8" s="331"/>
      <c r="E8" s="132"/>
      <c r="F8" s="3"/>
      <c r="G8" s="331"/>
      <c r="H8" s="3"/>
      <c r="I8" s="3"/>
      <c r="J8" s="3"/>
      <c r="L8" s="132"/>
      <c r="M8" s="331"/>
      <c r="N8" s="3"/>
      <c r="O8" s="3"/>
      <c r="P8" s="132"/>
      <c r="Q8" s="331"/>
      <c r="R8" s="132"/>
      <c r="S8" s="134">
        <f t="shared" ca="1" si="1"/>
      </c>
      <c r="T8">
        <f t="shared" ca="1" si="2"/>
      </c>
      <c r="X8" s="3"/>
    </row>
    <row r="9" spans="1:24" x14ac:dyDescent="0.35">
      <c r="A9" s="203">
        <v>4</v>
      </c>
      <c r="B9" s="13">
        <f t="shared" si="0"/>
      </c>
      <c r="C9" s="331"/>
      <c r="E9" s="132"/>
      <c r="F9" s="3"/>
      <c r="G9" s="331"/>
      <c r="H9" s="3"/>
      <c r="I9" s="3"/>
      <c r="J9" s="3"/>
      <c r="L9" s="132"/>
      <c r="M9" s="331"/>
      <c r="N9" s="3"/>
      <c r="O9" s="3"/>
      <c r="P9" s="132"/>
      <c r="Q9" s="331"/>
      <c r="R9" s="132"/>
      <c r="S9" s="134">
        <f t="shared" ca="1" si="1"/>
      </c>
      <c r="T9">
        <f t="shared" ca="1" si="2"/>
      </c>
      <c r="X9" s="3"/>
    </row>
    <row r="10" spans="1:24" x14ac:dyDescent="0.35">
      <c r="A10" s="203">
        <v>5</v>
      </c>
      <c r="B10" s="13">
        <f t="shared" si="0"/>
      </c>
      <c r="C10" s="331"/>
      <c r="E10" s="132"/>
      <c r="F10" s="3"/>
      <c r="G10" s="331"/>
      <c r="H10" s="3"/>
      <c r="I10" s="3"/>
      <c r="J10" s="3"/>
      <c r="L10" s="132"/>
      <c r="M10" s="331"/>
      <c r="N10" s="3"/>
      <c r="O10" s="3"/>
      <c r="P10" s="132"/>
      <c r="Q10" s="331"/>
      <c r="R10" s="132"/>
      <c r="S10" s="134">
        <f t="shared" ca="1" si="1"/>
      </c>
      <c r="T10">
        <f t="shared" ca="1" si="2"/>
      </c>
      <c r="X10" s="3"/>
    </row>
    <row r="11" spans="1:24" x14ac:dyDescent="0.35">
      <c r="A11" s="203">
        <v>6</v>
      </c>
      <c r="B11" s="13">
        <f t="shared" si="0"/>
      </c>
      <c r="C11" s="331"/>
      <c r="E11" s="132"/>
      <c r="F11" s="3"/>
      <c r="G11" s="331"/>
      <c r="H11" s="3"/>
      <c r="I11" s="3"/>
      <c r="J11" s="3"/>
      <c r="L11" s="132"/>
      <c r="M11" s="331"/>
      <c r="N11" s="3"/>
      <c r="O11" s="3"/>
      <c r="P11" s="132"/>
      <c r="Q11" s="331"/>
      <c r="R11" s="132"/>
      <c r="S11" s="134">
        <f t="shared" ca="1" si="1"/>
      </c>
      <c r="T11">
        <f t="shared" ca="1" si="2"/>
      </c>
      <c r="X11" s="3"/>
    </row>
    <row r="12" spans="1:24" x14ac:dyDescent="0.35">
      <c r="A12" s="203">
        <v>7</v>
      </c>
      <c r="B12" s="13">
        <f t="shared" si="0"/>
      </c>
      <c r="C12" s="331"/>
      <c r="E12" s="132"/>
      <c r="F12" s="3"/>
      <c r="G12" s="331"/>
      <c r="H12" s="3"/>
      <c r="I12" s="3"/>
      <c r="J12" s="3"/>
      <c r="L12" s="132"/>
      <c r="M12" s="331"/>
      <c r="N12" s="3"/>
      <c r="O12" s="3"/>
      <c r="P12" s="132"/>
      <c r="Q12" s="331"/>
      <c r="R12" s="132"/>
      <c r="S12" s="134">
        <f t="shared" ca="1" si="1"/>
      </c>
      <c r="T12">
        <f t="shared" ca="1" si="2"/>
      </c>
      <c r="X12" s="3"/>
    </row>
    <row r="13" spans="1:24" x14ac:dyDescent="0.35">
      <c r="A13" s="203">
        <v>8</v>
      </c>
      <c r="B13" s="13">
        <f t="shared" si="0"/>
      </c>
      <c r="C13" s="331"/>
      <c r="E13" s="132"/>
      <c r="F13" s="3"/>
      <c r="G13" s="331"/>
      <c r="H13" s="3"/>
      <c r="I13" s="3"/>
      <c r="J13" s="3"/>
      <c r="L13" s="132"/>
      <c r="M13" s="331"/>
      <c r="N13" s="3"/>
      <c r="O13" s="3"/>
      <c r="P13" s="132"/>
      <c r="Q13" s="331"/>
      <c r="R13" s="132"/>
      <c r="S13" s="134">
        <f t="shared" ca="1" si="1"/>
      </c>
      <c r="T13">
        <f t="shared" ca="1" si="2"/>
      </c>
      <c r="X13" s="3"/>
    </row>
    <row r="14" spans="1:24" x14ac:dyDescent="0.35">
      <c r="A14" s="203">
        <v>9</v>
      </c>
      <c r="B14" s="13">
        <f t="shared" si="0"/>
      </c>
      <c r="C14" s="331"/>
      <c r="E14" s="132"/>
      <c r="F14" s="3"/>
      <c r="G14" s="331"/>
      <c r="H14" s="3"/>
      <c r="I14" s="3"/>
      <c r="J14" s="3"/>
      <c r="L14" s="132"/>
      <c r="M14" s="331"/>
      <c r="N14" s="3"/>
      <c r="O14" s="3"/>
      <c r="P14" s="132"/>
      <c r="Q14" s="331"/>
      <c r="R14" s="132"/>
      <c r="S14" s="134">
        <f t="shared" ca="1" si="1"/>
      </c>
      <c r="T14">
        <f t="shared" ca="1" si="2"/>
      </c>
      <c r="X14" s="3"/>
    </row>
    <row r="15" spans="1:24" x14ac:dyDescent="0.35">
      <c r="A15" s="203">
        <v>10</v>
      </c>
      <c r="B15" s="13">
        <f t="shared" si="0"/>
      </c>
      <c r="C15" s="331"/>
      <c r="E15" s="132"/>
      <c r="F15" s="3"/>
      <c r="G15" s="331"/>
      <c r="H15" s="3"/>
      <c r="I15" s="3"/>
      <c r="J15" s="3"/>
      <c r="L15" s="132"/>
      <c r="M15" s="331"/>
      <c r="N15" s="3"/>
      <c r="O15" s="3"/>
      <c r="P15" s="132"/>
      <c r="Q15" s="331"/>
      <c r="R15" s="132"/>
      <c r="S15" s="134">
        <f t="shared" ca="1" si="1"/>
      </c>
      <c r="T15">
        <f t="shared" ca="1" si="2"/>
      </c>
      <c r="X15" s="3"/>
    </row>
    <row r="16" spans="1:24" x14ac:dyDescent="0.35">
      <c r="A16" s="203">
        <v>11</v>
      </c>
      <c r="B16" s="13">
        <f t="shared" si="0"/>
      </c>
      <c r="C16" s="331"/>
      <c r="E16" s="132"/>
      <c r="F16" s="3"/>
      <c r="G16" s="331"/>
      <c r="H16" s="3"/>
      <c r="I16" s="3"/>
      <c r="J16" s="3"/>
      <c r="L16" s="132"/>
      <c r="M16" s="331"/>
      <c r="N16" s="3"/>
      <c r="O16" s="3"/>
      <c r="P16" s="132"/>
      <c r="Q16" s="331"/>
      <c r="R16" s="132"/>
      <c r="S16" s="134">
        <f t="shared" ca="1" si="1"/>
      </c>
      <c r="T16">
        <f t="shared" ca="1" si="2"/>
      </c>
      <c r="X16" s="3"/>
    </row>
    <row r="17" spans="1:24" x14ac:dyDescent="0.35">
      <c r="A17" s="203">
        <v>12</v>
      </c>
      <c r="B17" s="13">
        <f t="shared" si="0"/>
      </c>
      <c r="C17" s="331"/>
      <c r="E17" s="132"/>
      <c r="F17" s="3"/>
      <c r="G17" s="331"/>
      <c r="H17" s="3"/>
      <c r="I17" s="3"/>
      <c r="J17" s="3"/>
      <c r="L17" s="132"/>
      <c r="M17" s="331"/>
      <c r="N17" s="3"/>
      <c r="O17" s="3"/>
      <c r="P17" s="132"/>
      <c r="Q17" s="331"/>
      <c r="R17" s="132"/>
      <c r="S17" s="134">
        <f t="shared" ca="1" si="1"/>
      </c>
      <c r="T17">
        <f t="shared" ca="1" si="2"/>
      </c>
      <c r="X17" s="3"/>
    </row>
    <row r="18" spans="1:24" x14ac:dyDescent="0.35">
      <c r="A18" s="203">
        <v>13</v>
      </c>
      <c r="B18" s="13">
        <f t="shared" si="0"/>
      </c>
      <c r="C18" s="331"/>
      <c r="E18" s="132"/>
      <c r="F18" s="3"/>
      <c r="G18" s="331"/>
      <c r="H18" s="3"/>
      <c r="I18" s="3"/>
      <c r="J18" s="3"/>
      <c r="L18" s="132"/>
      <c r="M18" s="331"/>
      <c r="N18" s="3"/>
      <c r="O18" s="3"/>
      <c r="P18" s="132"/>
      <c r="Q18" s="331"/>
      <c r="R18" s="132"/>
      <c r="S18" s="134">
        <f t="shared" ca="1" si="1"/>
      </c>
      <c r="T18">
        <f t="shared" ca="1" si="2"/>
      </c>
      <c r="X18" s="3"/>
    </row>
    <row r="19" spans="1:24" x14ac:dyDescent="0.35">
      <c r="A19" s="203">
        <v>14</v>
      </c>
      <c r="B19" s="13">
        <f t="shared" si="0"/>
      </c>
      <c r="C19" s="331"/>
      <c r="E19" s="132"/>
      <c r="F19" s="3"/>
      <c r="G19" s="331"/>
      <c r="H19" s="3"/>
      <c r="I19" s="3"/>
      <c r="J19" s="3"/>
      <c r="L19" s="132"/>
      <c r="M19" s="331"/>
      <c r="N19" s="3"/>
      <c r="O19" s="3"/>
      <c r="P19" s="132"/>
      <c r="Q19" s="331"/>
      <c r="R19" s="132"/>
      <c r="S19" s="134">
        <f t="shared" ca="1" si="1"/>
      </c>
      <c r="T19">
        <f t="shared" ca="1" si="2"/>
      </c>
      <c r="X19" s="3"/>
    </row>
    <row r="20" spans="1:24" x14ac:dyDescent="0.35">
      <c r="A20" s="203">
        <v>15</v>
      </c>
      <c r="B20" s="13">
        <f t="shared" si="0"/>
      </c>
      <c r="C20" s="331"/>
      <c r="E20" s="132"/>
      <c r="F20" s="3"/>
      <c r="G20" s="331"/>
      <c r="H20" s="3"/>
      <c r="I20" s="3"/>
      <c r="J20" s="3"/>
      <c r="L20" s="132"/>
      <c r="M20" s="331"/>
      <c r="N20" s="3"/>
      <c r="O20" s="3"/>
      <c r="P20" s="132"/>
      <c r="Q20" s="331"/>
      <c r="R20" s="132"/>
      <c r="S20" s="134">
        <f t="shared" ca="1" si="1"/>
      </c>
      <c r="T20">
        <f t="shared" ca="1" si="2"/>
      </c>
      <c r="X20" s="3"/>
    </row>
    <row r="21" spans="1:24" x14ac:dyDescent="0.35">
      <c r="A21" s="203">
        <v>16</v>
      </c>
      <c r="B21" s="13">
        <f t="shared" si="0"/>
      </c>
      <c r="C21" s="331"/>
      <c r="E21" s="132"/>
      <c r="F21" s="3"/>
      <c r="G21" s="331"/>
      <c r="H21" s="3"/>
      <c r="I21" s="3"/>
      <c r="J21" s="3"/>
      <c r="L21" s="132"/>
      <c r="M21" s="331"/>
      <c r="N21" s="3"/>
      <c r="O21" s="3"/>
      <c r="P21" s="132"/>
      <c r="Q21" s="331"/>
      <c r="R21" s="132"/>
      <c r="S21" s="134">
        <f t="shared" ca="1" si="1"/>
      </c>
      <c r="T21">
        <f t="shared" ca="1" si="2"/>
      </c>
      <c r="X21" s="3"/>
    </row>
    <row r="22" spans="1:24" x14ac:dyDescent="0.35">
      <c r="A22" s="203">
        <v>17</v>
      </c>
      <c r="B22" s="13">
        <f t="shared" si="0"/>
      </c>
      <c r="C22" s="331"/>
      <c r="E22" s="132"/>
      <c r="F22" s="3"/>
      <c r="G22" s="331"/>
      <c r="H22" s="3"/>
      <c r="I22" s="3"/>
      <c r="J22" s="3"/>
      <c r="L22" s="132"/>
      <c r="M22" s="331"/>
      <c r="N22" s="3"/>
      <c r="O22" s="3"/>
      <c r="P22" s="132"/>
      <c r="Q22" s="331"/>
      <c r="R22" s="132"/>
      <c r="S22" s="134">
        <f t="shared" ca="1" si="1"/>
      </c>
      <c r="T22">
        <f t="shared" ca="1" si="2"/>
      </c>
      <c r="X22" s="3"/>
    </row>
    <row r="23" spans="1:24" x14ac:dyDescent="0.35">
      <c r="A23" s="203">
        <v>18</v>
      </c>
      <c r="B23" s="13">
        <f t="shared" si="0"/>
      </c>
      <c r="C23" s="331"/>
      <c r="E23" s="132"/>
      <c r="F23" s="3"/>
      <c r="G23" s="331"/>
      <c r="H23" s="3"/>
      <c r="I23" s="3"/>
      <c r="J23" s="3"/>
      <c r="L23" s="132"/>
      <c r="M23" s="331"/>
      <c r="N23" s="3"/>
      <c r="O23" s="3"/>
      <c r="P23" s="132"/>
      <c r="Q23" s="331"/>
      <c r="R23" s="132"/>
      <c r="S23" s="134">
        <f t="shared" ca="1" si="1"/>
      </c>
      <c r="T23">
        <f t="shared" ca="1" si="2"/>
      </c>
      <c r="X23" s="3"/>
    </row>
    <row r="24" spans="1:24" x14ac:dyDescent="0.35">
      <c r="A24" s="203">
        <v>19</v>
      </c>
      <c r="B24" s="13">
        <f t="shared" si="0"/>
      </c>
      <c r="C24" s="331"/>
      <c r="E24" s="132"/>
      <c r="F24" s="3"/>
      <c r="G24" s="331"/>
      <c r="H24" s="3"/>
      <c r="I24" s="3"/>
      <c r="J24" s="3"/>
      <c r="L24" s="132"/>
      <c r="M24" s="331"/>
      <c r="N24" s="3"/>
      <c r="O24" s="3"/>
      <c r="P24" s="132"/>
      <c r="Q24" s="331"/>
      <c r="R24" s="132"/>
      <c r="S24" s="134">
        <f t="shared" ca="1" si="1"/>
      </c>
      <c r="T24">
        <f t="shared" ca="1" si="2"/>
      </c>
      <c r="X24" s="3"/>
    </row>
    <row r="25" spans="1:24" x14ac:dyDescent="0.35">
      <c r="A25" s="203">
        <v>20</v>
      </c>
      <c r="B25" s="13">
        <f t="shared" si="0"/>
      </c>
      <c r="C25" s="331"/>
      <c r="E25" s="132"/>
      <c r="F25" s="3"/>
      <c r="G25" s="331"/>
      <c r="H25" s="3"/>
      <c r="I25" s="3"/>
      <c r="J25" s="3"/>
      <c r="L25" s="132"/>
      <c r="M25" s="331"/>
      <c r="N25" s="3"/>
      <c r="O25" s="3"/>
      <c r="P25" s="132"/>
      <c r="Q25" s="331"/>
      <c r="R25" s="132"/>
      <c r="S25" s="134">
        <f t="shared" ca="1" si="1"/>
      </c>
      <c r="T25">
        <f t="shared" ca="1" si="2"/>
      </c>
      <c r="X25" s="3"/>
    </row>
    <row r="26" spans="1:24" x14ac:dyDescent="0.35">
      <c r="A26" s="203">
        <v>21</v>
      </c>
      <c r="B26" s="13">
        <f t="shared" si="0"/>
      </c>
      <c r="C26" s="331"/>
      <c r="E26" s="132"/>
      <c r="F26" s="3"/>
      <c r="G26" s="331"/>
      <c r="H26" s="3"/>
      <c r="I26" s="3"/>
      <c r="J26" s="3"/>
      <c r="L26" s="132"/>
      <c r="M26" s="331"/>
      <c r="N26" s="3"/>
      <c r="O26" s="3"/>
      <c r="P26" s="132"/>
      <c r="Q26" s="331"/>
      <c r="R26" s="132"/>
      <c r="S26" s="134">
        <f t="shared" ca="1" si="1"/>
      </c>
      <c r="T26">
        <f t="shared" ca="1" si="2"/>
      </c>
      <c r="X26" s="3"/>
    </row>
    <row r="27" spans="1:24" x14ac:dyDescent="0.35">
      <c r="A27" s="203">
        <v>22</v>
      </c>
      <c r="B27" s="13">
        <f t="shared" si="0"/>
      </c>
      <c r="C27" s="331"/>
      <c r="E27" s="132"/>
      <c r="F27" s="3"/>
      <c r="G27" s="331"/>
      <c r="H27" s="3"/>
      <c r="I27" s="3"/>
      <c r="J27" s="3"/>
      <c r="L27" s="132"/>
      <c r="M27" s="331"/>
      <c r="N27" s="3"/>
      <c r="O27" s="3"/>
      <c r="P27" s="132"/>
      <c r="Q27" s="331"/>
      <c r="R27" s="132"/>
      <c r="S27" s="134">
        <f t="shared" ca="1" si="1"/>
      </c>
      <c r="T27">
        <f t="shared" ca="1" si="2"/>
      </c>
      <c r="X27" s="3"/>
    </row>
    <row r="28" spans="1:24" x14ac:dyDescent="0.35">
      <c r="A28" s="203">
        <v>23</v>
      </c>
      <c r="B28" s="13">
        <f t="shared" si="0"/>
      </c>
      <c r="C28" s="331"/>
      <c r="E28" s="132"/>
      <c r="F28" s="3"/>
      <c r="G28" s="331"/>
      <c r="H28" s="3"/>
      <c r="I28" s="3"/>
      <c r="J28" s="3"/>
      <c r="L28" s="132"/>
      <c r="M28" s="331"/>
      <c r="N28" s="3"/>
      <c r="O28" s="3"/>
      <c r="P28" s="132"/>
      <c r="Q28" s="331"/>
      <c r="R28" s="132"/>
      <c r="S28" s="134">
        <f t="shared" ca="1" si="1"/>
      </c>
      <c r="T28">
        <f t="shared" ca="1" si="2"/>
      </c>
      <c r="X28" s="3"/>
    </row>
    <row r="29" spans="1:24" x14ac:dyDescent="0.35">
      <c r="A29" s="203">
        <v>24</v>
      </c>
      <c r="B29" s="13">
        <f t="shared" si="0"/>
      </c>
      <c r="C29" s="331"/>
      <c r="E29" s="132"/>
      <c r="F29" s="3"/>
      <c r="G29" s="331"/>
      <c r="H29" s="3"/>
      <c r="I29" s="3"/>
      <c r="J29" s="3"/>
      <c r="L29" s="132"/>
      <c r="M29" s="331"/>
      <c r="N29" s="3"/>
      <c r="O29" s="3"/>
      <c r="P29" s="132"/>
      <c r="Q29" s="331"/>
      <c r="R29" s="132"/>
      <c r="S29" s="134">
        <f t="shared" ca="1" si="1"/>
      </c>
      <c r="T29">
        <f t="shared" ca="1" si="2"/>
      </c>
      <c r="X29" s="3"/>
    </row>
    <row r="30" spans="1:24" x14ac:dyDescent="0.35">
      <c r="A30" s="203">
        <v>25</v>
      </c>
      <c r="B30" s="13">
        <f t="shared" si="0"/>
      </c>
      <c r="C30" s="331"/>
      <c r="E30" s="132"/>
      <c r="F30" s="3"/>
      <c r="G30" s="331"/>
      <c r="H30" s="3"/>
      <c r="I30" s="3"/>
      <c r="J30" s="3"/>
      <c r="L30" s="132"/>
      <c r="M30" s="331"/>
      <c r="N30" s="3"/>
      <c r="O30" s="3"/>
      <c r="P30" s="132"/>
      <c r="Q30" s="331"/>
      <c r="R30" s="132"/>
      <c r="S30" s="134">
        <f t="shared" ca="1" si="1"/>
      </c>
      <c r="T30">
        <f t="shared" ca="1" si="2"/>
      </c>
      <c r="X30" s="3"/>
    </row>
    <row r="31" spans="1:24" x14ac:dyDescent="0.35">
      <c r="A31" s="203">
        <v>26</v>
      </c>
      <c r="B31" s="13">
        <f t="shared" si="0"/>
      </c>
      <c r="C31" s="331"/>
      <c r="E31" s="132"/>
      <c r="F31" s="3"/>
      <c r="G31" s="331"/>
      <c r="H31" s="3"/>
      <c r="I31" s="3"/>
      <c r="J31" s="3"/>
      <c r="L31" s="132"/>
      <c r="M31" s="331"/>
      <c r="N31" s="3"/>
      <c r="O31" s="3"/>
      <c r="P31" s="132"/>
      <c r="Q31" s="331"/>
      <c r="R31" s="132"/>
      <c r="S31" s="134">
        <f t="shared" ca="1" si="1"/>
      </c>
      <c r="T31">
        <f t="shared" ca="1" si="2"/>
      </c>
      <c r="X31" s="3"/>
    </row>
    <row r="32" spans="1:24" x14ac:dyDescent="0.35">
      <c r="A32" s="203">
        <v>27</v>
      </c>
      <c r="B32" s="13">
        <f t="shared" si="0"/>
      </c>
      <c r="C32" s="331"/>
      <c r="E32" s="132"/>
      <c r="F32" s="3"/>
      <c r="G32" s="331"/>
      <c r="H32" s="3"/>
      <c r="I32" s="3"/>
      <c r="J32" s="3"/>
      <c r="L32" s="132"/>
      <c r="M32" s="331"/>
      <c r="N32" s="3"/>
      <c r="O32" s="3"/>
      <c r="P32" s="132"/>
      <c r="Q32" s="331"/>
      <c r="R32" s="132"/>
      <c r="S32" s="134">
        <f t="shared" ca="1" si="1"/>
      </c>
      <c r="T32">
        <f t="shared" ca="1" si="2"/>
      </c>
      <c r="X32" s="3"/>
    </row>
    <row r="33" spans="1:24" x14ac:dyDescent="0.35">
      <c r="A33" s="203">
        <v>28</v>
      </c>
      <c r="B33" s="13">
        <f t="shared" si="0"/>
      </c>
      <c r="C33" s="331"/>
      <c r="E33" s="132"/>
      <c r="F33" s="3"/>
      <c r="G33" s="331"/>
      <c r="H33" s="3"/>
      <c r="I33" s="3"/>
      <c r="J33" s="3"/>
      <c r="L33" s="132"/>
      <c r="M33" s="331"/>
      <c r="N33" s="3"/>
      <c r="O33" s="3"/>
      <c r="P33" s="132"/>
      <c r="Q33" s="331"/>
      <c r="R33" s="132"/>
      <c r="S33" s="134">
        <f t="shared" ca="1" si="1"/>
      </c>
      <c r="T33">
        <f t="shared" ca="1" si="2"/>
      </c>
      <c r="X33" s="3"/>
    </row>
    <row r="34" spans="1:24" x14ac:dyDescent="0.35">
      <c r="A34" s="203">
        <v>29</v>
      </c>
      <c r="B34" s="13">
        <f t="shared" si="0"/>
      </c>
      <c r="C34" s="331"/>
      <c r="E34" s="132"/>
      <c r="F34" s="3"/>
      <c r="G34" s="331"/>
      <c r="H34" s="3"/>
      <c r="I34" s="3"/>
      <c r="J34" s="3"/>
      <c r="L34" s="132"/>
      <c r="M34" s="331"/>
      <c r="N34" s="3"/>
      <c r="O34" s="3"/>
      <c r="P34" s="132"/>
      <c r="Q34" s="331"/>
      <c r="R34" s="132"/>
      <c r="S34" s="134">
        <f t="shared" ca="1" si="1"/>
      </c>
      <c r="T34">
        <f t="shared" ca="1" si="2"/>
      </c>
      <c r="X34" s="3"/>
    </row>
    <row r="35" spans="1:24" x14ac:dyDescent="0.35">
      <c r="A35" s="203">
        <v>30</v>
      </c>
      <c r="B35" s="13">
        <f t="shared" si="0"/>
      </c>
      <c r="C35" s="331"/>
      <c r="E35" s="132"/>
      <c r="F35" s="3"/>
      <c r="G35" s="331"/>
      <c r="H35" s="3"/>
      <c r="I35" s="3"/>
      <c r="J35" s="3"/>
      <c r="L35" s="132"/>
      <c r="M35" s="331"/>
      <c r="N35" s="3"/>
      <c r="O35" s="3"/>
      <c r="P35" s="132"/>
      <c r="Q35" s="331"/>
      <c r="R35" s="132"/>
      <c r="S35" s="134">
        <f t="shared" ca="1" si="1"/>
      </c>
      <c r="T35">
        <f t="shared" ca="1" si="2"/>
      </c>
      <c r="X35" s="3"/>
    </row>
    <row r="36" spans="1:24" x14ac:dyDescent="0.35">
      <c r="A36" s="203">
        <v>31</v>
      </c>
      <c r="B36" s="13">
        <f t="shared" si="0"/>
      </c>
      <c r="C36" s="331"/>
      <c r="E36" s="132"/>
      <c r="F36" s="3"/>
      <c r="G36" s="331"/>
      <c r="H36" s="3"/>
      <c r="I36" s="3"/>
      <c r="J36" s="3"/>
      <c r="L36" s="132"/>
      <c r="M36" s="331"/>
      <c r="N36" s="3"/>
      <c r="O36" s="3"/>
      <c r="P36" s="132"/>
      <c r="Q36" s="331"/>
      <c r="R36" s="132"/>
      <c r="S36" s="134">
        <f t="shared" ca="1" si="1"/>
      </c>
      <c r="T36">
        <f t="shared" ca="1" si="2"/>
      </c>
      <c r="X36" s="3"/>
    </row>
    <row r="37" spans="1:24" x14ac:dyDescent="0.35">
      <c r="A37" s="203">
        <v>32</v>
      </c>
      <c r="B37" s="13">
        <f t="shared" si="0"/>
      </c>
      <c r="C37" s="331"/>
      <c r="E37" s="132"/>
      <c r="F37" s="3"/>
      <c r="G37" s="331"/>
      <c r="H37" s="3"/>
      <c r="I37" s="3"/>
      <c r="J37" s="3"/>
      <c r="L37" s="132"/>
      <c r="M37" s="331"/>
      <c r="N37" s="3"/>
      <c r="O37" s="3"/>
      <c r="P37" s="132"/>
      <c r="Q37" s="331"/>
      <c r="R37" s="132"/>
      <c r="S37" s="134">
        <f t="shared" ca="1" si="1"/>
      </c>
      <c r="T37">
        <f t="shared" ca="1" si="2"/>
      </c>
      <c r="X37" s="3"/>
    </row>
    <row r="38" spans="1:24" x14ac:dyDescent="0.35">
      <c r="A38" s="203">
        <v>33</v>
      </c>
      <c r="B38" s="13">
        <f t="shared" si="0"/>
      </c>
      <c r="C38" s="331"/>
      <c r="E38" s="132"/>
      <c r="F38" s="3"/>
      <c r="G38" s="331"/>
      <c r="H38" s="3"/>
      <c r="I38" s="3"/>
      <c r="J38" s="3"/>
      <c r="L38" s="132"/>
      <c r="M38" s="331"/>
      <c r="N38" s="3"/>
      <c r="O38" s="3"/>
      <c r="P38" s="132"/>
      <c r="Q38" s="331"/>
      <c r="R38" s="132"/>
      <c r="S38" s="134">
        <f t="shared" ref="S38:S69" ca="1" si="3">IF(E38="","",IF(R38&lt;&gt;"",R38-E38,TODAY()-E38))</f>
      </c>
      <c r="T38">
        <f t="shared" ca="1" si="2"/>
      </c>
      <c r="X38" s="3"/>
    </row>
    <row r="39" spans="1:24" x14ac:dyDescent="0.35">
      <c r="A39" s="203">
        <v>34</v>
      </c>
      <c r="B39" s="13">
        <f t="shared" si="0"/>
      </c>
      <c r="C39" s="331"/>
      <c r="E39" s="132"/>
      <c r="F39" s="3"/>
      <c r="G39" s="331"/>
      <c r="H39" s="3"/>
      <c r="I39" s="3"/>
      <c r="J39" s="3"/>
      <c r="L39" s="132"/>
      <c r="M39" s="331"/>
      <c r="N39" s="3"/>
      <c r="O39" s="3"/>
      <c r="P39" s="132"/>
      <c r="Q39" s="331"/>
      <c r="R39" s="132"/>
      <c r="S39" s="134">
        <f t="shared" ca="1" si="3"/>
      </c>
      <c r="T39">
        <f t="shared" ca="1" si="2"/>
      </c>
      <c r="X39" s="3"/>
    </row>
    <row r="40" spans="1:24" x14ac:dyDescent="0.35">
      <c r="A40" s="203">
        <v>35</v>
      </c>
      <c r="B40" s="13">
        <f t="shared" si="0"/>
      </c>
      <c r="C40" s="331"/>
      <c r="E40" s="132"/>
      <c r="F40" s="3"/>
      <c r="G40" s="331"/>
      <c r="H40" s="3"/>
      <c r="I40" s="3"/>
      <c r="J40" s="3"/>
      <c r="L40" s="132"/>
      <c r="M40" s="331"/>
      <c r="N40" s="3"/>
      <c r="O40" s="3"/>
      <c r="P40" s="132"/>
      <c r="Q40" s="331"/>
      <c r="R40" s="132"/>
      <c r="S40" s="134">
        <f t="shared" ca="1" si="3"/>
      </c>
      <c r="T40">
        <f t="shared" ca="1" si="2"/>
      </c>
      <c r="X40" s="3"/>
    </row>
    <row r="41" spans="1:24" x14ac:dyDescent="0.35">
      <c r="A41" s="203">
        <v>36</v>
      </c>
      <c r="B41" s="13">
        <f t="shared" si="0"/>
      </c>
      <c r="C41" s="331"/>
      <c r="E41" s="132"/>
      <c r="F41" s="3"/>
      <c r="G41" s="331"/>
      <c r="H41" s="3"/>
      <c r="I41" s="3"/>
      <c r="J41" s="3"/>
      <c r="L41" s="132"/>
      <c r="M41" s="331"/>
      <c r="N41" s="3"/>
      <c r="O41" s="3"/>
      <c r="P41" s="132"/>
      <c r="Q41" s="331"/>
      <c r="R41" s="132"/>
      <c r="S41" s="134">
        <f t="shared" ca="1" si="3"/>
      </c>
      <c r="T41">
        <f t="shared" ca="1" si="2"/>
      </c>
      <c r="X41" s="3"/>
    </row>
    <row r="42" spans="1:24" x14ac:dyDescent="0.35">
      <c r="A42" s="203">
        <v>37</v>
      </c>
      <c r="B42" s="13">
        <f t="shared" si="0"/>
      </c>
      <c r="C42" s="331"/>
      <c r="E42" s="132"/>
      <c r="F42" s="3"/>
      <c r="G42" s="331"/>
      <c r="H42" s="3"/>
      <c r="I42" s="3"/>
      <c r="J42" s="3"/>
      <c r="L42" s="132"/>
      <c r="M42" s="331"/>
      <c r="N42" s="3"/>
      <c r="O42" s="3"/>
      <c r="P42" s="132"/>
      <c r="Q42" s="331"/>
      <c r="R42" s="132"/>
      <c r="S42" s="134">
        <f t="shared" ca="1" si="3"/>
      </c>
      <c r="T42">
        <f t="shared" ca="1" si="2"/>
      </c>
      <c r="X42" s="3"/>
    </row>
    <row r="43" spans="1:24" x14ac:dyDescent="0.35">
      <c r="A43" s="203">
        <v>38</v>
      </c>
      <c r="B43" s="13">
        <f t="shared" si="0"/>
      </c>
      <c r="C43" s="331"/>
      <c r="E43" s="132"/>
      <c r="F43" s="3"/>
      <c r="G43" s="331"/>
      <c r="H43" s="3"/>
      <c r="I43" s="3"/>
      <c r="J43" s="3"/>
      <c r="L43" s="132"/>
      <c r="M43" s="331"/>
      <c r="N43" s="3"/>
      <c r="O43" s="3"/>
      <c r="P43" s="132"/>
      <c r="Q43" s="331"/>
      <c r="R43" s="132"/>
      <c r="S43" s="134">
        <f t="shared" ca="1" si="3"/>
      </c>
      <c r="T43">
        <f t="shared" ca="1" si="2"/>
      </c>
      <c r="X43" s="3"/>
    </row>
    <row r="44" spans="1:24" x14ac:dyDescent="0.35">
      <c r="A44" s="203">
        <v>39</v>
      </c>
      <c r="B44" s="13">
        <f t="shared" si="0"/>
      </c>
      <c r="C44" s="331"/>
      <c r="E44" s="132"/>
      <c r="F44" s="3"/>
      <c r="G44" s="331"/>
      <c r="H44" s="3"/>
      <c r="I44" s="3"/>
      <c r="J44" s="3"/>
      <c r="L44" s="132"/>
      <c r="M44" s="331"/>
      <c r="N44" s="3"/>
      <c r="O44" s="3"/>
      <c r="P44" s="132"/>
      <c r="Q44" s="331"/>
      <c r="R44" s="132"/>
      <c r="S44" s="134">
        <f t="shared" ca="1" si="3"/>
      </c>
      <c r="T44">
        <f t="shared" ca="1" si="2"/>
      </c>
      <c r="X44" s="3"/>
    </row>
    <row r="45" spans="1:24" x14ac:dyDescent="0.35">
      <c r="A45" s="203">
        <v>40</v>
      </c>
      <c r="B45" s="13">
        <f t="shared" si="0"/>
      </c>
      <c r="C45" s="331"/>
      <c r="E45" s="132"/>
      <c r="F45" s="3"/>
      <c r="G45" s="331"/>
      <c r="H45" s="3"/>
      <c r="I45" s="3"/>
      <c r="J45" s="3"/>
      <c r="L45" s="132"/>
      <c r="M45" s="331"/>
      <c r="N45" s="3"/>
      <c r="O45" s="3"/>
      <c r="P45" s="132"/>
      <c r="Q45" s="331"/>
      <c r="R45" s="132"/>
      <c r="S45" s="134">
        <f t="shared" ca="1" si="3"/>
      </c>
      <c r="T45">
        <f t="shared" ca="1" si="2"/>
      </c>
      <c r="X45" s="3"/>
    </row>
    <row r="46" spans="1:24" x14ac:dyDescent="0.35">
      <c r="A46" s="203">
        <v>41</v>
      </c>
      <c r="B46" s="13">
        <f t="shared" si="0"/>
      </c>
      <c r="C46" s="331"/>
      <c r="E46" s="132"/>
      <c r="F46" s="3"/>
      <c r="G46" s="331"/>
      <c r="H46" s="3"/>
      <c r="I46" s="3"/>
      <c r="J46" s="3"/>
      <c r="L46" s="132"/>
      <c r="M46" s="331"/>
      <c r="N46" s="3"/>
      <c r="O46" s="3"/>
      <c r="P46" s="132"/>
      <c r="Q46" s="331"/>
      <c r="R46" s="132"/>
      <c r="S46" s="134">
        <f t="shared" ca="1" si="3"/>
      </c>
      <c r="T46">
        <f t="shared" ca="1" si="2"/>
      </c>
      <c r="X46" s="3"/>
    </row>
    <row r="47" spans="1:24" x14ac:dyDescent="0.35">
      <c r="A47" s="203">
        <v>42</v>
      </c>
      <c r="B47" s="13">
        <f t="shared" si="0"/>
      </c>
      <c r="C47" s="331"/>
      <c r="E47" s="132"/>
      <c r="F47" s="3"/>
      <c r="G47" s="331"/>
      <c r="H47" s="3"/>
      <c r="I47" s="3"/>
      <c r="J47" s="3"/>
      <c r="L47" s="132"/>
      <c r="M47" s="331"/>
      <c r="N47" s="3"/>
      <c r="O47" s="3"/>
      <c r="P47" s="132"/>
      <c r="Q47" s="331"/>
      <c r="R47" s="132"/>
      <c r="S47" s="134">
        <f t="shared" ca="1" si="3"/>
      </c>
      <c r="T47">
        <f t="shared" ca="1" si="2"/>
      </c>
      <c r="X47" s="3"/>
    </row>
    <row r="48" spans="1:24" x14ac:dyDescent="0.35">
      <c r="A48" s="203">
        <v>43</v>
      </c>
      <c r="B48" s="13">
        <f t="shared" si="0"/>
      </c>
      <c r="C48" s="331"/>
      <c r="E48" s="132"/>
      <c r="F48" s="3"/>
      <c r="G48" s="331"/>
      <c r="H48" s="3"/>
      <c r="I48" s="3"/>
      <c r="J48" s="3"/>
      <c r="L48" s="132"/>
      <c r="M48" s="331"/>
      <c r="N48" s="3"/>
      <c r="O48" s="3"/>
      <c r="P48" s="132"/>
      <c r="Q48" s="331"/>
      <c r="R48" s="132"/>
      <c r="S48" s="134">
        <f t="shared" ca="1" si="3"/>
      </c>
      <c r="T48">
        <f t="shared" ca="1" si="2"/>
      </c>
      <c r="X48" s="3"/>
    </row>
    <row r="49" spans="1:24" x14ac:dyDescent="0.35">
      <c r="A49" s="203">
        <v>44</v>
      </c>
      <c r="B49" s="13">
        <f t="shared" si="0"/>
      </c>
      <c r="C49" s="331"/>
      <c r="E49" s="132"/>
      <c r="F49" s="3"/>
      <c r="G49" s="331"/>
      <c r="H49" s="3"/>
      <c r="I49" s="3"/>
      <c r="J49" s="3"/>
      <c r="L49" s="132"/>
      <c r="M49" s="331"/>
      <c r="N49" s="3"/>
      <c r="O49" s="3"/>
      <c r="P49" s="132"/>
      <c r="Q49" s="331"/>
      <c r="R49" s="132"/>
      <c r="S49" s="134">
        <f t="shared" ca="1" si="3"/>
      </c>
      <c r="T49">
        <f t="shared" ca="1" si="2"/>
      </c>
      <c r="X49" s="3"/>
    </row>
    <row r="50" spans="1:24" x14ac:dyDescent="0.35">
      <c r="A50" s="203">
        <v>45</v>
      </c>
      <c r="B50" s="13">
        <f t="shared" si="0"/>
      </c>
      <c r="C50" s="331"/>
      <c r="E50" s="132"/>
      <c r="F50" s="3"/>
      <c r="G50" s="331"/>
      <c r="H50" s="3"/>
      <c r="I50" s="3"/>
      <c r="J50" s="3"/>
      <c r="L50" s="132"/>
      <c r="M50" s="331"/>
      <c r="N50" s="3"/>
      <c r="O50" s="3"/>
      <c r="P50" s="132"/>
      <c r="Q50" s="331"/>
      <c r="R50" s="132"/>
      <c r="S50" s="134">
        <f t="shared" ca="1" si="3"/>
      </c>
      <c r="T50">
        <f t="shared" ca="1" si="2"/>
      </c>
      <c r="X50" s="3"/>
    </row>
    <row r="51" spans="1:24" x14ac:dyDescent="0.35">
      <c r="A51" s="203">
        <v>46</v>
      </c>
      <c r="B51" s="13">
        <f t="shared" si="0"/>
      </c>
      <c r="C51" s="331"/>
      <c r="E51" s="132"/>
      <c r="F51" s="3"/>
      <c r="G51" s="331"/>
      <c r="H51" s="3"/>
      <c r="I51" s="3"/>
      <c r="J51" s="3"/>
      <c r="L51" s="132"/>
      <c r="M51" s="331"/>
      <c r="N51" s="3"/>
      <c r="O51" s="3"/>
      <c r="P51" s="132"/>
      <c r="Q51" s="331"/>
      <c r="R51" s="132"/>
      <c r="S51" s="134">
        <f t="shared" ca="1" si="3"/>
      </c>
      <c r="T51">
        <f t="shared" ca="1" si="2"/>
      </c>
      <c r="X51" s="3"/>
    </row>
    <row r="52" spans="1:24" x14ac:dyDescent="0.35">
      <c r="A52" s="203">
        <v>47</v>
      </c>
      <c r="B52" s="13">
        <f t="shared" si="0"/>
      </c>
      <c r="C52" s="331"/>
      <c r="E52" s="132"/>
      <c r="F52" s="3"/>
      <c r="G52" s="331"/>
      <c r="H52" s="3"/>
      <c r="I52" s="3"/>
      <c r="J52" s="3"/>
      <c r="L52" s="132"/>
      <c r="M52" s="331"/>
      <c r="N52" s="3"/>
      <c r="O52" s="3"/>
      <c r="P52" s="132"/>
      <c r="Q52" s="331"/>
      <c r="R52" s="132"/>
      <c r="S52" s="134">
        <f t="shared" ca="1" si="3"/>
      </c>
      <c r="T52">
        <f t="shared" ca="1" si="2"/>
      </c>
      <c r="X52" s="3"/>
    </row>
    <row r="53" spans="1:24" x14ac:dyDescent="0.35">
      <c r="A53" s="203">
        <v>48</v>
      </c>
      <c r="B53" s="13">
        <f t="shared" si="0"/>
      </c>
      <c r="C53" s="331"/>
      <c r="E53" s="132"/>
      <c r="F53" s="3"/>
      <c r="G53" s="331"/>
      <c r="H53" s="3"/>
      <c r="I53" s="3"/>
      <c r="J53" s="3"/>
      <c r="L53" s="132"/>
      <c r="M53" s="331"/>
      <c r="N53" s="3"/>
      <c r="O53" s="3"/>
      <c r="P53" s="132"/>
      <c r="Q53" s="331"/>
      <c r="R53" s="132"/>
      <c r="S53" s="134">
        <f t="shared" ca="1" si="3"/>
      </c>
      <c r="T53">
        <f t="shared" ca="1" si="2"/>
      </c>
      <c r="X53" s="3"/>
    </row>
    <row r="54" spans="1:24" x14ac:dyDescent="0.35">
      <c r="A54" s="203">
        <v>49</v>
      </c>
      <c r="B54" s="13">
        <f t="shared" si="0"/>
      </c>
      <c r="C54" s="331"/>
      <c r="E54" s="132"/>
      <c r="F54" s="3"/>
      <c r="G54" s="331"/>
      <c r="H54" s="3"/>
      <c r="I54" s="3"/>
      <c r="J54" s="3"/>
      <c r="L54" s="132"/>
      <c r="M54" s="331"/>
      <c r="N54" s="3"/>
      <c r="O54" s="3"/>
      <c r="P54" s="132"/>
      <c r="Q54" s="331"/>
      <c r="R54" s="132"/>
      <c r="S54" s="134">
        <f t="shared" ca="1" si="3"/>
      </c>
      <c r="T54">
        <f t="shared" ca="1" si="2"/>
      </c>
      <c r="X54" s="3"/>
    </row>
    <row r="55" spans="1:24" x14ac:dyDescent="0.35">
      <c r="A55" s="203">
        <v>50</v>
      </c>
      <c r="B55" s="13">
        <f t="shared" si="0"/>
      </c>
      <c r="C55" s="331"/>
      <c r="E55" s="132"/>
      <c r="F55" s="3"/>
      <c r="G55" s="331"/>
      <c r="H55" s="3"/>
      <c r="I55" s="3"/>
      <c r="J55" s="3"/>
      <c r="L55" s="132"/>
      <c r="M55" s="331"/>
      <c r="N55" s="3"/>
      <c r="O55" s="3"/>
      <c r="P55" s="132"/>
      <c r="Q55" s="331"/>
      <c r="R55" s="132"/>
      <c r="S55" s="134">
        <f t="shared" ca="1" si="3"/>
      </c>
      <c r="T55">
        <f t="shared" ca="1" si="2"/>
      </c>
      <c r="X55" s="3"/>
    </row>
    <row r="56" spans="1:24" x14ac:dyDescent="0.35">
      <c r="A56" s="203">
        <v>51</v>
      </c>
      <c r="B56" s="13">
        <f t="shared" si="0"/>
      </c>
      <c r="C56" s="331"/>
      <c r="E56" s="132"/>
      <c r="F56" s="3"/>
      <c r="G56" s="331"/>
      <c r="H56" s="3"/>
      <c r="I56" s="3"/>
      <c r="J56" s="3"/>
      <c r="L56" s="132"/>
      <c r="M56" s="331"/>
      <c r="N56" s="3"/>
      <c r="O56" s="3"/>
      <c r="P56" s="132"/>
      <c r="Q56" s="331"/>
      <c r="R56" s="132"/>
      <c r="S56" s="134">
        <f t="shared" ca="1" si="3"/>
      </c>
      <c r="T56">
        <f t="shared" ca="1" si="2"/>
      </c>
      <c r="X56" s="3"/>
    </row>
    <row r="57" spans="1:24" x14ac:dyDescent="0.35">
      <c r="A57" s="203">
        <v>52</v>
      </c>
      <c r="B57" s="13">
        <f t="shared" si="0"/>
      </c>
      <c r="C57" s="331"/>
      <c r="E57" s="132"/>
      <c r="F57" s="3"/>
      <c r="G57" s="331"/>
      <c r="H57" s="3"/>
      <c r="I57" s="3"/>
      <c r="J57" s="3"/>
      <c r="L57" s="132"/>
      <c r="M57" s="331"/>
      <c r="N57" s="3"/>
      <c r="O57" s="3"/>
      <c r="P57" s="132"/>
      <c r="Q57" s="331"/>
      <c r="R57" s="132"/>
      <c r="S57" s="134">
        <f t="shared" ca="1" si="3"/>
      </c>
      <c r="T57">
        <f t="shared" ca="1" si="2"/>
      </c>
      <c r="X57" s="3"/>
    </row>
    <row r="58" spans="1:24" x14ac:dyDescent="0.35">
      <c r="A58" s="203">
        <v>53</v>
      </c>
      <c r="B58" s="13">
        <f t="shared" si="0"/>
      </c>
      <c r="C58" s="331"/>
      <c r="E58" s="132"/>
      <c r="F58" s="3"/>
      <c r="G58" s="331"/>
      <c r="H58" s="3"/>
      <c r="I58" s="3"/>
      <c r="J58" s="3"/>
      <c r="L58" s="132"/>
      <c r="M58" s="331"/>
      <c r="N58" s="3"/>
      <c r="O58" s="3"/>
      <c r="P58" s="132"/>
      <c r="Q58" s="331"/>
      <c r="R58" s="132"/>
      <c r="S58" s="134">
        <f t="shared" ca="1" si="3"/>
      </c>
      <c r="T58">
        <f t="shared" ca="1" si="2"/>
      </c>
      <c r="X58" s="3"/>
    </row>
    <row r="59" spans="1:24" x14ac:dyDescent="0.35">
      <c r="A59" s="203">
        <v>54</v>
      </c>
      <c r="B59" s="13">
        <f t="shared" si="0"/>
      </c>
      <c r="C59" s="331"/>
      <c r="E59" s="132"/>
      <c r="F59" s="3"/>
      <c r="G59" s="331"/>
      <c r="H59" s="3"/>
      <c r="I59" s="3"/>
      <c r="J59" s="3"/>
      <c r="L59" s="132"/>
      <c r="M59" s="331"/>
      <c r="N59" s="3"/>
      <c r="O59" s="3"/>
      <c r="P59" s="132"/>
      <c r="Q59" s="331"/>
      <c r="R59" s="132"/>
      <c r="S59" s="134">
        <f t="shared" ca="1" si="3"/>
      </c>
      <c r="T59">
        <f t="shared" ca="1" si="2"/>
      </c>
      <c r="X59" s="3"/>
    </row>
    <row r="60" spans="1:24" x14ac:dyDescent="0.35">
      <c r="A60" s="203">
        <v>55</v>
      </c>
      <c r="B60" s="13">
        <f t="shared" si="0"/>
      </c>
      <c r="C60" s="331"/>
      <c r="E60" s="132"/>
      <c r="F60" s="3"/>
      <c r="G60" s="331"/>
      <c r="H60" s="3"/>
      <c r="I60" s="3"/>
      <c r="J60" s="3"/>
      <c r="L60" s="132"/>
      <c r="M60" s="331"/>
      <c r="N60" s="3"/>
      <c r="O60" s="3"/>
      <c r="P60" s="132"/>
      <c r="Q60" s="331"/>
      <c r="R60" s="132"/>
      <c r="S60" s="134">
        <f t="shared" ca="1" si="3"/>
      </c>
      <c r="T60">
        <f t="shared" ca="1" si="2"/>
      </c>
      <c r="X60" s="3"/>
    </row>
    <row r="61" spans="1:24" x14ac:dyDescent="0.35">
      <c r="A61" s="203">
        <v>56</v>
      </c>
      <c r="B61" s="13">
        <f t="shared" si="0"/>
      </c>
      <c r="C61" s="331"/>
      <c r="E61" s="132"/>
      <c r="F61" s="3"/>
      <c r="G61" s="331"/>
      <c r="H61" s="3"/>
      <c r="I61" s="3"/>
      <c r="J61" s="3"/>
      <c r="L61" s="132"/>
      <c r="M61" s="331"/>
      <c r="N61" s="3"/>
      <c r="O61" s="3"/>
      <c r="P61" s="132"/>
      <c r="Q61" s="331"/>
      <c r="R61" s="132"/>
      <c r="S61" s="134">
        <f t="shared" ca="1" si="3"/>
      </c>
      <c r="T61">
        <f t="shared" ca="1" si="2"/>
      </c>
      <c r="X61" s="3"/>
    </row>
    <row r="62" spans="1:24" x14ac:dyDescent="0.35">
      <c r="A62" s="203">
        <v>57</v>
      </c>
      <c r="B62" s="13">
        <f t="shared" si="0"/>
      </c>
      <c r="C62" s="331"/>
      <c r="E62" s="132"/>
      <c r="F62" s="3"/>
      <c r="G62" s="331"/>
      <c r="H62" s="3"/>
      <c r="I62" s="3"/>
      <c r="J62" s="3"/>
      <c r="L62" s="132"/>
      <c r="M62" s="331"/>
      <c r="N62" s="3"/>
      <c r="O62" s="3"/>
      <c r="P62" s="132"/>
      <c r="Q62" s="331"/>
      <c r="R62" s="132"/>
      <c r="S62" s="134">
        <f t="shared" ca="1" si="3"/>
      </c>
      <c r="T62">
        <f t="shared" ca="1" si="2"/>
      </c>
      <c r="X62" s="3"/>
    </row>
    <row r="63" spans="1:24" x14ac:dyDescent="0.35">
      <c r="A63" s="203">
        <v>58</v>
      </c>
      <c r="B63" s="13">
        <f t="shared" si="0"/>
      </c>
      <c r="C63" s="331"/>
      <c r="E63" s="132"/>
      <c r="F63" s="3"/>
      <c r="G63" s="331"/>
      <c r="H63" s="3"/>
      <c r="I63" s="3"/>
      <c r="J63" s="3"/>
      <c r="L63" s="132"/>
      <c r="M63" s="331"/>
      <c r="N63" s="3"/>
      <c r="O63" s="3"/>
      <c r="P63" s="132"/>
      <c r="Q63" s="331"/>
      <c r="R63" s="132"/>
      <c r="S63" s="134">
        <f t="shared" ca="1" si="3"/>
      </c>
      <c r="T63">
        <f t="shared" ca="1" si="2"/>
      </c>
      <c r="X63" s="3"/>
    </row>
    <row r="64" spans="1:24" x14ac:dyDescent="0.35">
      <c r="A64" s="203">
        <v>59</v>
      </c>
      <c r="B64" s="13">
        <f t="shared" si="0"/>
      </c>
      <c r="C64" s="331"/>
      <c r="E64" s="132"/>
      <c r="F64" s="3"/>
      <c r="G64" s="331"/>
      <c r="H64" s="3"/>
      <c r="I64" s="3"/>
      <c r="J64" s="3"/>
      <c r="L64" s="132"/>
      <c r="M64" s="331"/>
      <c r="N64" s="3"/>
      <c r="O64" s="3"/>
      <c r="P64" s="132"/>
      <c r="Q64" s="331"/>
      <c r="R64" s="132"/>
      <c r="S64" s="134">
        <f t="shared" ca="1" si="3"/>
      </c>
      <c r="T64">
        <f t="shared" ca="1" si="2"/>
      </c>
      <c r="X64" s="3"/>
    </row>
    <row r="65" spans="1:24" x14ac:dyDescent="0.35">
      <c r="A65" s="203">
        <v>60</v>
      </c>
      <c r="B65" s="13">
        <f t="shared" si="0"/>
      </c>
      <c r="C65" s="331"/>
      <c r="E65" s="132"/>
      <c r="F65" s="3"/>
      <c r="G65" s="331"/>
      <c r="H65" s="3"/>
      <c r="I65" s="3"/>
      <c r="J65" s="3"/>
      <c r="L65" s="132"/>
      <c r="M65" s="331"/>
      <c r="N65" s="3"/>
      <c r="O65" s="3"/>
      <c r="P65" s="132"/>
      <c r="Q65" s="331"/>
      <c r="R65" s="132"/>
      <c r="S65" s="134">
        <f t="shared" ca="1" si="3"/>
      </c>
      <c r="T65">
        <f t="shared" ca="1" si="2"/>
      </c>
      <c r="X65" s="3"/>
    </row>
    <row r="66" spans="1:24" x14ac:dyDescent="0.35">
      <c r="A66" s="203">
        <v>61</v>
      </c>
      <c r="B66" s="13">
        <f t="shared" si="0"/>
      </c>
      <c r="C66" s="331"/>
      <c r="E66" s="132"/>
      <c r="F66" s="3"/>
      <c r="G66" s="331"/>
      <c r="H66" s="3"/>
      <c r="I66" s="3"/>
      <c r="J66" s="3"/>
      <c r="L66" s="132"/>
      <c r="M66" s="331"/>
      <c r="N66" s="3"/>
      <c r="O66" s="3"/>
      <c r="P66" s="132"/>
      <c r="Q66" s="331"/>
      <c r="R66" s="132"/>
      <c r="S66" s="134">
        <f t="shared" ca="1" si="3"/>
      </c>
      <c r="T66">
        <f t="shared" ca="1" si="2"/>
      </c>
      <c r="X66" s="3"/>
    </row>
    <row r="67" spans="1:24" x14ac:dyDescent="0.35">
      <c r="A67" s="203">
        <v>62</v>
      </c>
      <c r="B67" s="13">
        <f t="shared" si="0"/>
      </c>
      <c r="C67" s="331"/>
      <c r="E67" s="132"/>
      <c r="F67" s="3"/>
      <c r="G67" s="331"/>
      <c r="H67" s="3"/>
      <c r="I67" s="3"/>
      <c r="J67" s="3"/>
      <c r="L67" s="132"/>
      <c r="M67" s="331"/>
      <c r="N67" s="3"/>
      <c r="O67" s="3"/>
      <c r="P67" s="132"/>
      <c r="Q67" s="331"/>
      <c r="R67" s="132"/>
      <c r="S67" s="134">
        <f t="shared" ca="1" si="3"/>
      </c>
      <c r="T67">
        <f t="shared" ca="1" si="2"/>
      </c>
      <c r="X67" s="3"/>
    </row>
    <row r="68" spans="1:24" x14ac:dyDescent="0.35">
      <c r="A68" s="203">
        <v>63</v>
      </c>
      <c r="B68" s="13">
        <f t="shared" si="0"/>
      </c>
      <c r="C68" s="331"/>
      <c r="E68" s="132"/>
      <c r="F68" s="3"/>
      <c r="G68" s="331"/>
      <c r="H68" s="3"/>
      <c r="I68" s="3"/>
      <c r="J68" s="3"/>
      <c r="L68" s="132"/>
      <c r="M68" s="331"/>
      <c r="N68" s="3"/>
      <c r="O68" s="3"/>
      <c r="P68" s="132"/>
      <c r="Q68" s="331"/>
      <c r="R68" s="132"/>
      <c r="S68" s="134">
        <f t="shared" ca="1" si="3"/>
      </c>
      <c r="T68">
        <f t="shared" ca="1" si="2"/>
      </c>
      <c r="X68" s="3"/>
    </row>
    <row r="69" spans="1:24" x14ac:dyDescent="0.35">
      <c r="A69" s="203">
        <v>64</v>
      </c>
      <c r="B69" s="13">
        <f t="shared" si="0"/>
      </c>
      <c r="C69" s="331"/>
      <c r="E69" s="132"/>
      <c r="F69" s="3"/>
      <c r="G69" s="331"/>
      <c r="H69" s="3"/>
      <c r="I69" s="3"/>
      <c r="J69" s="3"/>
      <c r="L69" s="132"/>
      <c r="M69" s="331"/>
      <c r="N69" s="3"/>
      <c r="O69" s="3"/>
      <c r="P69" s="132"/>
      <c r="Q69" s="331"/>
      <c r="R69" s="132"/>
      <c r="S69" s="134">
        <f t="shared" ca="1" si="3"/>
      </c>
      <c r="T69">
        <f t="shared" ca="1" si="2"/>
      </c>
      <c r="X69" s="3"/>
    </row>
    <row r="70" spans="1:24" x14ac:dyDescent="0.35">
      <c r="A70" s="203">
        <v>65</v>
      </c>
      <c r="B70" s="13">
        <f t="shared" ref="B70:B105" si="4">IF(F70="","","CAPA-"&amp;TEXT(A70,"000"))</f>
      </c>
      <c r="C70" s="331"/>
      <c r="E70" s="132"/>
      <c r="F70" s="3"/>
      <c r="G70" s="331"/>
      <c r="H70" s="3"/>
      <c r="I70" s="3"/>
      <c r="J70" s="3"/>
      <c r="L70" s="132"/>
      <c r="M70" s="331"/>
      <c r="N70" s="3"/>
      <c r="O70" s="3"/>
      <c r="P70" s="132"/>
      <c r="Q70" s="331"/>
      <c r="R70" s="132"/>
      <c r="S70" s="134">
        <f t="shared" ref="S70:S101" ca="1" si="5">IF(E70="","",IF(R70&lt;&gt;"",R70-E70,TODAY()-E70))</f>
      </c>
      <c r="T70">
        <f t="shared" ref="T70:T105" ca="1" si="6">IF(OR(M70="Closed",M70="Cancelled",L70=""),"",IF(L70&lt;TODAY(),"Overdue","On Track"))</f>
      </c>
      <c r="X70" s="3"/>
    </row>
    <row r="71" spans="1:24" x14ac:dyDescent="0.35">
      <c r="A71" s="203">
        <v>66</v>
      </c>
      <c r="B71" s="13">
        <f t="shared" si="4"/>
      </c>
      <c r="C71" s="331"/>
      <c r="E71" s="132"/>
      <c r="F71" s="3"/>
      <c r="G71" s="331"/>
      <c r="H71" s="3"/>
      <c r="I71" s="3"/>
      <c r="J71" s="3"/>
      <c r="L71" s="132"/>
      <c r="M71" s="331"/>
      <c r="N71" s="3"/>
      <c r="O71" s="3"/>
      <c r="P71" s="132"/>
      <c r="Q71" s="331"/>
      <c r="R71" s="132"/>
      <c r="S71" s="134">
        <f t="shared" ca="1" si="5"/>
      </c>
      <c r="T71">
        <f t="shared" ca="1" si="6"/>
      </c>
      <c r="X71" s="3"/>
    </row>
    <row r="72" spans="1:24" x14ac:dyDescent="0.35">
      <c r="A72" s="203">
        <v>67</v>
      </c>
      <c r="B72" s="13">
        <f t="shared" si="4"/>
      </c>
      <c r="C72" s="331"/>
      <c r="E72" s="132"/>
      <c r="F72" s="3"/>
      <c r="G72" s="331"/>
      <c r="H72" s="3"/>
      <c r="I72" s="3"/>
      <c r="J72" s="3"/>
      <c r="L72" s="132"/>
      <c r="M72" s="331"/>
      <c r="N72" s="3"/>
      <c r="O72" s="3"/>
      <c r="P72" s="132"/>
      <c r="Q72" s="331"/>
      <c r="R72" s="132"/>
      <c r="S72" s="134">
        <f t="shared" ca="1" si="5"/>
      </c>
      <c r="T72">
        <f t="shared" ca="1" si="6"/>
      </c>
      <c r="X72" s="3"/>
    </row>
    <row r="73" spans="1:24" x14ac:dyDescent="0.35">
      <c r="A73" s="203">
        <v>68</v>
      </c>
      <c r="B73" s="13">
        <f t="shared" si="4"/>
      </c>
      <c r="C73" s="331"/>
      <c r="E73" s="132"/>
      <c r="F73" s="3"/>
      <c r="G73" s="331"/>
      <c r="H73" s="3"/>
      <c r="I73" s="3"/>
      <c r="J73" s="3"/>
      <c r="L73" s="132"/>
      <c r="M73" s="331"/>
      <c r="N73" s="3"/>
      <c r="O73" s="3"/>
      <c r="P73" s="132"/>
      <c r="Q73" s="331"/>
      <c r="R73" s="132"/>
      <c r="S73" s="134">
        <f t="shared" ca="1" si="5"/>
      </c>
      <c r="T73">
        <f t="shared" ca="1" si="6"/>
      </c>
      <c r="X73" s="3"/>
    </row>
    <row r="74" spans="1:24" x14ac:dyDescent="0.35">
      <c r="A74" s="203">
        <v>69</v>
      </c>
      <c r="B74" s="13">
        <f t="shared" si="4"/>
      </c>
      <c r="C74" s="331"/>
      <c r="E74" s="132"/>
      <c r="F74" s="3"/>
      <c r="G74" s="331"/>
      <c r="H74" s="3"/>
      <c r="I74" s="3"/>
      <c r="J74" s="3"/>
      <c r="L74" s="132"/>
      <c r="M74" s="331"/>
      <c r="N74" s="3"/>
      <c r="O74" s="3"/>
      <c r="P74" s="132"/>
      <c r="Q74" s="331"/>
      <c r="R74" s="132"/>
      <c r="S74" s="134">
        <f t="shared" ca="1" si="5"/>
      </c>
      <c r="T74">
        <f t="shared" ca="1" si="6"/>
      </c>
      <c r="X74" s="3"/>
    </row>
    <row r="75" spans="1:24" x14ac:dyDescent="0.35">
      <c r="A75" s="203">
        <v>70</v>
      </c>
      <c r="B75" s="13">
        <f t="shared" si="4"/>
      </c>
      <c r="C75" s="331"/>
      <c r="E75" s="132"/>
      <c r="F75" s="3"/>
      <c r="G75" s="331"/>
      <c r="H75" s="3"/>
      <c r="I75" s="3"/>
      <c r="J75" s="3"/>
      <c r="L75" s="132"/>
      <c r="M75" s="331"/>
      <c r="N75" s="3"/>
      <c r="O75" s="3"/>
      <c r="P75" s="132"/>
      <c r="Q75" s="331"/>
      <c r="R75" s="132"/>
      <c r="S75" s="134">
        <f t="shared" ca="1" si="5"/>
      </c>
      <c r="T75">
        <f t="shared" ca="1" si="6"/>
      </c>
      <c r="X75" s="3"/>
    </row>
    <row r="76" spans="1:24" x14ac:dyDescent="0.35">
      <c r="A76" s="203">
        <v>71</v>
      </c>
      <c r="B76" s="13">
        <f t="shared" si="4"/>
      </c>
      <c r="C76" s="331"/>
      <c r="E76" s="132"/>
      <c r="F76" s="3"/>
      <c r="G76" s="331"/>
      <c r="H76" s="3"/>
      <c r="I76" s="3"/>
      <c r="J76" s="3"/>
      <c r="L76" s="132"/>
      <c r="M76" s="331"/>
      <c r="N76" s="3"/>
      <c r="O76" s="3"/>
      <c r="P76" s="132"/>
      <c r="Q76" s="331"/>
      <c r="R76" s="132"/>
      <c r="S76" s="134">
        <f t="shared" ca="1" si="5"/>
      </c>
      <c r="T76">
        <f t="shared" ca="1" si="6"/>
      </c>
      <c r="X76" s="3"/>
    </row>
    <row r="77" spans="1:24" x14ac:dyDescent="0.35">
      <c r="A77" s="203">
        <v>72</v>
      </c>
      <c r="B77" s="13">
        <f t="shared" si="4"/>
      </c>
      <c r="C77" s="331"/>
      <c r="E77" s="132"/>
      <c r="F77" s="3"/>
      <c r="G77" s="331"/>
      <c r="H77" s="3"/>
      <c r="I77" s="3"/>
      <c r="J77" s="3"/>
      <c r="L77" s="132"/>
      <c r="M77" s="331"/>
      <c r="N77" s="3"/>
      <c r="O77" s="3"/>
      <c r="P77" s="132"/>
      <c r="Q77" s="331"/>
      <c r="R77" s="132"/>
      <c r="S77" s="134">
        <f t="shared" ca="1" si="5"/>
      </c>
      <c r="T77">
        <f t="shared" ca="1" si="6"/>
      </c>
      <c r="X77" s="3"/>
    </row>
    <row r="78" spans="1:24" x14ac:dyDescent="0.35">
      <c r="A78" s="203">
        <v>73</v>
      </c>
      <c r="B78" s="13">
        <f t="shared" si="4"/>
      </c>
      <c r="C78" s="331"/>
      <c r="E78" s="132"/>
      <c r="F78" s="3"/>
      <c r="G78" s="331"/>
      <c r="H78" s="3"/>
      <c r="I78" s="3"/>
      <c r="J78" s="3"/>
      <c r="L78" s="132"/>
      <c r="M78" s="331"/>
      <c r="N78" s="3"/>
      <c r="O78" s="3"/>
      <c r="P78" s="132"/>
      <c r="Q78" s="331"/>
      <c r="R78" s="132"/>
      <c r="S78" s="134">
        <f t="shared" ca="1" si="5"/>
      </c>
      <c r="T78">
        <f t="shared" ca="1" si="6"/>
      </c>
      <c r="X78" s="3"/>
    </row>
    <row r="79" spans="1:24" x14ac:dyDescent="0.35">
      <c r="A79" s="203">
        <v>74</v>
      </c>
      <c r="B79" s="13">
        <f t="shared" si="4"/>
      </c>
      <c r="C79" s="331"/>
      <c r="E79" s="132"/>
      <c r="F79" s="3"/>
      <c r="G79" s="331"/>
      <c r="H79" s="3"/>
      <c r="I79" s="3"/>
      <c r="J79" s="3"/>
      <c r="L79" s="132"/>
      <c r="M79" s="331"/>
      <c r="N79" s="3"/>
      <c r="O79" s="3"/>
      <c r="P79" s="132"/>
      <c r="Q79" s="331"/>
      <c r="R79" s="132"/>
      <c r="S79" s="134">
        <f t="shared" ca="1" si="5"/>
      </c>
      <c r="T79">
        <f t="shared" ca="1" si="6"/>
      </c>
      <c r="X79" s="3"/>
    </row>
    <row r="80" spans="1:24" x14ac:dyDescent="0.35">
      <c r="A80" s="203">
        <v>75</v>
      </c>
      <c r="B80" s="13">
        <f t="shared" si="4"/>
      </c>
      <c r="C80" s="331"/>
      <c r="E80" s="132"/>
      <c r="F80" s="3"/>
      <c r="G80" s="331"/>
      <c r="H80" s="3"/>
      <c r="I80" s="3"/>
      <c r="J80" s="3"/>
      <c r="L80" s="132"/>
      <c r="M80" s="331"/>
      <c r="N80" s="3"/>
      <c r="O80" s="3"/>
      <c r="P80" s="132"/>
      <c r="Q80" s="331"/>
      <c r="R80" s="132"/>
      <c r="S80" s="134">
        <f t="shared" ca="1" si="5"/>
      </c>
      <c r="T80">
        <f t="shared" ca="1" si="6"/>
      </c>
      <c r="X80" s="3"/>
    </row>
    <row r="81" spans="1:24" x14ac:dyDescent="0.35">
      <c r="A81" s="203">
        <v>76</v>
      </c>
      <c r="B81" s="13">
        <f t="shared" si="4"/>
      </c>
      <c r="C81" s="331"/>
      <c r="E81" s="132"/>
      <c r="F81" s="3"/>
      <c r="G81" s="331"/>
      <c r="H81" s="3"/>
      <c r="I81" s="3"/>
      <c r="J81" s="3"/>
      <c r="L81" s="132"/>
      <c r="M81" s="331"/>
      <c r="N81" s="3"/>
      <c r="O81" s="3"/>
      <c r="P81" s="132"/>
      <c r="Q81" s="331"/>
      <c r="R81" s="132"/>
      <c r="S81" s="134">
        <f t="shared" ca="1" si="5"/>
      </c>
      <c r="T81">
        <f t="shared" ca="1" si="6"/>
      </c>
      <c r="X81" s="3"/>
    </row>
    <row r="82" spans="1:24" x14ac:dyDescent="0.35">
      <c r="A82" s="203">
        <v>77</v>
      </c>
      <c r="B82" s="13">
        <f t="shared" si="4"/>
      </c>
      <c r="C82" s="331"/>
      <c r="E82" s="132"/>
      <c r="F82" s="3"/>
      <c r="G82" s="331"/>
      <c r="H82" s="3"/>
      <c r="I82" s="3"/>
      <c r="J82" s="3"/>
      <c r="L82" s="132"/>
      <c r="M82" s="331"/>
      <c r="N82" s="3"/>
      <c r="O82" s="3"/>
      <c r="P82" s="132"/>
      <c r="Q82" s="331"/>
      <c r="R82" s="132"/>
      <c r="S82" s="134">
        <f t="shared" ca="1" si="5"/>
      </c>
      <c r="T82">
        <f t="shared" ca="1" si="6"/>
      </c>
      <c r="X82" s="3"/>
    </row>
    <row r="83" spans="1:24" x14ac:dyDescent="0.35">
      <c r="A83" s="203">
        <v>78</v>
      </c>
      <c r="B83" s="13">
        <f t="shared" si="4"/>
      </c>
      <c r="C83" s="331"/>
      <c r="E83" s="132"/>
      <c r="F83" s="3"/>
      <c r="G83" s="331"/>
      <c r="H83" s="3"/>
      <c r="I83" s="3"/>
      <c r="J83" s="3"/>
      <c r="L83" s="132"/>
      <c r="M83" s="331"/>
      <c r="N83" s="3"/>
      <c r="O83" s="3"/>
      <c r="P83" s="132"/>
      <c r="Q83" s="331"/>
      <c r="R83" s="132"/>
      <c r="S83" s="134">
        <f t="shared" ca="1" si="5"/>
      </c>
      <c r="T83">
        <f t="shared" ca="1" si="6"/>
      </c>
      <c r="X83" s="3"/>
    </row>
    <row r="84" spans="1:24" x14ac:dyDescent="0.35">
      <c r="A84" s="203">
        <v>79</v>
      </c>
      <c r="B84" s="13">
        <f t="shared" si="4"/>
      </c>
      <c r="C84" s="331"/>
      <c r="E84" s="132"/>
      <c r="F84" s="3"/>
      <c r="G84" s="331"/>
      <c r="H84" s="3"/>
      <c r="I84" s="3"/>
      <c r="J84" s="3"/>
      <c r="L84" s="132"/>
      <c r="M84" s="331"/>
      <c r="N84" s="3"/>
      <c r="O84" s="3"/>
      <c r="P84" s="132"/>
      <c r="Q84" s="331"/>
      <c r="R84" s="132"/>
      <c r="S84" s="134">
        <f t="shared" ca="1" si="5"/>
      </c>
      <c r="T84">
        <f t="shared" ca="1" si="6"/>
      </c>
      <c r="X84" s="3"/>
    </row>
    <row r="85" spans="1:24" x14ac:dyDescent="0.35">
      <c r="A85" s="203">
        <v>80</v>
      </c>
      <c r="B85" s="13">
        <f t="shared" si="4"/>
      </c>
      <c r="C85" s="331"/>
      <c r="E85" s="132"/>
      <c r="F85" s="3"/>
      <c r="G85" s="331"/>
      <c r="H85" s="3"/>
      <c r="I85" s="3"/>
      <c r="J85" s="3"/>
      <c r="L85" s="132"/>
      <c r="M85" s="331"/>
      <c r="N85" s="3"/>
      <c r="O85" s="3"/>
      <c r="P85" s="132"/>
      <c r="Q85" s="331"/>
      <c r="R85" s="132"/>
      <c r="S85" s="134">
        <f t="shared" ca="1" si="5"/>
      </c>
      <c r="T85">
        <f t="shared" ca="1" si="6"/>
      </c>
      <c r="X85" s="3"/>
    </row>
    <row r="86" spans="1:24" x14ac:dyDescent="0.35">
      <c r="A86" s="203">
        <v>81</v>
      </c>
      <c r="B86" s="13">
        <f t="shared" si="4"/>
      </c>
      <c r="C86" s="331"/>
      <c r="E86" s="132"/>
      <c r="F86" s="3"/>
      <c r="G86" s="331"/>
      <c r="H86" s="3"/>
      <c r="I86" s="3"/>
      <c r="J86" s="3"/>
      <c r="L86" s="132"/>
      <c r="M86" s="331"/>
      <c r="N86" s="3"/>
      <c r="O86" s="3"/>
      <c r="P86" s="132"/>
      <c r="Q86" s="331"/>
      <c r="R86" s="132"/>
      <c r="S86" s="134">
        <f t="shared" ca="1" si="5"/>
      </c>
      <c r="T86">
        <f t="shared" ca="1" si="6"/>
      </c>
      <c r="X86" s="3"/>
    </row>
    <row r="87" spans="1:24" x14ac:dyDescent="0.35">
      <c r="A87" s="203">
        <v>82</v>
      </c>
      <c r="B87" s="13">
        <f t="shared" si="4"/>
      </c>
      <c r="C87" s="331"/>
      <c r="E87" s="132"/>
      <c r="F87" s="3"/>
      <c r="G87" s="331"/>
      <c r="H87" s="3"/>
      <c r="I87" s="3"/>
      <c r="J87" s="3"/>
      <c r="L87" s="132"/>
      <c r="M87" s="331"/>
      <c r="N87" s="3"/>
      <c r="O87" s="3"/>
      <c r="P87" s="132"/>
      <c r="Q87" s="331"/>
      <c r="R87" s="132"/>
      <c r="S87" s="134">
        <f t="shared" ca="1" si="5"/>
      </c>
      <c r="T87">
        <f t="shared" ca="1" si="6"/>
      </c>
      <c r="X87" s="3"/>
    </row>
    <row r="88" spans="1:24" x14ac:dyDescent="0.35">
      <c r="A88" s="203">
        <v>83</v>
      </c>
      <c r="B88" s="13">
        <f t="shared" si="4"/>
      </c>
      <c r="C88" s="331"/>
      <c r="E88" s="132"/>
      <c r="F88" s="3"/>
      <c r="G88" s="331"/>
      <c r="H88" s="3"/>
      <c r="I88" s="3"/>
      <c r="J88" s="3"/>
      <c r="L88" s="132"/>
      <c r="M88" s="331"/>
      <c r="N88" s="3"/>
      <c r="O88" s="3"/>
      <c r="P88" s="132"/>
      <c r="Q88" s="331"/>
      <c r="R88" s="132"/>
      <c r="S88" s="134">
        <f t="shared" ca="1" si="5"/>
      </c>
      <c r="T88">
        <f t="shared" ca="1" si="6"/>
      </c>
      <c r="X88" s="3"/>
    </row>
    <row r="89" spans="1:24" x14ac:dyDescent="0.35">
      <c r="A89" s="203">
        <v>84</v>
      </c>
      <c r="B89" s="13">
        <f t="shared" si="4"/>
      </c>
      <c r="C89" s="331"/>
      <c r="E89" s="132"/>
      <c r="F89" s="3"/>
      <c r="G89" s="331"/>
      <c r="H89" s="3"/>
      <c r="I89" s="3"/>
      <c r="J89" s="3"/>
      <c r="L89" s="132"/>
      <c r="M89" s="331"/>
      <c r="N89" s="3"/>
      <c r="O89" s="3"/>
      <c r="P89" s="132"/>
      <c r="Q89" s="331"/>
      <c r="R89" s="132"/>
      <c r="S89" s="134">
        <f t="shared" ca="1" si="5"/>
      </c>
      <c r="T89">
        <f t="shared" ca="1" si="6"/>
      </c>
      <c r="X89" s="3"/>
    </row>
    <row r="90" spans="1:24" x14ac:dyDescent="0.35">
      <c r="A90" s="203">
        <v>85</v>
      </c>
      <c r="B90" s="13">
        <f t="shared" si="4"/>
      </c>
      <c r="C90" s="331"/>
      <c r="E90" s="132"/>
      <c r="F90" s="3"/>
      <c r="G90" s="331"/>
      <c r="H90" s="3"/>
      <c r="I90" s="3"/>
      <c r="J90" s="3"/>
      <c r="L90" s="132"/>
      <c r="M90" s="331"/>
      <c r="N90" s="3"/>
      <c r="O90" s="3"/>
      <c r="P90" s="132"/>
      <c r="Q90" s="331"/>
      <c r="R90" s="132"/>
      <c r="S90" s="134">
        <f t="shared" ca="1" si="5"/>
      </c>
      <c r="T90">
        <f t="shared" ca="1" si="6"/>
      </c>
      <c r="X90" s="3"/>
    </row>
    <row r="91" spans="1:24" x14ac:dyDescent="0.35">
      <c r="A91" s="203">
        <v>86</v>
      </c>
      <c r="B91" s="13">
        <f t="shared" si="4"/>
      </c>
      <c r="C91" s="331"/>
      <c r="E91" s="132"/>
      <c r="F91" s="3"/>
      <c r="G91" s="331"/>
      <c r="H91" s="3"/>
      <c r="I91" s="3"/>
      <c r="J91" s="3"/>
      <c r="L91" s="132"/>
      <c r="M91" s="331"/>
      <c r="N91" s="3"/>
      <c r="O91" s="3"/>
      <c r="P91" s="132"/>
      <c r="Q91" s="331"/>
      <c r="R91" s="132"/>
      <c r="S91" s="134">
        <f t="shared" ca="1" si="5"/>
      </c>
      <c r="T91">
        <f t="shared" ca="1" si="6"/>
      </c>
      <c r="X91" s="3"/>
    </row>
    <row r="92" spans="1:24" x14ac:dyDescent="0.35">
      <c r="A92" s="203">
        <v>87</v>
      </c>
      <c r="B92" s="13">
        <f t="shared" si="4"/>
      </c>
      <c r="C92" s="331"/>
      <c r="E92" s="132"/>
      <c r="F92" s="3"/>
      <c r="G92" s="331"/>
      <c r="H92" s="3"/>
      <c r="I92" s="3"/>
      <c r="J92" s="3"/>
      <c r="L92" s="132"/>
      <c r="M92" s="331"/>
      <c r="N92" s="3"/>
      <c r="O92" s="3"/>
      <c r="P92" s="132"/>
      <c r="Q92" s="331"/>
      <c r="R92" s="132"/>
      <c r="S92" s="134">
        <f t="shared" ca="1" si="5"/>
      </c>
      <c r="T92">
        <f t="shared" ca="1" si="6"/>
      </c>
      <c r="X92" s="3"/>
    </row>
    <row r="93" spans="1:24" x14ac:dyDescent="0.35">
      <c r="A93" s="203">
        <v>88</v>
      </c>
      <c r="B93" s="13">
        <f t="shared" si="4"/>
      </c>
      <c r="C93" s="331"/>
      <c r="E93" s="132"/>
      <c r="F93" s="3"/>
      <c r="G93" s="331"/>
      <c r="H93" s="3"/>
      <c r="I93" s="3"/>
      <c r="J93" s="3"/>
      <c r="L93" s="132"/>
      <c r="M93" s="331"/>
      <c r="N93" s="3"/>
      <c r="O93" s="3"/>
      <c r="P93" s="132"/>
      <c r="Q93" s="331"/>
      <c r="R93" s="132"/>
      <c r="S93" s="134">
        <f t="shared" ca="1" si="5"/>
      </c>
      <c r="T93">
        <f t="shared" ca="1" si="6"/>
      </c>
      <c r="X93" s="3"/>
    </row>
    <row r="94" spans="1:24" x14ac:dyDescent="0.35">
      <c r="A94" s="203">
        <v>89</v>
      </c>
      <c r="B94" s="13">
        <f t="shared" si="4"/>
      </c>
      <c r="C94" s="331"/>
      <c r="E94" s="132"/>
      <c r="F94" s="3"/>
      <c r="G94" s="331"/>
      <c r="H94" s="3"/>
      <c r="I94" s="3"/>
      <c r="J94" s="3"/>
      <c r="L94" s="132"/>
      <c r="M94" s="331"/>
      <c r="N94" s="3"/>
      <c r="O94" s="3"/>
      <c r="P94" s="132"/>
      <c r="Q94" s="331"/>
      <c r="R94" s="132"/>
      <c r="S94" s="134">
        <f t="shared" ca="1" si="5"/>
      </c>
      <c r="T94">
        <f t="shared" ca="1" si="6"/>
      </c>
      <c r="X94" s="3"/>
    </row>
    <row r="95" spans="1:24" x14ac:dyDescent="0.35">
      <c r="A95" s="203">
        <v>90</v>
      </c>
      <c r="B95" s="13">
        <f t="shared" si="4"/>
      </c>
      <c r="C95" s="331"/>
      <c r="E95" s="132"/>
      <c r="F95" s="3"/>
      <c r="G95" s="331"/>
      <c r="H95" s="3"/>
      <c r="I95" s="3"/>
      <c r="J95" s="3"/>
      <c r="L95" s="132"/>
      <c r="M95" s="331"/>
      <c r="N95" s="3"/>
      <c r="O95" s="3"/>
      <c r="P95" s="132"/>
      <c r="Q95" s="331"/>
      <c r="R95" s="132"/>
      <c r="S95" s="134">
        <f t="shared" ca="1" si="5"/>
      </c>
      <c r="T95">
        <f t="shared" ca="1" si="6"/>
      </c>
      <c r="X95" s="3"/>
    </row>
    <row r="96" spans="1:24" x14ac:dyDescent="0.35">
      <c r="A96" s="203">
        <v>91</v>
      </c>
      <c r="B96" s="13">
        <f t="shared" si="4"/>
      </c>
      <c r="C96" s="331"/>
      <c r="E96" s="132"/>
      <c r="F96" s="3"/>
      <c r="G96" s="331"/>
      <c r="H96" s="3"/>
      <c r="I96" s="3"/>
      <c r="J96" s="3"/>
      <c r="L96" s="132"/>
      <c r="M96" s="331"/>
      <c r="N96" s="3"/>
      <c r="O96" s="3"/>
      <c r="P96" s="132"/>
      <c r="Q96" s="331"/>
      <c r="R96" s="132"/>
      <c r="S96" s="134">
        <f t="shared" ca="1" si="5"/>
      </c>
      <c r="T96">
        <f t="shared" ca="1" si="6"/>
      </c>
      <c r="X96" s="3"/>
    </row>
    <row r="97" spans="1:24" x14ac:dyDescent="0.35">
      <c r="A97" s="203">
        <v>92</v>
      </c>
      <c r="B97" s="13">
        <f t="shared" si="4"/>
      </c>
      <c r="C97" s="331"/>
      <c r="E97" s="132"/>
      <c r="F97" s="3"/>
      <c r="G97" s="331"/>
      <c r="H97" s="3"/>
      <c r="I97" s="3"/>
      <c r="J97" s="3"/>
      <c r="L97" s="132"/>
      <c r="M97" s="331"/>
      <c r="N97" s="3"/>
      <c r="O97" s="3"/>
      <c r="P97" s="132"/>
      <c r="Q97" s="331"/>
      <c r="R97" s="132"/>
      <c r="S97" s="134">
        <f t="shared" ca="1" si="5"/>
      </c>
      <c r="T97">
        <f t="shared" ca="1" si="6"/>
      </c>
      <c r="X97" s="3"/>
    </row>
    <row r="98" spans="1:24" x14ac:dyDescent="0.35">
      <c r="A98" s="203">
        <v>93</v>
      </c>
      <c r="B98" s="13">
        <f t="shared" si="4"/>
      </c>
      <c r="C98" s="331"/>
      <c r="E98" s="132"/>
      <c r="F98" s="3"/>
      <c r="G98" s="331"/>
      <c r="H98" s="3"/>
      <c r="I98" s="3"/>
      <c r="J98" s="3"/>
      <c r="L98" s="132"/>
      <c r="M98" s="331"/>
      <c r="N98" s="3"/>
      <c r="O98" s="3"/>
      <c r="P98" s="132"/>
      <c r="Q98" s="331"/>
      <c r="R98" s="132"/>
      <c r="S98" s="134">
        <f t="shared" ca="1" si="5"/>
      </c>
      <c r="T98">
        <f t="shared" ca="1" si="6"/>
      </c>
      <c r="X98" s="3"/>
    </row>
    <row r="99" spans="1:24" x14ac:dyDescent="0.35">
      <c r="A99" s="203">
        <v>94</v>
      </c>
      <c r="B99" s="13">
        <f t="shared" si="4"/>
      </c>
      <c r="C99" s="331"/>
      <c r="E99" s="132"/>
      <c r="F99" s="3"/>
      <c r="G99" s="331"/>
      <c r="H99" s="3"/>
      <c r="I99" s="3"/>
      <c r="J99" s="3"/>
      <c r="L99" s="132"/>
      <c r="M99" s="331"/>
      <c r="N99" s="3"/>
      <c r="O99" s="3"/>
      <c r="P99" s="132"/>
      <c r="Q99" s="331"/>
      <c r="R99" s="132"/>
      <c r="S99" s="134">
        <f t="shared" ca="1" si="5"/>
      </c>
      <c r="T99">
        <f t="shared" ca="1" si="6"/>
      </c>
      <c r="X99" s="3"/>
    </row>
    <row r="100" spans="1:24" x14ac:dyDescent="0.35">
      <c r="A100" s="203">
        <v>95</v>
      </c>
      <c r="B100" s="13">
        <f t="shared" si="4"/>
      </c>
      <c r="C100" s="331"/>
      <c r="E100" s="132"/>
      <c r="F100" s="3"/>
      <c r="G100" s="331"/>
      <c r="H100" s="3"/>
      <c r="I100" s="3"/>
      <c r="J100" s="3"/>
      <c r="L100" s="132"/>
      <c r="M100" s="331"/>
      <c r="N100" s="3"/>
      <c r="O100" s="3"/>
      <c r="P100" s="132"/>
      <c r="Q100" s="331"/>
      <c r="R100" s="132"/>
      <c r="S100" s="134">
        <f t="shared" ca="1" si="5"/>
      </c>
      <c r="T100">
        <f t="shared" ca="1" si="6"/>
      </c>
      <c r="X100" s="3"/>
    </row>
    <row r="101" spans="1:24" x14ac:dyDescent="0.35">
      <c r="A101" s="203">
        <v>96</v>
      </c>
      <c r="B101" s="13">
        <f t="shared" si="4"/>
      </c>
      <c r="C101" s="331"/>
      <c r="E101" s="132"/>
      <c r="F101" s="3"/>
      <c r="G101" s="331"/>
      <c r="H101" s="3"/>
      <c r="I101" s="3"/>
      <c r="J101" s="3"/>
      <c r="L101" s="132"/>
      <c r="M101" s="331"/>
      <c r="N101" s="3"/>
      <c r="O101" s="3"/>
      <c r="P101" s="132"/>
      <c r="Q101" s="331"/>
      <c r="R101" s="132"/>
      <c r="S101" s="134">
        <f t="shared" ca="1" si="5"/>
      </c>
      <c r="T101">
        <f t="shared" ca="1" si="6"/>
      </c>
      <c r="X101" s="3"/>
    </row>
    <row r="102" spans="1:24" x14ac:dyDescent="0.35">
      <c r="A102" s="203">
        <v>97</v>
      </c>
      <c r="B102" s="13">
        <f t="shared" si="4"/>
      </c>
      <c r="C102" s="331"/>
      <c r="E102" s="132"/>
      <c r="F102" s="3"/>
      <c r="G102" s="331"/>
      <c r="H102" s="3"/>
      <c r="I102" s="3"/>
      <c r="J102" s="3"/>
      <c r="L102" s="132"/>
      <c r="M102" s="331"/>
      <c r="N102" s="3"/>
      <c r="O102" s="3"/>
      <c r="P102" s="132"/>
      <c r="Q102" s="331"/>
      <c r="R102" s="132"/>
      <c r="S102" s="134">
        <f t="shared" ref="S102:S105" ca="1" si="7">IF(E102="","",IF(R102&lt;&gt;"",R102-E102,TODAY()-E102))</f>
      </c>
      <c r="T102">
        <f t="shared" ca="1" si="6"/>
      </c>
      <c r="X102" s="3"/>
    </row>
    <row r="103" spans="1:24" x14ac:dyDescent="0.35">
      <c r="A103" s="203">
        <v>98</v>
      </c>
      <c r="B103" s="13">
        <f t="shared" si="4"/>
      </c>
      <c r="C103" s="331"/>
      <c r="E103" s="132"/>
      <c r="F103" s="3"/>
      <c r="G103" s="331"/>
      <c r="H103" s="3"/>
      <c r="I103" s="3"/>
      <c r="J103" s="3"/>
      <c r="L103" s="132"/>
      <c r="M103" s="331"/>
      <c r="N103" s="3"/>
      <c r="O103" s="3"/>
      <c r="P103" s="132"/>
      <c r="Q103" s="331"/>
      <c r="R103" s="132"/>
      <c r="S103" s="134">
        <f t="shared" ca="1" si="7"/>
      </c>
      <c r="T103">
        <f t="shared" ca="1" si="6"/>
      </c>
      <c r="X103" s="3"/>
    </row>
    <row r="104" spans="1:24" x14ac:dyDescent="0.35">
      <c r="A104" s="203">
        <v>99</v>
      </c>
      <c r="B104" s="13">
        <f t="shared" si="4"/>
      </c>
      <c r="C104" s="331"/>
      <c r="E104" s="132"/>
      <c r="F104" s="3"/>
      <c r="G104" s="331"/>
      <c r="H104" s="3"/>
      <c r="I104" s="3"/>
      <c r="J104" s="3"/>
      <c r="L104" s="132"/>
      <c r="M104" s="331"/>
      <c r="N104" s="3"/>
      <c r="O104" s="3"/>
      <c r="P104" s="132"/>
      <c r="Q104" s="331"/>
      <c r="R104" s="132"/>
      <c r="S104" s="134">
        <f t="shared" ca="1" si="7"/>
      </c>
      <c r="T104">
        <f t="shared" ca="1" si="6"/>
      </c>
      <c r="X104" s="3"/>
    </row>
    <row r="105" spans="1:24" x14ac:dyDescent="0.35">
      <c r="A105" s="203">
        <v>100</v>
      </c>
      <c r="B105" s="13">
        <f t="shared" si="4"/>
      </c>
      <c r="C105" s="331"/>
      <c r="E105" s="132"/>
      <c r="F105" s="3"/>
      <c r="G105" s="331"/>
      <c r="H105" s="3"/>
      <c r="I105" s="3"/>
      <c r="J105" s="3"/>
      <c r="L105" s="132"/>
      <c r="M105" s="331"/>
      <c r="N105" s="3"/>
      <c r="O105" s="3"/>
      <c r="P105" s="132"/>
      <c r="Q105" s="331"/>
      <c r="R105" s="132"/>
      <c r="S105" s="134">
        <f t="shared" ca="1" si="7"/>
      </c>
      <c r="T105">
        <f t="shared" ca="1" si="6"/>
      </c>
      <c r="X105" s="3"/>
    </row>
  </sheetData>
  <mergeCells count="2">
    <mergeCell ref="A1:X1"/>
    <mergeCell ref="A2:X2"/>
  </mergeCells>
  <conditionalFormatting sqref="G6:G105">
    <cfRule type="expression" dxfId="19" priority="2">
      <formula>$G6="Critical"</formula>
    </cfRule>
    <cfRule type="expression" dxfId="18" priority="3">
      <formula>$G6="High"</formula>
    </cfRule>
  </conditionalFormatting>
  <conditionalFormatting sqref="M6:M105">
    <cfRule type="expression" dxfId="17" priority="5">
      <formula>$M6="Closed"</formula>
    </cfRule>
  </conditionalFormatting>
  <conditionalFormatting sqref="N6:R105">
    <cfRule type="expression" dxfId="16" priority="6">
      <formula>AND($M6="Closed",OR($N6="",$O6="",NOT(ISNUMBER($P6)),OR($Q6="",$Q6="Pending"),NOT(ISNUMBER($R6))))</formula>
    </cfRule>
  </conditionalFormatting>
  <conditionalFormatting sqref="T6:T105">
    <cfRule type="expression" dxfId="15" priority="4">
      <formula>$T6="Overdue"</formula>
    </cfRule>
  </conditionalFormatting>
  <conditionalFormatting sqref="C6:E105 G6:G105 K6:M105">
    <cfRule type="expression" dxfId="250" priority="7">
      <formula>AND($F6&lt;&gt;"",C6="")</formula>
    </cfRule>
  </conditionalFormatting>
  <dataValidations count="9">
    <dataValidation type="list" allowBlank="1" showInputMessage="1" showErrorMessage="1" sqref="C6:C105" xr:uid="{B5340AFB-69F2-4950-987B-588763D45E4A}">
      <formula1>"Risk,Recovery Plan,IT DR,ISO Document,Audit,Management Review,BIA,Dependency,Other"</formula1>
    </dataValidation>
    <dataValidation type="list" allowBlank="1" showInputMessage="1" showErrorMessage="1" sqref="G6:G105" xr:uid="{90B095C8-D5E0-47E6-B05B-086D59296828}">
      <formula1>"Critical,High,Medium,Low"</formula1>
    </dataValidation>
    <dataValidation type="list" allowBlank="1" showInputMessage="1" showErrorMessage="1" sqref="M6:M105" xr:uid="{CC5049F0-756D-45A5-B87B-BB7261EC130E}">
      <formula1>"Open,Investigation,Action in Progress,Pending Verification,Closed,Cancelled"</formula1>
    </dataValidation>
    <dataValidation type="list" allowBlank="1" showInputMessage="1" showErrorMessage="1" sqref="Q6:Q105" xr:uid="{8AAD2F8C-EDD7-4C18-9D39-80557AB3E48E}">
      <formula1>"Effective,Partially Effective,Ineffective,Pending"</formula1>
    </dataValidation>
    <dataValidation type="custom" allowBlank="1" showInputMessage="1" showErrorMessage="1" sqref="E6:E105" xr:uid="{B6EEBF82-A63A-4ABE-9528-B0BDA33288E4}">
      <formula1>OR(E6="",AND(ISNUMBER(E6),E6&lt;=TODAY()))</formula1>
    </dataValidation>
    <dataValidation type="custom" allowBlank="1" showInputMessage="1" showErrorMessage="1" sqref="L6:L105" xr:uid="{8D09A93C-92FA-4E0C-8436-8D51C363193B}">
      <formula1>OR(L6="",AND(ISNUMBER(L6),OR(E6="",L6&gt;=E6)))</formula1>
    </dataValidation>
    <dataValidation type="custom" allowBlank="1" showInputMessage="1" showErrorMessage="1" sqref="P6:P105" xr:uid="{08A39F40-86A6-4EA6-8CA8-D55A6E97D518}">
      <formula1>OR(P6="",AND(ISNUMBER(P6),OR(E6="",P6&gt;=E6)))</formula1>
    </dataValidation>
    <dataValidation type="custom" allowBlank="1" showInputMessage="1" showErrorMessage="1" sqref="R6:R105" xr:uid="{6FCFA8A1-8A97-419B-8E79-DD33DBD549B1}">
      <formula1>OR(R6="",AND(ISNUMBER(R6),OR(P6="",R6&gt;=P6)))</formula1>
    </dataValidation>
    <dataValidation type="custom" showInputMessage="1" showErrorMessage="1" sqref="D6:D105" xr:uid="{BFA13CC3-DBB6-4B63-A929-EEA5B5A82364}">
      <formula1>OR(F6="",LEN(TRIM(D6))&gt;0)</formula1>
    </dataValidation>
  </dataValidations>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55</vt:i4>
      </vt:variant>
    </vt:vector>
  </HeadingPairs>
  <TitlesOfParts>
    <vt:vector size="70" baseType="lpstr">
      <vt:lpstr>02. Dashboard</vt:lpstr>
      <vt:lpstr>03. Business Unit Profile</vt:lpstr>
      <vt:lpstr>04. Products &amp; Services</vt:lpstr>
      <vt:lpstr>05. Processes &amp; Activities</vt:lpstr>
      <vt:lpstr>06. Application &amp; Equipment</vt:lpstr>
      <vt:lpstr>07. BIA</vt:lpstr>
      <vt:lpstr>08. Dependency Register</vt:lpstr>
      <vt:lpstr>09. Risk Assumption Map</vt:lpstr>
      <vt:lpstr>10. Risk Assessment</vt:lpstr>
      <vt:lpstr>11. Strategies &amp; Solutions</vt:lpstr>
      <vt:lpstr>12. Requirements Register</vt:lpstr>
      <vt:lpstr>13. IT DR Register</vt:lpstr>
      <vt:lpstr>14. Recovery &amp; Response</vt:lpstr>
      <vt:lpstr>15. BCM Risk Register</vt:lpstr>
      <vt:lpstr>16. CAPA Register</vt:lpstr>
      <vt:lpstr>BIAIDs</vt:lpstr>
      <vt:lpstr>BusinessUnit</vt:lpstr>
      <vt:lpstr>BusinessUnits</vt:lpstr>
      <vt:lpstr>BusinessUnits1</vt:lpstr>
      <vt:lpstr>CAPA_BIARefs</vt:lpstr>
      <vt:lpstr>CAPA_DepRefs</vt:lpstr>
      <vt:lpstr>CAPA_DocRefs</vt:lpstr>
      <vt:lpstr>CAPA_DRRefs</vt:lpstr>
      <vt:lpstr>CAPA_RiskRefs</vt:lpstr>
      <vt:lpstr>CAPA_RRRefs</vt:lpstr>
      <vt:lpstr>DC_1</vt:lpstr>
      <vt:lpstr>DependencyBIAIDs</vt:lpstr>
      <vt:lpstr>DivisionSite</vt:lpstr>
      <vt:lpstr>DivisionSites</vt:lpstr>
      <vt:lpstr>DurationUnits</vt:lpstr>
      <vt:lpstr>E_1</vt:lpstr>
      <vt:lpstr>E_E</vt:lpstr>
      <vt:lpstr>I_A</vt:lpstr>
      <vt:lpstr>I_S</vt:lpstr>
      <vt:lpstr>ICT_0</vt:lpstr>
      <vt:lpstr>ICT_1</vt:lpstr>
      <vt:lpstr>ICT_List</vt:lpstr>
      <vt:lpstr>lstChainCrit</vt:lpstr>
      <vt:lpstr>lstCorpCrit</vt:lpstr>
      <vt:lpstr>lstDepCat</vt:lpstr>
      <vt:lpstr>lstDRStrategy</vt:lpstr>
      <vt:lpstr>lstISOStatus</vt:lpstr>
      <vt:lpstr>lstReqCat</vt:lpstr>
      <vt:lpstr>lstScore</vt:lpstr>
      <vt:lpstr>lstSPOF</vt:lpstr>
      <vt:lpstr>lstStatus</vt:lpstr>
      <vt:lpstr>lstStrategy</vt:lpstr>
      <vt:lpstr>lstTestResult</vt:lpstr>
      <vt:lpstr>lstYN</vt:lpstr>
      <vt:lpstr>lstYPN</vt:lpstr>
      <vt:lpstr>MTPDMap</vt:lpstr>
      <vt:lpstr>ProcessProductCodes</vt:lpstr>
      <vt:lpstr>PS_ID</vt:lpstr>
      <vt:lpstr>RA_ID</vt:lpstr>
      <vt:lpstr>RequirementStrategyIDs</vt:lpstr>
      <vt:lpstr>RiskIDs</vt:lpstr>
      <vt:lpstr>RR_BIAs</vt:lpstr>
      <vt:lpstr>RR_ID</vt:lpstr>
      <vt:lpstr>RR_Risk</vt:lpstr>
      <vt:lpstr>RR_SS</vt:lpstr>
      <vt:lpstr>RR_Status</vt:lpstr>
      <vt:lpstr>S_1</vt:lpstr>
      <vt:lpstr>ScopeNames</vt:lpstr>
      <vt:lpstr>SS_BIAs</vt:lpstr>
      <vt:lpstr>SS_Due</vt:lpstr>
      <vt:lpstr>SS_ID</vt:lpstr>
      <vt:lpstr>SS_Risk</vt:lpstr>
      <vt:lpstr>SS_Status</vt:lpstr>
      <vt:lpstr>SSIDs</vt:lpstr>
      <vt:lpstr>StrategyRiskIDs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2026-07-05T05:14:35Z</dcterms:created>
  <dcterms:modified xsi:type="dcterms:W3CDTF">2026-10-27T13:14:39Z</dcterms:modified>
  <cp:category/>
  <cp:contentStatus/>
</cp:coreProperties>
</file>