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4.xml" ContentType="application/vnd.openxmlformats-officedocument.spreadsheetml.table+xml"/>
  <Override PartName="/xl/comments5.xml" ContentType="application/vnd.openxmlformats-officedocument.spreadsheetml.comments+xml"/>
  <Override PartName="/xl/tables/table5.xml" ContentType="application/vnd.openxmlformats-officedocument.spreadsheetml.table+xml"/>
  <Override PartName="/xl/comments6.xml" ContentType="application/vnd.openxmlformats-officedocument.spreadsheetml.comments+xml"/>
  <Override PartName="/xl/tables/table6.xml" ContentType="application/vnd.openxmlformats-officedocument.spreadsheetml.table+xml"/>
  <Override PartName="/xl/comments7.xml" ContentType="application/vnd.openxmlformats-officedocument.spreadsheetml.comments+xml"/>
  <Override PartName="/xl/tables/table7.xml" ContentType="application/vnd.openxmlformats-officedocument.spreadsheetml.table+xml"/>
  <Override PartName="/xl/comments8.xml" ContentType="application/vnd.openxmlformats-officedocument.spreadsheetml.comments+xml"/>
  <Override PartName="/xl/tables/table8.xml" ContentType="application/vnd.openxmlformats-officedocument.spreadsheetml.table+xml"/>
  <Override PartName="/xl/comments9.xml" ContentType="application/vnd.openxmlformats-officedocument.spreadsheetml.comments+xml"/>
  <Override PartName="/xl/tables/table9.xml" ContentType="application/vnd.openxmlformats-officedocument.spreadsheetml.table+xml"/>
  <Override PartName="/xl/comments10.xml" ContentType="application/vnd.openxmlformats-officedocument.spreadsheetml.comments+xml"/>
  <Override PartName="/xl/comments11.xml" ContentType="application/vnd.openxmlformats-officedocument.spreadsheetml.comments+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503E50E2AA26E5D/Desktop/"/>
    </mc:Choice>
  </mc:AlternateContent>
  <xr:revisionPtr revIDLastSave="103" documentId="8_{7C908902-1B2A-449C-9AA6-6D1D0644593E}" xr6:coauthVersionLast="47" xr6:coauthVersionMax="47" xr10:uidLastSave="{6929413B-1834-48BD-9D9B-CCEBB8C24B35}"/>
  <bookViews>
    <workbookView xWindow="57480" yWindow="-120" windowWidth="29040" windowHeight="15720" tabRatio="645" firstSheet="7" activeTab="10" xr2:uid="{00000000-000D-0000-FFFF-FFFF00000000}"/>
  </bookViews>
  <sheets>
    <sheet name="00. Document Control" sheetId="34" r:id="rId1"/>
    <sheet name="01. Instructions" sheetId="4" state="hidden" r:id="rId2"/>
    <sheet name="02. Dashboard" sheetId="17" r:id="rId3"/>
    <sheet name="03. Business Unit Profile" sheetId="3" r:id="rId4"/>
    <sheet name="04. Products &amp; Services" sheetId="5" r:id="rId5"/>
    <sheet name="05. Processes &amp; Activities" sheetId="7" r:id="rId6"/>
    <sheet name="06. Application &amp; Equipment" sheetId="10" r:id="rId7"/>
    <sheet name="07. BIA" sheetId="8" r:id="rId8"/>
    <sheet name="08. Dependency Register" sheetId="9" r:id="rId9"/>
    <sheet name="09. Risk Assumption Map" sheetId="12" r:id="rId10"/>
    <sheet name="10. Risk Assessment" sheetId="11" r:id="rId11"/>
    <sheet name="11. Strategies &amp; Solutions" sheetId="13" r:id="rId12"/>
    <sheet name="12. Requirements Register" sheetId="14" r:id="rId13"/>
    <sheet name="13. IT DR Register" sheetId="22" r:id="rId14"/>
    <sheet name="14. Recovery &amp; Response" sheetId="15" r:id="rId15"/>
    <sheet name="15. BCM Risk Register" sheetId="16" r:id="rId16"/>
    <sheet name="16. CAPA Register" sheetId="26" r:id="rId17"/>
    <sheet name="17. BCMS Progress (PDCA)" sheetId="20" r:id="rId18"/>
    <sheet name="18. ISO Docs &amp; Records" sheetId="21" r:id="rId19"/>
    <sheet name="19. ISO 22301 Map" sheetId="23" r:id="rId20"/>
    <sheet name="20. ERM RA Guidance" sheetId="19" r:id="rId21"/>
    <sheet name="21. Analysis" sheetId="6" r:id="rId22"/>
    <sheet name="99. Engine" sheetId="24" r:id="rId23"/>
  </sheets>
  <definedNames>
    <definedName name="_xlnm._FilterDatabase" localSheetId="10" hidden="1">'10. Risk Assessment'!$A$4:$T$34</definedName>
    <definedName name="BIAIDs">'07. BIA'!$B$6:$B$285</definedName>
    <definedName name="BusinessUnit">'99. Engine'!$O$4:$O$37</definedName>
    <definedName name="BusinessUnits">'10. Risk Assessment'!$C$5</definedName>
    <definedName name="BusinessUnits1">ScopeProductsServices[Business Unit]</definedName>
    <definedName name="CAPA_BIARefs">'07. BIA'!$B$6:$B$285</definedName>
    <definedName name="CAPA_DepRefs">DependencyRegister[Dep ID]</definedName>
    <definedName name="CAPA_DocRefs">'18. ISO Docs &amp; Records'!$A$5:$A$24</definedName>
    <definedName name="CAPA_DRRefs">ITDRRegister[DR ID]</definedName>
    <definedName name="CAPA_RiskRefs">INDEX(RiskAssessment[],0,2)</definedName>
    <definedName name="CAPA_RRRefs">RecoveryResponsePlans[R&amp;R ID]</definedName>
    <definedName name="DC_1">'09. Risk Assumption Map'!$C$4:$I$4</definedName>
    <definedName name="DependencyBIAIDs">'08. Dependency Register'!$C$5:$C$204</definedName>
    <definedName name="DivisionSite">'99. Engine'!$P$4:$P$37</definedName>
    <definedName name="DivisionSites">ScopeProductsServices[Division / Site]</definedName>
    <definedName name="E_1">'06. Application &amp; Equipment'!$I$9</definedName>
    <definedName name="E_E">ApplicationEquipmentMaster[Equipment / Building / Utilities]</definedName>
    <definedName name="I_A">ApplicationEquipmentMaster[Application]</definedName>
    <definedName name="I_S">ApplicationEquipmentMaster[Service]</definedName>
    <definedName name="ICT_0">'06. Application &amp; Equipment'!$A$10</definedName>
    <definedName name="ICT_1">'06. Application &amp; Equipment'!$G$9</definedName>
    <definedName name="ICT_List">'06. Application &amp; Equipment'!$G$9:$H$9</definedName>
    <definedName name="lstChainCrit">'99. Engine'!$F$4:$F$7</definedName>
    <definedName name="lstCorpCrit">'99. Engine'!$E$4:$E$6</definedName>
    <definedName name="lstDepCat">'99. Engine'!$D$4:$D$10</definedName>
    <definedName name="lstDRStrategy">'99. Engine'!$J$4:$J$9</definedName>
    <definedName name="lstISOStatus">'99. Engine'!$Q$4:$Q$7</definedName>
    <definedName name="lstReqCat">'99. Engine'!$M$4:$M$9</definedName>
    <definedName name="lstScore">'99. Engine'!$C$4:$C$9</definedName>
    <definedName name="lstSPOF">'99. Engine'!$L$4:$L$5</definedName>
    <definedName name="lstStatus">'99. Engine'!$G$4:$G$7</definedName>
    <definedName name="lstStrategy">'99. Engine'!$H$4:$H$10</definedName>
    <definedName name="lstTestResult">'99. Engine'!$I$4:$I$6</definedName>
    <definedName name="lstYN">'99. Engine'!$A$4:$A$5</definedName>
    <definedName name="lstYPN">'99. Engine'!$B$4:$B$6</definedName>
    <definedName name="MTPDMap">'99. Engine'!$S$4:$T$12</definedName>
    <definedName name="ProcessProductCodes">ProcessesActivities[Product Code]</definedName>
    <definedName name="RequirementStrategyIDs">RequirementsRegister[S&amp;S ID]</definedName>
    <definedName name="RiskIDs">INDEX(RiskAssessment[],0,2)</definedName>
    <definedName name="S_1">'06. Application &amp; Equipment'!$C$11</definedName>
    <definedName name="ScopeNames">ScopeProductsServices[Product / Service]</definedName>
    <definedName name="SSIDs">'11. Strategies &amp; Solutions'!$C$5:$C$64</definedName>
    <definedName name="StrategyRiskIDs">StrategiesSolutions[Risk ID]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6" i="8" l="1"/>
  <c r="K46" i="6"/>
  <c r="J46" i="6"/>
  <c r="I46" i="6"/>
  <c r="K45" i="6"/>
  <c r="J45" i="6"/>
  <c r="I45" i="6"/>
  <c r="K44" i="6"/>
  <c r="J44" i="6"/>
  <c r="I44" i="6"/>
  <c r="K43" i="6"/>
  <c r="J43" i="6"/>
  <c r="I43" i="6"/>
  <c r="K42" i="6"/>
  <c r="J42" i="6"/>
  <c r="I42" i="6"/>
  <c r="K41" i="6"/>
  <c r="J41" i="6"/>
  <c r="I41" i="6"/>
  <c r="K40" i="6"/>
  <c r="J40" i="6"/>
  <c r="I40" i="6"/>
  <c r="K39" i="6"/>
  <c r="J39" i="6"/>
  <c r="I39" i="6"/>
  <c r="K38" i="6"/>
  <c r="J38" i="6"/>
  <c r="I38" i="6"/>
  <c r="K37" i="6"/>
  <c r="J37" i="6"/>
  <c r="I37" i="6"/>
  <c r="K36" i="6"/>
  <c r="J36" i="6"/>
  <c r="I36" i="6"/>
  <c r="K35" i="6"/>
  <c r="J35" i="6"/>
  <c r="I35" i="6"/>
  <c r="K34" i="6"/>
  <c r="J34" i="6"/>
  <c r="I34" i="6"/>
  <c r="K33" i="6"/>
  <c r="J33" i="6"/>
  <c r="I33" i="6"/>
  <c r="K32" i="6"/>
  <c r="J32" i="6"/>
  <c r="I32" i="6"/>
  <c r="K31" i="6"/>
  <c r="J31" i="6"/>
  <c r="I31" i="6"/>
  <c r="K30" i="6"/>
  <c r="J30" i="6"/>
  <c r="I30" i="6"/>
  <c r="K29" i="6"/>
  <c r="J29" i="6"/>
  <c r="I29" i="6"/>
  <c r="K28" i="6"/>
  <c r="J28" i="6"/>
  <c r="I28" i="6"/>
  <c r="K27" i="6"/>
  <c r="J27" i="6"/>
  <c r="I27" i="6"/>
  <c r="K26" i="6"/>
  <c r="J26" i="6"/>
  <c r="I26" i="6"/>
  <c r="K25" i="6"/>
  <c r="J25" i="6"/>
  <c r="I25" i="6"/>
  <c r="K24" i="6"/>
  <c r="J24" i="6"/>
  <c r="I24" i="6"/>
  <c r="K23" i="6"/>
  <c r="J23" i="6"/>
  <c r="I23" i="6"/>
  <c r="K22" i="6"/>
  <c r="J22" i="6"/>
  <c r="I22" i="6"/>
  <c r="K21" i="6"/>
  <c r="J21" i="6"/>
  <c r="I21" i="6"/>
  <c r="K20" i="6"/>
  <c r="J20" i="6"/>
  <c r="I20" i="6"/>
  <c r="K19" i="6"/>
  <c r="J19" i="6"/>
  <c r="I19" i="6"/>
  <c r="K18" i="6"/>
  <c r="J18" i="6"/>
  <c r="I18" i="6"/>
  <c r="K17" i="6"/>
  <c r="J17" i="6"/>
  <c r="I17" i="6"/>
  <c r="K16" i="6"/>
  <c r="J16" i="6"/>
  <c r="I16" i="6"/>
  <c r="K15" i="6"/>
  <c r="J15" i="6"/>
  <c r="I15" i="6"/>
  <c r="K14" i="6"/>
  <c r="J14" i="6"/>
  <c r="I14" i="6"/>
  <c r="K13" i="6"/>
  <c r="J13" i="6"/>
  <c r="I13" i="6"/>
  <c r="K12" i="6"/>
  <c r="J12" i="6"/>
  <c r="I12" i="6"/>
  <c r="K11" i="6"/>
  <c r="J11" i="6"/>
  <c r="I11" i="6"/>
  <c r="K10" i="6"/>
  <c r="J10" i="6"/>
  <c r="I10" i="6"/>
  <c r="K9" i="6"/>
  <c r="J9" i="6"/>
  <c r="I9" i="6"/>
  <c r="K8" i="6"/>
  <c r="J8" i="6"/>
  <c r="I8" i="6"/>
  <c r="K7" i="6"/>
  <c r="J7" i="6"/>
  <c r="I7" i="6"/>
  <c r="K6" i="6"/>
  <c r="J6" i="6"/>
  <c r="I6" i="6"/>
  <c r="K5" i="6"/>
  <c r="J5" i="6"/>
  <c r="I5" i="6"/>
  <c r="K4" i="6"/>
  <c r="J4" i="6"/>
  <c r="I4" i="6"/>
  <c r="K3" i="6"/>
  <c r="J3" i="6"/>
  <c r="I3" i="6"/>
  <c r="G46" i="6"/>
  <c r="F46" i="6"/>
  <c r="E46" i="6"/>
  <c r="D46" i="6"/>
  <c r="C46" i="6"/>
  <c r="G45" i="6"/>
  <c r="F45" i="6"/>
  <c r="E45" i="6"/>
  <c r="D45" i="6"/>
  <c r="C45" i="6"/>
  <c r="G44" i="6"/>
  <c r="F44" i="6"/>
  <c r="E44" i="6"/>
  <c r="D44" i="6"/>
  <c r="C44" i="6"/>
  <c r="G43" i="6"/>
  <c r="F43" i="6"/>
  <c r="E43" i="6"/>
  <c r="D43" i="6"/>
  <c r="C43" i="6"/>
  <c r="G42" i="6"/>
  <c r="F42" i="6"/>
  <c r="E42" i="6"/>
  <c r="D42" i="6"/>
  <c r="C42" i="6"/>
  <c r="G41" i="6"/>
  <c r="F41" i="6"/>
  <c r="E41" i="6"/>
  <c r="D41" i="6"/>
  <c r="C41" i="6"/>
  <c r="G40" i="6"/>
  <c r="F40" i="6"/>
  <c r="E40" i="6"/>
  <c r="D40" i="6"/>
  <c r="C40" i="6"/>
  <c r="G39" i="6"/>
  <c r="F39" i="6"/>
  <c r="E39" i="6"/>
  <c r="D39" i="6"/>
  <c r="C39" i="6"/>
  <c r="G38" i="6"/>
  <c r="F38" i="6"/>
  <c r="E38" i="6"/>
  <c r="D38" i="6"/>
  <c r="C38" i="6"/>
  <c r="G37" i="6"/>
  <c r="F37" i="6"/>
  <c r="E37" i="6"/>
  <c r="D37" i="6"/>
  <c r="C37" i="6"/>
  <c r="G36" i="6"/>
  <c r="F36" i="6"/>
  <c r="E36" i="6"/>
  <c r="D36" i="6"/>
  <c r="C36" i="6"/>
  <c r="G35" i="6"/>
  <c r="F35" i="6"/>
  <c r="E35" i="6"/>
  <c r="D35" i="6"/>
  <c r="C35" i="6"/>
  <c r="G34" i="6"/>
  <c r="F34" i="6"/>
  <c r="E34" i="6"/>
  <c r="D34" i="6"/>
  <c r="C34" i="6"/>
  <c r="G33" i="6"/>
  <c r="F33" i="6"/>
  <c r="E33" i="6"/>
  <c r="D33" i="6"/>
  <c r="C33" i="6"/>
  <c r="G32" i="6"/>
  <c r="F32" i="6"/>
  <c r="E32" i="6"/>
  <c r="D32" i="6"/>
  <c r="C32" i="6"/>
  <c r="G31" i="6"/>
  <c r="F31" i="6"/>
  <c r="E31" i="6"/>
  <c r="D31" i="6"/>
  <c r="C31" i="6"/>
  <c r="G30" i="6"/>
  <c r="F30" i="6"/>
  <c r="E30" i="6"/>
  <c r="D30" i="6"/>
  <c r="C30" i="6"/>
  <c r="G29" i="6"/>
  <c r="F29" i="6"/>
  <c r="E29" i="6"/>
  <c r="D29" i="6"/>
  <c r="C29" i="6"/>
  <c r="G28" i="6"/>
  <c r="F28" i="6"/>
  <c r="E28" i="6"/>
  <c r="D28" i="6"/>
  <c r="C28" i="6"/>
  <c r="G27" i="6"/>
  <c r="F27" i="6"/>
  <c r="E27" i="6"/>
  <c r="D27" i="6"/>
  <c r="C27" i="6"/>
  <c r="G26" i="6"/>
  <c r="F26" i="6"/>
  <c r="E26" i="6"/>
  <c r="D26" i="6"/>
  <c r="C26" i="6"/>
  <c r="G25" i="6"/>
  <c r="F25" i="6"/>
  <c r="E25" i="6"/>
  <c r="D25" i="6"/>
  <c r="C25" i="6"/>
  <c r="G24" i="6"/>
  <c r="F24" i="6"/>
  <c r="E24" i="6"/>
  <c r="D24" i="6"/>
  <c r="C24" i="6"/>
  <c r="G23" i="6"/>
  <c r="F23" i="6"/>
  <c r="E23" i="6"/>
  <c r="D23" i="6"/>
  <c r="C23" i="6"/>
  <c r="G22" i="6"/>
  <c r="F22" i="6"/>
  <c r="E22" i="6"/>
  <c r="D22" i="6"/>
  <c r="C22" i="6"/>
  <c r="G21" i="6"/>
  <c r="F21" i="6"/>
  <c r="E21" i="6"/>
  <c r="D21" i="6"/>
  <c r="C21" i="6"/>
  <c r="G20" i="6"/>
  <c r="F20" i="6"/>
  <c r="E20" i="6"/>
  <c r="D20" i="6"/>
  <c r="C20" i="6"/>
  <c r="G19" i="6"/>
  <c r="F19" i="6"/>
  <c r="E19" i="6"/>
  <c r="D19" i="6"/>
  <c r="C19" i="6"/>
  <c r="G18" i="6"/>
  <c r="F18" i="6"/>
  <c r="E18" i="6"/>
  <c r="D18" i="6"/>
  <c r="C18" i="6"/>
  <c r="G17" i="6"/>
  <c r="F17" i="6"/>
  <c r="E17" i="6"/>
  <c r="D17" i="6"/>
  <c r="C17" i="6"/>
  <c r="G16" i="6"/>
  <c r="F16" i="6"/>
  <c r="E16" i="6"/>
  <c r="D16" i="6"/>
  <c r="C16" i="6"/>
  <c r="G15" i="6"/>
  <c r="F15" i="6"/>
  <c r="E15" i="6"/>
  <c r="D15" i="6"/>
  <c r="C15" i="6"/>
  <c r="G14" i="6"/>
  <c r="F14" i="6"/>
  <c r="E14" i="6"/>
  <c r="D14" i="6"/>
  <c r="C14" i="6"/>
  <c r="G13" i="6"/>
  <c r="F13" i="6"/>
  <c r="E13" i="6"/>
  <c r="D13" i="6"/>
  <c r="C13" i="6"/>
  <c r="G12" i="6"/>
  <c r="F12" i="6"/>
  <c r="E12" i="6"/>
  <c r="D12" i="6"/>
  <c r="C12" i="6"/>
  <c r="G11" i="6"/>
  <c r="F11" i="6"/>
  <c r="E11" i="6"/>
  <c r="D11" i="6"/>
  <c r="C11" i="6"/>
  <c r="G10" i="6"/>
  <c r="F10" i="6"/>
  <c r="E10" i="6"/>
  <c r="D10" i="6"/>
  <c r="C10" i="6"/>
  <c r="G9" i="6"/>
  <c r="F9" i="6"/>
  <c r="E9" i="6"/>
  <c r="D9" i="6"/>
  <c r="C9" i="6"/>
  <c r="G8" i="6"/>
  <c r="F8" i="6"/>
  <c r="E8" i="6"/>
  <c r="D8" i="6"/>
  <c r="C8" i="6"/>
  <c r="G7" i="6"/>
  <c r="F7" i="6"/>
  <c r="E7" i="6"/>
  <c r="D7" i="6"/>
  <c r="C7" i="6"/>
  <c r="G6" i="6"/>
  <c r="F6" i="6"/>
  <c r="E6" i="6"/>
  <c r="D6" i="6"/>
  <c r="C6" i="6"/>
  <c r="G5" i="6"/>
  <c r="F5" i="6"/>
  <c r="E5" i="6"/>
  <c r="D5" i="6"/>
  <c r="C5" i="6"/>
  <c r="G4" i="6"/>
  <c r="F4" i="6"/>
  <c r="E4" i="6"/>
  <c r="D4" i="6"/>
  <c r="C4" i="6"/>
  <c r="G3" i="6"/>
  <c r="F3" i="6"/>
  <c r="E3" i="6"/>
  <c r="D3" i="6"/>
  <c r="C3" i="6"/>
  <c r="S6" i="8"/>
  <c r="T6" i="8" s="1"/>
  <c r="S13" i="8"/>
  <c r="T16" i="8" s="1"/>
  <c r="S20" i="8"/>
  <c r="T21" i="8" s="1"/>
  <c r="S27" i="8"/>
  <c r="T27" i="8" s="1"/>
  <c r="S34" i="8"/>
  <c r="T37" i="8" s="1"/>
  <c r="S41" i="8"/>
  <c r="T42" i="8" s="1"/>
  <c r="S48" i="8"/>
  <c r="T48" i="8" s="1"/>
  <c r="S55" i="8"/>
  <c r="T58" i="8" s="1"/>
  <c r="S62" i="8"/>
  <c r="T63" i="8" s="1"/>
  <c r="S69" i="8"/>
  <c r="T69" i="8" s="1"/>
  <c r="S76" i="8"/>
  <c r="T79" i="8" s="1"/>
  <c r="S83" i="8"/>
  <c r="T84" i="8" s="1"/>
  <c r="S90" i="8"/>
  <c r="T90" i="8" s="1"/>
  <c r="S97" i="8"/>
  <c r="T100" i="8" s="1"/>
  <c r="S104" i="8"/>
  <c r="T105" i="8" s="1"/>
  <c r="S111" i="8"/>
  <c r="T111" i="8" s="1"/>
  <c r="S118" i="8"/>
  <c r="T121" i="8" s="1"/>
  <c r="S125" i="8"/>
  <c r="T126" i="8" s="1"/>
  <c r="S132" i="8"/>
  <c r="T132" i="8" s="1"/>
  <c r="S139" i="8"/>
  <c r="T142" i="8" s="1"/>
  <c r="S146" i="8"/>
  <c r="T147" i="8" s="1"/>
  <c r="T146" i="8"/>
  <c r="S153" i="8"/>
  <c r="T153" i="8" s="1"/>
  <c r="S160" i="8"/>
  <c r="T163" i="8" s="1"/>
  <c r="S167" i="8"/>
  <c r="T168" i="8" s="1"/>
  <c r="S174" i="8"/>
  <c r="T174" i="8" s="1"/>
  <c r="S181" i="8"/>
  <c r="T184" i="8" s="1"/>
  <c r="S188" i="8"/>
  <c r="T189" i="8" s="1"/>
  <c r="S195" i="8"/>
  <c r="T195" i="8" s="1"/>
  <c r="S202" i="8"/>
  <c r="T205" i="8" s="1"/>
  <c r="S209" i="8"/>
  <c r="T210" i="8" s="1"/>
  <c r="S216" i="8"/>
  <c r="T216" i="8" s="1"/>
  <c r="S223" i="8"/>
  <c r="T226" i="8" s="1"/>
  <c r="S230" i="8"/>
  <c r="T231" i="8" s="1"/>
  <c r="S237" i="8"/>
  <c r="T237" i="8" s="1"/>
  <c r="S244" i="8"/>
  <c r="T247" i="8" s="1"/>
  <c r="S251" i="8"/>
  <c r="T252" i="8" s="1"/>
  <c r="S258" i="8"/>
  <c r="T258" i="8" s="1"/>
  <c r="S265" i="8"/>
  <c r="T268" i="8" s="1"/>
  <c r="S272" i="8"/>
  <c r="T273" i="8" s="1"/>
  <c r="S279" i="8"/>
  <c r="T279" i="8" s="1"/>
  <c r="P7"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T105" i="26"/>
  <c r="T104" i="26"/>
  <c r="T103" i="26"/>
  <c r="T102" i="26"/>
  <c r="T101" i="26"/>
  <c r="T100" i="26"/>
  <c r="T99" i="26"/>
  <c r="T98" i="26"/>
  <c r="T97" i="26"/>
  <c r="T96" i="26"/>
  <c r="T95" i="26"/>
  <c r="T94" i="26"/>
  <c r="T93" i="26"/>
  <c r="T92" i="26"/>
  <c r="T91" i="26"/>
  <c r="T90" i="26"/>
  <c r="T89" i="26"/>
  <c r="T88" i="26"/>
  <c r="T87" i="26"/>
  <c r="T86" i="26"/>
  <c r="T85" i="26"/>
  <c r="T84" i="26"/>
  <c r="T83" i="26"/>
  <c r="T82" i="26"/>
  <c r="T81" i="26"/>
  <c r="T80" i="26"/>
  <c r="T79" i="26"/>
  <c r="T78" i="26"/>
  <c r="T77" i="26"/>
  <c r="T76" i="26"/>
  <c r="T75" i="26"/>
  <c r="T74" i="26"/>
  <c r="T73" i="26"/>
  <c r="T72" i="26"/>
  <c r="T71" i="26"/>
  <c r="T70" i="26"/>
  <c r="T69" i="26"/>
  <c r="T68" i="26"/>
  <c r="T67" i="26"/>
  <c r="T66" i="26"/>
  <c r="T65" i="26"/>
  <c r="T64" i="26"/>
  <c r="T63" i="26"/>
  <c r="T62" i="26"/>
  <c r="T61" i="26"/>
  <c r="T60" i="26"/>
  <c r="T59" i="26"/>
  <c r="T58" i="26"/>
  <c r="T57" i="26"/>
  <c r="T56" i="26"/>
  <c r="T55" i="26"/>
  <c r="T54" i="26"/>
  <c r="T53" i="26"/>
  <c r="T52" i="26"/>
  <c r="T51" i="26"/>
  <c r="T50" i="26"/>
  <c r="T49" i="26"/>
  <c r="T48" i="26"/>
  <c r="T47" i="26"/>
  <c r="T46" i="26"/>
  <c r="T45" i="26"/>
  <c r="T44" i="26"/>
  <c r="T43" i="26"/>
  <c r="T42" i="26"/>
  <c r="T41" i="26"/>
  <c r="T40" i="26"/>
  <c r="T39" i="26"/>
  <c r="T38" i="26"/>
  <c r="T37" i="26"/>
  <c r="T36" i="26"/>
  <c r="T35" i="26"/>
  <c r="T34" i="26"/>
  <c r="T33" i="26"/>
  <c r="T32" i="26"/>
  <c r="T31" i="26"/>
  <c r="T30" i="26"/>
  <c r="T29" i="26"/>
  <c r="T28" i="26"/>
  <c r="T27" i="26"/>
  <c r="T26" i="26"/>
  <c r="T25" i="26"/>
  <c r="T24" i="26"/>
  <c r="T23" i="26"/>
  <c r="T22" i="26"/>
  <c r="T21" i="26"/>
  <c r="T20" i="26"/>
  <c r="T19" i="26"/>
  <c r="T18" i="26"/>
  <c r="T17" i="26"/>
  <c r="T16" i="26"/>
  <c r="T15" i="26"/>
  <c r="T14" i="26"/>
  <c r="T13" i="26"/>
  <c r="T12" i="26"/>
  <c r="T11" i="26"/>
  <c r="T10" i="26"/>
  <c r="T9" i="26"/>
  <c r="T8" i="26"/>
  <c r="T7" i="26"/>
  <c r="T6" i="26"/>
  <c r="P4" i="24" a="1"/>
  <c r="P4" i="24" s="1"/>
  <c r="O4" i="24" a="1"/>
  <c r="O4" i="24" s="1"/>
  <c r="D25" i="34"/>
  <c r="B25" i="34"/>
  <c r="A25" i="34"/>
  <c r="B7" i="34"/>
  <c r="D23" i="23" s="1" a="1"/>
  <c r="D23" i="23" s="1"/>
  <c r="B31" i="11"/>
  <c r="Z31" i="11" s="1"/>
  <c r="B32" i="11"/>
  <c r="S32" i="11" s="1" a="1"/>
  <c r="S32" i="11" s="1"/>
  <c r="B33" i="11"/>
  <c r="T33" i="11" s="1" a="1"/>
  <c r="T33" i="11" s="1"/>
  <c r="B34" i="11"/>
  <c r="S34" i="11" s="1" a="1"/>
  <c r="S34" i="11" s="1"/>
  <c r="F31" i="11" a="1"/>
  <c r="F31" i="11" s="1"/>
  <c r="F32" i="11" a="1"/>
  <c r="F32" i="11" s="1"/>
  <c r="F33" i="11" a="1"/>
  <c r="F33" i="11" s="1"/>
  <c r="F34" i="11" a="1"/>
  <c r="F34" i="11" s="1"/>
  <c r="H31" i="11"/>
  <c r="H32" i="11"/>
  <c r="H33" i="11"/>
  <c r="H34" i="11"/>
  <c r="L31" i="11"/>
  <c r="L32" i="11"/>
  <c r="L33" i="11"/>
  <c r="L34" i="11"/>
  <c r="N31" i="11"/>
  <c r="N32" i="11"/>
  <c r="N33" i="11"/>
  <c r="N34" i="11"/>
  <c r="O31" i="11"/>
  <c r="P31" i="11" s="1"/>
  <c r="O32" i="11"/>
  <c r="P32" i="11" s="1"/>
  <c r="Q32" i="11" s="1"/>
  <c r="O33" i="11"/>
  <c r="P33" i="11" s="1"/>
  <c r="Q33" i="11" s="1"/>
  <c r="O34" i="11"/>
  <c r="P34" i="11" s="1"/>
  <c r="Q34" i="11" s="1"/>
  <c r="G64" i="13"/>
  <c r="G63" i="13"/>
  <c r="G62" i="13"/>
  <c r="G61" i="13"/>
  <c r="G60" i="13"/>
  <c r="G59" i="13"/>
  <c r="G58" i="13"/>
  <c r="G57" i="13"/>
  <c r="G56" i="13"/>
  <c r="G55" i="13"/>
  <c r="G54" i="13"/>
  <c r="G53" i="13"/>
  <c r="G52" i="13"/>
  <c r="G51" i="13"/>
  <c r="G50" i="13"/>
  <c r="G49" i="13"/>
  <c r="G48" i="13"/>
  <c r="G47" i="13"/>
  <c r="G46" i="13"/>
  <c r="G45" i="13"/>
  <c r="G44" i="13"/>
  <c r="G43" i="13"/>
  <c r="G42" i="13"/>
  <c r="G41" i="13"/>
  <c r="G40" i="13"/>
  <c r="G39" i="13"/>
  <c r="G38" i="13"/>
  <c r="G37" i="13"/>
  <c r="G36" i="13"/>
  <c r="G35" i="13"/>
  <c r="G33" i="13"/>
  <c r="G32" i="13"/>
  <c r="G31" i="13"/>
  <c r="G30" i="13"/>
  <c r="G29" i="13"/>
  <c r="G28" i="13"/>
  <c r="G27" i="13"/>
  <c r="G26" i="13"/>
  <c r="G25" i="13"/>
  <c r="G24" i="13"/>
  <c r="G23" i="13"/>
  <c r="G22" i="13"/>
  <c r="G21" i="13"/>
  <c r="G20" i="13"/>
  <c r="G19" i="13"/>
  <c r="G18" i="13"/>
  <c r="G17" i="13"/>
  <c r="G16" i="13"/>
  <c r="G15" i="13"/>
  <c r="G14" i="13"/>
  <c r="G13" i="13"/>
  <c r="G12" i="13"/>
  <c r="G9" i="13"/>
  <c r="G6" i="13"/>
  <c r="G7" i="13"/>
  <c r="G10" i="13"/>
  <c r="G8" i="13"/>
  <c r="G5" i="13"/>
  <c r="G11" i="13"/>
  <c r="D11" i="23"/>
  <c r="I43" i="23"/>
  <c r="I42" i="23"/>
  <c r="I40" i="23"/>
  <c r="I39" i="23"/>
  <c r="I38" i="23"/>
  <c r="I36" i="23"/>
  <c r="I35" i="23"/>
  <c r="I34" i="23"/>
  <c r="I33" i="23"/>
  <c r="I32" i="23"/>
  <c r="I31" i="23"/>
  <c r="I30" i="23"/>
  <c r="I26" i="23"/>
  <c r="I25" i="23"/>
  <c r="I23" i="23"/>
  <c r="I22" i="23"/>
  <c r="I21" i="23"/>
  <c r="I20" i="23"/>
  <c r="I19" i="23"/>
  <c r="I17" i="23"/>
  <c r="I16" i="23"/>
  <c r="I15" i="23"/>
  <c r="I13" i="23"/>
  <c r="I12" i="23"/>
  <c r="I11" i="23"/>
  <c r="I9" i="23"/>
  <c r="I8" i="23"/>
  <c r="D18" i="20"/>
  <c r="D17" i="20"/>
  <c r="D16" i="20"/>
  <c r="D6" i="20"/>
  <c r="D5" i="20"/>
  <c r="S24" i="21"/>
  <c r="S23" i="21"/>
  <c r="S22" i="21"/>
  <c r="S21" i="21"/>
  <c r="D40" i="23" s="1" a="1"/>
  <c r="D40" i="23" s="1"/>
  <c r="S20" i="21"/>
  <c r="D39" i="23" s="1" a="1"/>
  <c r="D39" i="23" s="1"/>
  <c r="S19" i="21"/>
  <c r="S18" i="21"/>
  <c r="S17" i="21"/>
  <c r="S16" i="21"/>
  <c r="D34" i="23" s="1" a="1"/>
  <c r="D34" i="23" s="1"/>
  <c r="S15" i="21"/>
  <c r="D33" i="23" s="1" a="1"/>
  <c r="D33" i="23" s="1"/>
  <c r="S14" i="21"/>
  <c r="D32" i="23" s="1" a="1"/>
  <c r="D32" i="23" s="1"/>
  <c r="S13" i="21"/>
  <c r="D31" i="23" s="1" a="1"/>
  <c r="D31" i="23" s="1"/>
  <c r="S12" i="21"/>
  <c r="S11" i="21"/>
  <c r="D22" i="23" s="1" a="1"/>
  <c r="D22" i="23" s="1"/>
  <c r="S10" i="21"/>
  <c r="D21" i="23" s="1" a="1"/>
  <c r="D21" i="23" s="1"/>
  <c r="S9" i="21"/>
  <c r="D20" i="23" s="1" a="1"/>
  <c r="D20" i="23" s="1"/>
  <c r="S8" i="21"/>
  <c r="D17" i="23" s="1" a="1"/>
  <c r="D17" i="23" s="1"/>
  <c r="S7" i="21"/>
  <c r="D15" i="23" s="1" a="1"/>
  <c r="D15" i="23" s="1"/>
  <c r="S6" i="21"/>
  <c r="D16" i="23" s="1" a="1"/>
  <c r="D16" i="23" s="1"/>
  <c r="S5" i="21"/>
  <c r="D12" i="23" s="1" a="1"/>
  <c r="D12" i="23" s="1"/>
  <c r="B31" i="17"/>
  <c r="H30" i="17"/>
  <c r="S105" i="26"/>
  <c r="S104" i="26"/>
  <c r="S103" i="26"/>
  <c r="S102" i="26"/>
  <c r="S101" i="26"/>
  <c r="S100" i="26"/>
  <c r="S99" i="26"/>
  <c r="S98" i="26"/>
  <c r="S97" i="26"/>
  <c r="S96" i="26"/>
  <c r="S95" i="26"/>
  <c r="S94" i="26"/>
  <c r="S93" i="26"/>
  <c r="S92" i="26"/>
  <c r="S91" i="26"/>
  <c r="S90" i="26"/>
  <c r="S89" i="26"/>
  <c r="S88" i="26"/>
  <c r="S87" i="26"/>
  <c r="S86" i="26"/>
  <c r="S85" i="26"/>
  <c r="S84" i="26"/>
  <c r="S83" i="26"/>
  <c r="S82" i="26"/>
  <c r="S81" i="26"/>
  <c r="S80" i="26"/>
  <c r="S79" i="26"/>
  <c r="S78" i="26"/>
  <c r="S77" i="26"/>
  <c r="S76" i="26"/>
  <c r="S75" i="26"/>
  <c r="S74" i="26"/>
  <c r="S73" i="26"/>
  <c r="S72" i="26"/>
  <c r="S71" i="26"/>
  <c r="S70" i="26"/>
  <c r="S69" i="26"/>
  <c r="S68" i="26"/>
  <c r="S67" i="26"/>
  <c r="S66" i="26"/>
  <c r="S65" i="26"/>
  <c r="S64" i="26"/>
  <c r="S63" i="26"/>
  <c r="S62" i="26"/>
  <c r="S61" i="26"/>
  <c r="S60" i="26"/>
  <c r="S59" i="26"/>
  <c r="S58" i="26"/>
  <c r="S57" i="26"/>
  <c r="S56" i="26"/>
  <c r="S55" i="26"/>
  <c r="S54" i="26"/>
  <c r="S53" i="26"/>
  <c r="S52" i="26"/>
  <c r="S51" i="26"/>
  <c r="S50" i="26"/>
  <c r="S49" i="26"/>
  <c r="S48" i="26"/>
  <c r="S47" i="26"/>
  <c r="S46" i="26"/>
  <c r="S45" i="26"/>
  <c r="S44" i="26"/>
  <c r="S43" i="26"/>
  <c r="S42" i="26"/>
  <c r="S41" i="26"/>
  <c r="S40" i="26"/>
  <c r="S39" i="26"/>
  <c r="S38" i="26"/>
  <c r="S37" i="26"/>
  <c r="S36" i="26"/>
  <c r="S35" i="26"/>
  <c r="S34" i="26"/>
  <c r="S33" i="26"/>
  <c r="S32" i="26"/>
  <c r="S31" i="26"/>
  <c r="S30" i="26"/>
  <c r="S29" i="26"/>
  <c r="S28" i="26"/>
  <c r="S27" i="26"/>
  <c r="S26" i="26"/>
  <c r="S25" i="26"/>
  <c r="S24" i="26"/>
  <c r="S23" i="26"/>
  <c r="S22" i="26"/>
  <c r="S21" i="26"/>
  <c r="S20" i="26"/>
  <c r="S19" i="26"/>
  <c r="S18" i="26"/>
  <c r="S17" i="26"/>
  <c r="S16" i="26"/>
  <c r="S15" i="26"/>
  <c r="S14" i="26"/>
  <c r="S13" i="26"/>
  <c r="S12" i="26"/>
  <c r="S11" i="26"/>
  <c r="S10" i="26"/>
  <c r="S9" i="26"/>
  <c r="S8" i="26"/>
  <c r="S7" i="26"/>
  <c r="S6" i="26"/>
  <c r="B105" i="26"/>
  <c r="B104" i="26"/>
  <c r="B103" i="26"/>
  <c r="B102" i="26"/>
  <c r="B101" i="26"/>
  <c r="B100" i="26"/>
  <c r="B99" i="26"/>
  <c r="B98" i="26"/>
  <c r="B97" i="26"/>
  <c r="B96" i="26"/>
  <c r="B95" i="26"/>
  <c r="B94" i="26"/>
  <c r="B93" i="26"/>
  <c r="B92" i="26"/>
  <c r="B91" i="26"/>
  <c r="B90" i="26"/>
  <c r="B89" i="26"/>
  <c r="B88" i="26"/>
  <c r="B87" i="26"/>
  <c r="B86" i="26"/>
  <c r="B85" i="26"/>
  <c r="B84" i="26"/>
  <c r="B83" i="26"/>
  <c r="B82" i="26"/>
  <c r="B81" i="26"/>
  <c r="B80" i="26"/>
  <c r="B79" i="26"/>
  <c r="B78" i="26"/>
  <c r="B77" i="26"/>
  <c r="B76" i="26"/>
  <c r="B75" i="26"/>
  <c r="B74" i="26"/>
  <c r="B73" i="26"/>
  <c r="B72" i="26"/>
  <c r="B71" i="26"/>
  <c r="B70" i="26"/>
  <c r="B69" i="26"/>
  <c r="B68" i="26"/>
  <c r="B67" i="26"/>
  <c r="B66" i="26"/>
  <c r="B65" i="26"/>
  <c r="B64" i="26"/>
  <c r="B63" i="26"/>
  <c r="B62" i="26"/>
  <c r="B61" i="26"/>
  <c r="B60" i="26"/>
  <c r="B59" i="26"/>
  <c r="B58" i="26"/>
  <c r="B57" i="26"/>
  <c r="B56" i="26"/>
  <c r="B55" i="26"/>
  <c r="B54" i="26"/>
  <c r="B53" i="26"/>
  <c r="B52" i="26"/>
  <c r="B51" i="26"/>
  <c r="B50" i="26"/>
  <c r="B49" i="26"/>
  <c r="B48" i="26"/>
  <c r="B47" i="26"/>
  <c r="B46" i="26"/>
  <c r="B45" i="26"/>
  <c r="B44" i="26"/>
  <c r="B43" i="26"/>
  <c r="B42"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2" i="26"/>
  <c r="B11" i="26"/>
  <c r="B10" i="26"/>
  <c r="B9" i="26"/>
  <c r="B8" i="26"/>
  <c r="B7" i="26"/>
  <c r="B6" i="26"/>
  <c r="F64" i="13" a="1"/>
  <c r="F64" i="13" s="1"/>
  <c r="F63" i="13" a="1"/>
  <c r="F63" i="13" s="1"/>
  <c r="F62" i="13" a="1"/>
  <c r="F62" i="13" s="1"/>
  <c r="F61" i="13" a="1"/>
  <c r="F61" i="13" s="1"/>
  <c r="F60" i="13" a="1"/>
  <c r="F60" i="13" s="1"/>
  <c r="F59" i="13" a="1"/>
  <c r="F59" i="13" s="1"/>
  <c r="F58" i="13" a="1"/>
  <c r="F58" i="13" s="1"/>
  <c r="F57" i="13" a="1"/>
  <c r="F57" i="13" s="1"/>
  <c r="F56" i="13" a="1"/>
  <c r="F56" i="13" s="1"/>
  <c r="F55" i="13" a="1"/>
  <c r="F55" i="13" s="1"/>
  <c r="F54" i="13" a="1"/>
  <c r="F54" i="13" s="1"/>
  <c r="F53" i="13" a="1"/>
  <c r="F53" i="13" s="1"/>
  <c r="F52" i="13" a="1"/>
  <c r="F52" i="13" s="1"/>
  <c r="F51" i="13" a="1"/>
  <c r="F51" i="13" s="1"/>
  <c r="F50" i="13" a="1"/>
  <c r="F50" i="13" s="1"/>
  <c r="F49" i="13" a="1"/>
  <c r="F49" i="13" s="1"/>
  <c r="F48" i="13" a="1"/>
  <c r="F48" i="13" s="1"/>
  <c r="F47" i="13" a="1"/>
  <c r="F47" i="13" s="1"/>
  <c r="F46" i="13" a="1"/>
  <c r="F46" i="13" s="1"/>
  <c r="F45" i="13" a="1"/>
  <c r="F45" i="13" s="1"/>
  <c r="F44" i="13" a="1"/>
  <c r="F44" i="13" s="1"/>
  <c r="F43" i="13" a="1"/>
  <c r="F43" i="13" s="1"/>
  <c r="F42" i="13" a="1"/>
  <c r="F42" i="13" s="1"/>
  <c r="F41" i="13" a="1"/>
  <c r="F41" i="13" s="1"/>
  <c r="F40" i="13" a="1"/>
  <c r="F40" i="13" s="1"/>
  <c r="F39" i="13" a="1"/>
  <c r="F39" i="13" s="1"/>
  <c r="F38" i="13" a="1"/>
  <c r="F38" i="13" s="1"/>
  <c r="F37" i="13" a="1"/>
  <c r="F37" i="13" s="1"/>
  <c r="F36" i="13" a="1"/>
  <c r="F36" i="13" s="1"/>
  <c r="F35" i="13" a="1"/>
  <c r="F35" i="13" s="1"/>
  <c r="F33" i="13" a="1"/>
  <c r="F33" i="13" s="1"/>
  <c r="F32" i="13" a="1"/>
  <c r="F32" i="13" s="1"/>
  <c r="F31" i="13" a="1"/>
  <c r="F31" i="13" s="1"/>
  <c r="F30" i="13" a="1"/>
  <c r="F30" i="13" s="1"/>
  <c r="F29" i="13" a="1"/>
  <c r="F29" i="13" s="1"/>
  <c r="F28" i="13" a="1"/>
  <c r="F28" i="13" s="1"/>
  <c r="F27" i="13" a="1"/>
  <c r="F27" i="13" s="1"/>
  <c r="F26" i="13" a="1"/>
  <c r="F26" i="13" s="1"/>
  <c r="F25" i="13" a="1"/>
  <c r="F25" i="13" s="1"/>
  <c r="F24" i="13" a="1"/>
  <c r="F24" i="13" s="1"/>
  <c r="F23" i="13" a="1"/>
  <c r="F23" i="13" s="1"/>
  <c r="F22" i="13" a="1"/>
  <c r="F22" i="13" s="1"/>
  <c r="F21" i="13" a="1"/>
  <c r="F21" i="13" s="1"/>
  <c r="F20" i="13" a="1"/>
  <c r="F20" i="13" s="1"/>
  <c r="F19" i="13" a="1"/>
  <c r="F19" i="13" s="1"/>
  <c r="F18" i="13" a="1"/>
  <c r="F18" i="13" s="1"/>
  <c r="F17" i="13" a="1"/>
  <c r="F17" i="13" s="1"/>
  <c r="F16" i="13" a="1"/>
  <c r="F16" i="13" s="1"/>
  <c r="F15" i="13" a="1"/>
  <c r="F15" i="13" s="1"/>
  <c r="F14" i="13" a="1"/>
  <c r="F14" i="13" s="1"/>
  <c r="F13" i="13" a="1"/>
  <c r="F13" i="13" s="1"/>
  <c r="F12" i="13" a="1"/>
  <c r="F12" i="13" s="1"/>
  <c r="E64" i="13" a="1"/>
  <c r="E64" i="13" s="1"/>
  <c r="E63" i="13" a="1"/>
  <c r="E63" i="13" s="1"/>
  <c r="E62" i="13" a="1"/>
  <c r="E62" i="13" s="1"/>
  <c r="E61" i="13" a="1"/>
  <c r="E61" i="13" s="1"/>
  <c r="E60" i="13" a="1"/>
  <c r="E60" i="13" s="1"/>
  <c r="E59" i="13" a="1"/>
  <c r="E59" i="13" s="1"/>
  <c r="E58" i="13" a="1"/>
  <c r="E58" i="13" s="1"/>
  <c r="E57" i="13" a="1"/>
  <c r="E57" i="13" s="1"/>
  <c r="E56" i="13" a="1"/>
  <c r="E56" i="13" s="1"/>
  <c r="E55" i="13" a="1"/>
  <c r="E55" i="13" s="1"/>
  <c r="E54" i="13" a="1"/>
  <c r="E54" i="13" s="1"/>
  <c r="E53" i="13" a="1"/>
  <c r="E53" i="13" s="1"/>
  <c r="E52" i="13" a="1"/>
  <c r="E52" i="13" s="1"/>
  <c r="E51" i="13" a="1"/>
  <c r="E51" i="13" s="1"/>
  <c r="E50" i="13" a="1"/>
  <c r="E50" i="13" s="1"/>
  <c r="E49" i="13" a="1"/>
  <c r="E49" i="13" s="1"/>
  <c r="E48" i="13" a="1"/>
  <c r="E48" i="13" s="1"/>
  <c r="E47" i="13" a="1"/>
  <c r="E47" i="13" s="1"/>
  <c r="E46" i="13" a="1"/>
  <c r="E46" i="13" s="1"/>
  <c r="E45" i="13" a="1"/>
  <c r="E45" i="13" s="1"/>
  <c r="E44" i="13" a="1"/>
  <c r="E44" i="13" s="1"/>
  <c r="E43" i="13" a="1"/>
  <c r="E43" i="13" s="1"/>
  <c r="E42" i="13" a="1"/>
  <c r="E42" i="13" s="1"/>
  <c r="E41" i="13" a="1"/>
  <c r="E41" i="13" s="1"/>
  <c r="E40" i="13" a="1"/>
  <c r="E40" i="13" s="1"/>
  <c r="E39" i="13" a="1"/>
  <c r="E39" i="13" s="1"/>
  <c r="E38" i="13" a="1"/>
  <c r="E38" i="13" s="1"/>
  <c r="E37" i="13" a="1"/>
  <c r="E37" i="13" s="1"/>
  <c r="E36" i="13" a="1"/>
  <c r="E36" i="13" s="1"/>
  <c r="E35" i="13" a="1"/>
  <c r="E35" i="13" s="1"/>
  <c r="E33" i="13" a="1"/>
  <c r="E33" i="13" s="1"/>
  <c r="E32" i="13" a="1"/>
  <c r="E32" i="13" s="1"/>
  <c r="E31" i="13" a="1"/>
  <c r="E31" i="13" s="1"/>
  <c r="E30" i="13" a="1"/>
  <c r="E30" i="13" s="1"/>
  <c r="E29" i="13" a="1"/>
  <c r="E29" i="13" s="1"/>
  <c r="E28" i="13" a="1"/>
  <c r="E28" i="13" s="1"/>
  <c r="E27" i="13" a="1"/>
  <c r="E27" i="13" s="1"/>
  <c r="E26" i="13" a="1"/>
  <c r="E26" i="13" s="1"/>
  <c r="E25" i="13" a="1"/>
  <c r="E25" i="13" s="1"/>
  <c r="E24" i="13" a="1"/>
  <c r="E24" i="13" s="1"/>
  <c r="E23" i="13" a="1"/>
  <c r="E23" i="13" s="1"/>
  <c r="E22" i="13" a="1"/>
  <c r="E22" i="13" s="1"/>
  <c r="E21" i="13" a="1"/>
  <c r="E21" i="13" s="1"/>
  <c r="E20" i="13" a="1"/>
  <c r="E20" i="13" s="1"/>
  <c r="E19" i="13" a="1"/>
  <c r="E19" i="13" s="1"/>
  <c r="E18" i="13" a="1"/>
  <c r="E18" i="13" s="1"/>
  <c r="E17" i="13" a="1"/>
  <c r="E17" i="13" s="1"/>
  <c r="E16" i="13" a="1"/>
  <c r="E16" i="13" s="1"/>
  <c r="E15" i="13" a="1"/>
  <c r="E15" i="13" s="1"/>
  <c r="E14" i="13" a="1"/>
  <c r="E14" i="13" s="1"/>
  <c r="E13" i="13" a="1"/>
  <c r="E13" i="13" s="1"/>
  <c r="E12" i="13" a="1"/>
  <c r="E12" i="13" s="1"/>
  <c r="D64" i="13" a="1"/>
  <c r="D64" i="13" s="1"/>
  <c r="D63" i="13" a="1"/>
  <c r="D63" i="13" s="1"/>
  <c r="D62" i="13" a="1"/>
  <c r="D62" i="13" s="1"/>
  <c r="D61" i="13" a="1"/>
  <c r="D61" i="13" s="1"/>
  <c r="D60" i="13" a="1"/>
  <c r="D60" i="13" s="1"/>
  <c r="D59" i="13" a="1"/>
  <c r="D59" i="13" s="1"/>
  <c r="D58" i="13" a="1"/>
  <c r="D58" i="13" s="1"/>
  <c r="D57" i="13" a="1"/>
  <c r="D57" i="13" s="1"/>
  <c r="D56" i="13" a="1"/>
  <c r="D56" i="13" s="1"/>
  <c r="D55" i="13" a="1"/>
  <c r="D55" i="13" s="1"/>
  <c r="D54" i="13" a="1"/>
  <c r="D54" i="13" s="1"/>
  <c r="D53" i="13" a="1"/>
  <c r="D53" i="13" s="1"/>
  <c r="D52" i="13" a="1"/>
  <c r="D52" i="13" s="1"/>
  <c r="D51" i="13" a="1"/>
  <c r="D51" i="13" s="1"/>
  <c r="D50" i="13" a="1"/>
  <c r="D50" i="13" s="1"/>
  <c r="D49" i="13" a="1"/>
  <c r="D49" i="13" s="1"/>
  <c r="D48" i="13" a="1"/>
  <c r="D48" i="13" s="1"/>
  <c r="D47" i="13" a="1"/>
  <c r="D47" i="13" s="1"/>
  <c r="D46" i="13" a="1"/>
  <c r="D46" i="13" s="1"/>
  <c r="D45" i="13" a="1"/>
  <c r="D45" i="13" s="1"/>
  <c r="D44" i="13" a="1"/>
  <c r="D44" i="13" s="1"/>
  <c r="D43" i="13" a="1"/>
  <c r="D43" i="13" s="1"/>
  <c r="D42" i="13" a="1"/>
  <c r="D42" i="13" s="1"/>
  <c r="D41" i="13" a="1"/>
  <c r="D41" i="13" s="1"/>
  <c r="D40" i="13" a="1"/>
  <c r="D40" i="13" s="1"/>
  <c r="D39" i="13" a="1"/>
  <c r="D39" i="13" s="1"/>
  <c r="D38" i="13" a="1"/>
  <c r="D38" i="13" s="1"/>
  <c r="D37" i="13" a="1"/>
  <c r="D37" i="13" s="1"/>
  <c r="D36" i="13" a="1"/>
  <c r="D36" i="13" s="1"/>
  <c r="D35" i="13" a="1"/>
  <c r="D35" i="13" s="1"/>
  <c r="D33" i="13" a="1"/>
  <c r="D33" i="13" s="1"/>
  <c r="D32" i="13" a="1"/>
  <c r="D32" i="13" s="1"/>
  <c r="D31" i="13" a="1"/>
  <c r="D31" i="13" s="1"/>
  <c r="D30" i="13" a="1"/>
  <c r="D30" i="13" s="1"/>
  <c r="D29" i="13" a="1"/>
  <c r="D29" i="13" s="1"/>
  <c r="D28" i="13" a="1"/>
  <c r="D28" i="13" s="1"/>
  <c r="D27" i="13" a="1"/>
  <c r="D27" i="13" s="1"/>
  <c r="D26" i="13" a="1"/>
  <c r="D26" i="13" s="1"/>
  <c r="D25" i="13" a="1"/>
  <c r="D25" i="13" s="1"/>
  <c r="D24" i="13" a="1"/>
  <c r="D24" i="13" s="1"/>
  <c r="D23" i="13" a="1"/>
  <c r="D23" i="13" s="1"/>
  <c r="D22" i="13" a="1"/>
  <c r="D22" i="13" s="1"/>
  <c r="D21" i="13" a="1"/>
  <c r="D21" i="13" s="1"/>
  <c r="D20" i="13" a="1"/>
  <c r="D20" i="13" s="1"/>
  <c r="D19" i="13" a="1"/>
  <c r="D19" i="13" s="1"/>
  <c r="D18" i="13" a="1"/>
  <c r="D18" i="13" s="1"/>
  <c r="D17" i="13" a="1"/>
  <c r="D17" i="13" s="1"/>
  <c r="D16" i="13" a="1"/>
  <c r="D16" i="13" s="1"/>
  <c r="D15" i="13" a="1"/>
  <c r="D15" i="13" s="1"/>
  <c r="D14" i="13" a="1"/>
  <c r="D14" i="13" s="1"/>
  <c r="D13" i="13" a="1"/>
  <c r="D13" i="13" s="1"/>
  <c r="D12" i="13" a="1"/>
  <c r="D12" i="13" s="1"/>
  <c r="E204" i="9"/>
  <c r="E203" i="9"/>
  <c r="E202" i="9"/>
  <c r="E201" i="9"/>
  <c r="E200" i="9"/>
  <c r="E199" i="9"/>
  <c r="E198" i="9"/>
  <c r="E197" i="9"/>
  <c r="E196" i="9"/>
  <c r="E195" i="9"/>
  <c r="E194" i="9"/>
  <c r="E193" i="9"/>
  <c r="E192" i="9"/>
  <c r="E191" i="9"/>
  <c r="E190" i="9"/>
  <c r="E189" i="9"/>
  <c r="E188" i="9"/>
  <c r="E187" i="9"/>
  <c r="E186" i="9"/>
  <c r="E185" i="9"/>
  <c r="E184" i="9"/>
  <c r="E183" i="9"/>
  <c r="E182" i="9"/>
  <c r="E181" i="9"/>
  <c r="E180" i="9"/>
  <c r="E179" i="9"/>
  <c r="E178" i="9"/>
  <c r="E177" i="9"/>
  <c r="E176" i="9"/>
  <c r="E175" i="9"/>
  <c r="E174" i="9"/>
  <c r="E173" i="9"/>
  <c r="E172" i="9"/>
  <c r="E171" i="9"/>
  <c r="E170" i="9"/>
  <c r="E169" i="9"/>
  <c r="E168" i="9"/>
  <c r="E167" i="9"/>
  <c r="E166" i="9"/>
  <c r="E165" i="9"/>
  <c r="E164" i="9"/>
  <c r="E163" i="9"/>
  <c r="E162" i="9"/>
  <c r="E161" i="9"/>
  <c r="E160" i="9"/>
  <c r="E159" i="9"/>
  <c r="E158" i="9"/>
  <c r="E157" i="9"/>
  <c r="E156" i="9"/>
  <c r="E155" i="9"/>
  <c r="E154" i="9"/>
  <c r="E153" i="9"/>
  <c r="E152" i="9"/>
  <c r="E151" i="9"/>
  <c r="E150" i="9"/>
  <c r="E149" i="9"/>
  <c r="E148" i="9"/>
  <c r="E147" i="9"/>
  <c r="E146" i="9"/>
  <c r="E145" i="9"/>
  <c r="E144" i="9"/>
  <c r="E143" i="9"/>
  <c r="E142" i="9"/>
  <c r="E141" i="9"/>
  <c r="E140" i="9"/>
  <c r="E139" i="9"/>
  <c r="E138" i="9"/>
  <c r="E137" i="9"/>
  <c r="E136" i="9"/>
  <c r="E135" i="9"/>
  <c r="E134" i="9"/>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T209" i="8" l="1"/>
  <c r="T52" i="8"/>
  <c r="T51" i="8"/>
  <c r="T204" i="8"/>
  <c r="T180" i="8"/>
  <c r="T241" i="8"/>
  <c r="T167" i="8"/>
  <c r="Z34" i="11"/>
  <c r="T34" i="11" a="1"/>
  <c r="T34" i="11" s="1"/>
  <c r="T72" i="8"/>
  <c r="T230" i="8"/>
  <c r="T179" i="8"/>
  <c r="T41" i="8"/>
  <c r="T99" i="8"/>
  <c r="T78" i="8"/>
  <c r="T15" i="8"/>
  <c r="T264" i="8"/>
  <c r="T201" i="8"/>
  <c r="T200" i="8"/>
  <c r="T137" i="8"/>
  <c r="T31" i="11" a="1"/>
  <c r="T31" i="11" s="1"/>
  <c r="T32" i="11" a="1"/>
  <c r="T32" i="11" s="1"/>
  <c r="S31" i="11" a="1"/>
  <c r="S31" i="11" s="1"/>
  <c r="T75" i="8"/>
  <c r="S33" i="11" a="1"/>
  <c r="S33" i="11" s="1"/>
  <c r="T243" i="8"/>
  <c r="T138" i="8"/>
  <c r="T73" i="8"/>
  <c r="Z33" i="11"/>
  <c r="T178" i="8"/>
  <c r="T283" i="8"/>
  <c r="T177" i="8"/>
  <c r="T54" i="8"/>
  <c r="T282" i="8"/>
  <c r="T53" i="8"/>
  <c r="T263" i="8"/>
  <c r="T199" i="8"/>
  <c r="T162" i="8"/>
  <c r="T135" i="8"/>
  <c r="T33" i="8"/>
  <c r="Z32" i="11"/>
  <c r="T262" i="8"/>
  <c r="T225" i="8"/>
  <c r="T198" i="8"/>
  <c r="T96" i="8"/>
  <c r="T62" i="8"/>
  <c r="T32" i="8"/>
  <c r="T261" i="8"/>
  <c r="T159" i="8"/>
  <c r="T125" i="8"/>
  <c r="T95" i="8"/>
  <c r="T31" i="8"/>
  <c r="T222" i="8"/>
  <c r="T188" i="8"/>
  <c r="T158" i="8"/>
  <c r="T94" i="8"/>
  <c r="T57" i="8"/>
  <c r="T30" i="8"/>
  <c r="T285" i="8"/>
  <c r="T251" i="8"/>
  <c r="T221" i="8"/>
  <c r="T157" i="8"/>
  <c r="T120" i="8"/>
  <c r="T93" i="8"/>
  <c r="T284" i="8"/>
  <c r="T220" i="8"/>
  <c r="T183" i="8"/>
  <c r="T156" i="8"/>
  <c r="T20" i="8"/>
  <c r="T246" i="8"/>
  <c r="T219" i="8"/>
  <c r="T117" i="8"/>
  <c r="T83" i="8"/>
  <c r="T116" i="8"/>
  <c r="T115" i="8"/>
  <c r="T272" i="8"/>
  <c r="T242" i="8"/>
  <c r="T141" i="8"/>
  <c r="T114" i="8"/>
  <c r="T267" i="8"/>
  <c r="T240" i="8"/>
  <c r="T104" i="8"/>
  <c r="T74" i="8"/>
  <c r="T36" i="8"/>
  <c r="T136" i="8"/>
  <c r="T11" i="8"/>
  <c r="T12" i="8"/>
  <c r="T10" i="8"/>
  <c r="T9" i="8"/>
  <c r="T278" i="8"/>
  <c r="T257" i="8"/>
  <c r="T236" i="8"/>
  <c r="T215" i="8"/>
  <c r="T194" i="8"/>
  <c r="T173" i="8"/>
  <c r="T152" i="8"/>
  <c r="T131" i="8"/>
  <c r="T110" i="8"/>
  <c r="T89" i="8"/>
  <c r="T68" i="8"/>
  <c r="T47" i="8"/>
  <c r="T26" i="8"/>
  <c r="T277" i="8"/>
  <c r="T266" i="8"/>
  <c r="T256" i="8"/>
  <c r="T245" i="8"/>
  <c r="T235" i="8"/>
  <c r="T224" i="8"/>
  <c r="T214" i="8"/>
  <c r="T203" i="8"/>
  <c r="T193" i="8"/>
  <c r="T182" i="8"/>
  <c r="T172" i="8"/>
  <c r="T161" i="8"/>
  <c r="T151" i="8"/>
  <c r="T140" i="8"/>
  <c r="T130" i="8"/>
  <c r="T119" i="8"/>
  <c r="T109" i="8"/>
  <c r="T98" i="8"/>
  <c r="T88" i="8"/>
  <c r="T77" i="8"/>
  <c r="T67" i="8"/>
  <c r="T56" i="8"/>
  <c r="T46" i="8"/>
  <c r="T35" i="8"/>
  <c r="T25" i="8"/>
  <c r="T14" i="8"/>
  <c r="T276" i="8"/>
  <c r="T265" i="8"/>
  <c r="T255" i="8"/>
  <c r="T244" i="8"/>
  <c r="T234" i="8"/>
  <c r="T223" i="8"/>
  <c r="T213" i="8"/>
  <c r="T202" i="8"/>
  <c r="T192" i="8"/>
  <c r="T181" i="8"/>
  <c r="T171" i="8"/>
  <c r="T160" i="8"/>
  <c r="T150" i="8"/>
  <c r="T139" i="8"/>
  <c r="T129" i="8"/>
  <c r="T118" i="8"/>
  <c r="T108" i="8"/>
  <c r="T97" i="8"/>
  <c r="T87" i="8"/>
  <c r="T76" i="8"/>
  <c r="T66" i="8"/>
  <c r="T55" i="8"/>
  <c r="T45" i="8"/>
  <c r="T34" i="8"/>
  <c r="T24" i="8"/>
  <c r="T13" i="8"/>
  <c r="T275" i="8"/>
  <c r="T254" i="8"/>
  <c r="T233" i="8"/>
  <c r="T212" i="8"/>
  <c r="T191" i="8"/>
  <c r="T170" i="8"/>
  <c r="T149" i="8"/>
  <c r="T128" i="8"/>
  <c r="T107" i="8"/>
  <c r="T86" i="8"/>
  <c r="T65" i="8"/>
  <c r="T44" i="8"/>
  <c r="T23" i="8"/>
  <c r="T274" i="8"/>
  <c r="T253" i="8"/>
  <c r="T232" i="8"/>
  <c r="T211" i="8"/>
  <c r="T190" i="8"/>
  <c r="T169" i="8"/>
  <c r="T148" i="8"/>
  <c r="T127" i="8"/>
  <c r="T106" i="8"/>
  <c r="T85" i="8"/>
  <c r="T64" i="8"/>
  <c r="T43" i="8"/>
  <c r="T22" i="8"/>
  <c r="T281" i="8"/>
  <c r="T271" i="8"/>
  <c r="T260" i="8"/>
  <c r="T250" i="8"/>
  <c r="T239" i="8"/>
  <c r="T229" i="8"/>
  <c r="T218" i="8"/>
  <c r="T208" i="8"/>
  <c r="T197" i="8"/>
  <c r="T187" i="8"/>
  <c r="T176" i="8"/>
  <c r="T166" i="8"/>
  <c r="T155" i="8"/>
  <c r="T145" i="8"/>
  <c r="T134" i="8"/>
  <c r="T124" i="8"/>
  <c r="T113" i="8"/>
  <c r="T103" i="8"/>
  <c r="T92" i="8"/>
  <c r="T82" i="8"/>
  <c r="T71" i="8"/>
  <c r="T61" i="8"/>
  <c r="T50" i="8"/>
  <c r="T40" i="8"/>
  <c r="T29" i="8"/>
  <c r="T19" i="8"/>
  <c r="T8" i="8"/>
  <c r="T280" i="8"/>
  <c r="T270" i="8"/>
  <c r="T259" i="8"/>
  <c r="T249" i="8"/>
  <c r="T238" i="8"/>
  <c r="T228" i="8"/>
  <c r="T217" i="8"/>
  <c r="T207" i="8"/>
  <c r="T196" i="8"/>
  <c r="T186" i="8"/>
  <c r="T175" i="8"/>
  <c r="T165" i="8"/>
  <c r="T154" i="8"/>
  <c r="T144" i="8"/>
  <c r="T133" i="8"/>
  <c r="T123" i="8"/>
  <c r="T112" i="8"/>
  <c r="T102" i="8"/>
  <c r="T91" i="8"/>
  <c r="T81" i="8"/>
  <c r="T70" i="8"/>
  <c r="T60" i="8"/>
  <c r="T49" i="8"/>
  <c r="T39" i="8"/>
  <c r="T28" i="8"/>
  <c r="T18" i="8"/>
  <c r="T7" i="8"/>
  <c r="T269" i="8"/>
  <c r="T248" i="8"/>
  <c r="T227" i="8"/>
  <c r="T206" i="8"/>
  <c r="T185" i="8"/>
  <c r="T164" i="8"/>
  <c r="T143" i="8"/>
  <c r="T122" i="8"/>
  <c r="T101" i="8"/>
  <c r="T80" i="8"/>
  <c r="T59" i="8"/>
  <c r="T38" i="8"/>
  <c r="T17" i="8"/>
  <c r="Q31" i="11"/>
  <c r="D19" i="20" a="1"/>
  <c r="D19" i="20" s="1"/>
  <c r="H8" i="17" a="1"/>
  <c r="H8" i="17" s="1"/>
  <c r="B30" i="17"/>
  <c r="E30" i="17"/>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O15" i="5"/>
  <c r="Q105" i="15"/>
  <c r="Q104" i="15"/>
  <c r="Q103" i="15"/>
  <c r="Q102" i="15"/>
  <c r="Q101" i="15"/>
  <c r="Q100" i="15"/>
  <c r="Q99" i="15"/>
  <c r="Q98" i="15"/>
  <c r="Q97" i="15"/>
  <c r="Q96" i="15"/>
  <c r="Q95" i="15"/>
  <c r="Q94" i="15"/>
  <c r="Q93" i="15"/>
  <c r="Q92" i="15"/>
  <c r="Q91" i="15"/>
  <c r="Q90" i="15"/>
  <c r="Q89" i="15"/>
  <c r="Q88" i="15"/>
  <c r="Q87" i="15"/>
  <c r="Q86" i="15"/>
  <c r="Q85" i="15"/>
  <c r="Q84" i="15"/>
  <c r="Q83" i="15"/>
  <c r="Q82" i="15"/>
  <c r="Q81" i="15"/>
  <c r="Q80" i="15"/>
  <c r="Q79" i="15"/>
  <c r="Q78" i="15"/>
  <c r="Q77" i="15"/>
  <c r="Q76" i="15"/>
  <c r="Q75" i="15"/>
  <c r="Q74" i="15"/>
  <c r="Q73" i="15"/>
  <c r="Q72" i="15"/>
  <c r="Q71" i="15"/>
  <c r="Q70" i="15"/>
  <c r="Q69" i="15"/>
  <c r="Q68" i="15"/>
  <c r="Q67" i="15"/>
  <c r="Q66" i="15"/>
  <c r="Q65" i="15"/>
  <c r="Q64" i="15"/>
  <c r="Q63" i="15"/>
  <c r="Q62" i="15"/>
  <c r="Q61" i="15"/>
  <c r="Q60" i="15"/>
  <c r="Q59" i="15"/>
  <c r="Q58" i="15"/>
  <c r="Q57" i="15"/>
  <c r="Q56" i="15"/>
  <c r="Q55" i="15"/>
  <c r="Q54" i="15"/>
  <c r="Q53" i="15"/>
  <c r="Q52" i="15"/>
  <c r="Q51" i="15"/>
  <c r="Q50" i="15"/>
  <c r="Q49" i="15"/>
  <c r="Q48" i="15"/>
  <c r="Q47" i="15"/>
  <c r="Q46" i="15"/>
  <c r="Q45" i="15"/>
  <c r="Q44" i="15"/>
  <c r="Q43" i="15"/>
  <c r="Q42" i="15"/>
  <c r="Q41" i="15"/>
  <c r="Q40" i="15"/>
  <c r="Q39" i="15"/>
  <c r="Q38" i="15"/>
  <c r="Q37" i="15"/>
  <c r="Q36" i="15"/>
  <c r="Q35" i="15"/>
  <c r="Q34" i="15"/>
  <c r="Q33" i="15"/>
  <c r="Q32" i="15"/>
  <c r="Q31" i="15"/>
  <c r="Q30" i="15"/>
  <c r="Q29" i="15"/>
  <c r="Q28" i="15"/>
  <c r="Q27" i="15"/>
  <c r="Q26" i="15"/>
  <c r="Q25" i="15"/>
  <c r="Q24" i="15"/>
  <c r="Q23" i="15"/>
  <c r="Q22" i="15"/>
  <c r="Q21" i="15"/>
  <c r="Q20" i="15"/>
  <c r="Q19" i="15"/>
  <c r="Q18" i="15"/>
  <c r="Q17" i="15"/>
  <c r="Q16" i="15"/>
  <c r="Q15" i="15"/>
  <c r="Q14" i="15"/>
  <c r="Q13" i="15"/>
  <c r="Q12" i="15"/>
  <c r="O105" i="15"/>
  <c r="O104" i="15"/>
  <c r="O103" i="15"/>
  <c r="O102" i="15"/>
  <c r="O101" i="15"/>
  <c r="O100" i="15"/>
  <c r="O99" i="15"/>
  <c r="O98" i="15"/>
  <c r="O97" i="15"/>
  <c r="O96" i="15"/>
  <c r="O95" i="15"/>
  <c r="O94" i="15"/>
  <c r="O93" i="15"/>
  <c r="O92" i="15"/>
  <c r="O91" i="15"/>
  <c r="O90" i="15"/>
  <c r="O89" i="15"/>
  <c r="O88" i="15"/>
  <c r="O87" i="15"/>
  <c r="O86" i="15"/>
  <c r="O85" i="15"/>
  <c r="O84" i="15"/>
  <c r="O83" i="15"/>
  <c r="O82" i="15"/>
  <c r="O81" i="15"/>
  <c r="O80" i="15"/>
  <c r="O79" i="15"/>
  <c r="O78" i="15"/>
  <c r="O77" i="15"/>
  <c r="O76" i="15"/>
  <c r="O75" i="15"/>
  <c r="O74" i="15"/>
  <c r="O73" i="15"/>
  <c r="O72" i="15"/>
  <c r="O71" i="15"/>
  <c r="O70" i="15"/>
  <c r="O69" i="15"/>
  <c r="O68" i="15"/>
  <c r="O67" i="15"/>
  <c r="O66" i="15"/>
  <c r="O65" i="15"/>
  <c r="O64" i="15"/>
  <c r="O63" i="15"/>
  <c r="O62" i="15"/>
  <c r="O61" i="15"/>
  <c r="O60" i="15"/>
  <c r="O59" i="15"/>
  <c r="O58" i="15"/>
  <c r="O57" i="15"/>
  <c r="O56" i="15"/>
  <c r="O55" i="15"/>
  <c r="O54" i="15"/>
  <c r="O53" i="15"/>
  <c r="O52" i="15"/>
  <c r="O51" i="15"/>
  <c r="O50" i="15"/>
  <c r="O49" i="15"/>
  <c r="O48" i="15"/>
  <c r="O47" i="15"/>
  <c r="O46" i="15"/>
  <c r="O45" i="15"/>
  <c r="O44" i="15"/>
  <c r="O43" i="15"/>
  <c r="O42" i="15"/>
  <c r="O41" i="15"/>
  <c r="O40" i="15"/>
  <c r="O39" i="15"/>
  <c r="O38" i="15"/>
  <c r="O37" i="15"/>
  <c r="O36" i="15"/>
  <c r="O35" i="15"/>
  <c r="O34" i="15"/>
  <c r="O33" i="15"/>
  <c r="O32" i="15"/>
  <c r="O31" i="15"/>
  <c r="O30" i="15"/>
  <c r="O29" i="15"/>
  <c r="O28" i="15"/>
  <c r="O27" i="15"/>
  <c r="O26" i="15"/>
  <c r="O25" i="15"/>
  <c r="O24" i="15"/>
  <c r="O23" i="15"/>
  <c r="O22" i="15"/>
  <c r="O21" i="15"/>
  <c r="O20" i="15"/>
  <c r="O19" i="15"/>
  <c r="O18" i="15"/>
  <c r="O17" i="15"/>
  <c r="O16" i="15"/>
  <c r="O15" i="15"/>
  <c r="O14" i="15"/>
  <c r="O13" i="15"/>
  <c r="O12" i="15"/>
  <c r="O11" i="15"/>
  <c r="O10" i="15"/>
  <c r="O9" i="15"/>
  <c r="O8" i="15"/>
  <c r="O7" i="15"/>
  <c r="O6" i="15"/>
  <c r="K105" i="15"/>
  <c r="K104" i="15"/>
  <c r="K103" i="15"/>
  <c r="K102" i="15"/>
  <c r="K101" i="15"/>
  <c r="K100" i="15"/>
  <c r="K99" i="15"/>
  <c r="K98" i="15"/>
  <c r="K97" i="15"/>
  <c r="K96" i="15"/>
  <c r="K95" i="15"/>
  <c r="K94" i="15"/>
  <c r="K93" i="15"/>
  <c r="K92" i="15"/>
  <c r="K91" i="15"/>
  <c r="K90" i="15"/>
  <c r="K89" i="15"/>
  <c r="K88" i="15"/>
  <c r="K87" i="15"/>
  <c r="K86" i="15"/>
  <c r="K85" i="15"/>
  <c r="K84" i="15"/>
  <c r="K83" i="15"/>
  <c r="K82" i="15"/>
  <c r="K81" i="15"/>
  <c r="K80" i="15"/>
  <c r="K79" i="15"/>
  <c r="K78" i="15"/>
  <c r="K77" i="15"/>
  <c r="K76" i="15"/>
  <c r="K75" i="15"/>
  <c r="K74" i="15"/>
  <c r="K73" i="15"/>
  <c r="K72" i="15"/>
  <c r="K71" i="15"/>
  <c r="K70" i="15"/>
  <c r="K69" i="15"/>
  <c r="K68" i="15"/>
  <c r="K67" i="15"/>
  <c r="K66" i="15"/>
  <c r="K65" i="15"/>
  <c r="K64" i="15"/>
  <c r="K63" i="15"/>
  <c r="K62" i="15"/>
  <c r="K61" i="15"/>
  <c r="K60" i="15"/>
  <c r="K59" i="15"/>
  <c r="K58" i="15"/>
  <c r="K57" i="15"/>
  <c r="K56" i="15"/>
  <c r="K55" i="15"/>
  <c r="K54" i="15"/>
  <c r="K53" i="15"/>
  <c r="K52" i="15"/>
  <c r="K51" i="15"/>
  <c r="K50" i="15"/>
  <c r="K49" i="15"/>
  <c r="K48" i="15"/>
  <c r="K47" i="15"/>
  <c r="K46" i="15"/>
  <c r="K45" i="15"/>
  <c r="K44" i="15"/>
  <c r="K43" i="15"/>
  <c r="K42" i="15"/>
  <c r="K41" i="15"/>
  <c r="K40" i="15"/>
  <c r="K39" i="15"/>
  <c r="K38" i="15"/>
  <c r="K37" i="15"/>
  <c r="K36" i="15"/>
  <c r="K35" i="15"/>
  <c r="K34" i="15"/>
  <c r="K33" i="15"/>
  <c r="K32" i="15"/>
  <c r="K31" i="15"/>
  <c r="K30" i="15"/>
  <c r="K29" i="15"/>
  <c r="K28" i="15"/>
  <c r="K27" i="15"/>
  <c r="K26" i="15"/>
  <c r="K25" i="15"/>
  <c r="K24" i="15"/>
  <c r="K23" i="15"/>
  <c r="K22" i="15"/>
  <c r="K21" i="15"/>
  <c r="K20" i="15"/>
  <c r="K19" i="15"/>
  <c r="K18" i="15"/>
  <c r="K17" i="15"/>
  <c r="K16" i="15"/>
  <c r="K15" i="15"/>
  <c r="K14" i="15"/>
  <c r="K13" i="15"/>
  <c r="K12" i="15"/>
  <c r="J105" i="15"/>
  <c r="J104" i="15"/>
  <c r="J103" i="15"/>
  <c r="J102" i="15"/>
  <c r="J101" i="15"/>
  <c r="J100" i="15"/>
  <c r="J99" i="15"/>
  <c r="J98" i="15"/>
  <c r="J97" i="15"/>
  <c r="J96" i="15"/>
  <c r="J95" i="15"/>
  <c r="J94" i="15"/>
  <c r="J93" i="15"/>
  <c r="J92" i="15"/>
  <c r="J91" i="15"/>
  <c r="J90" i="15"/>
  <c r="J89" i="15"/>
  <c r="J88" i="15"/>
  <c r="J87" i="15"/>
  <c r="J86" i="15"/>
  <c r="J85" i="15"/>
  <c r="J84" i="15"/>
  <c r="J83" i="15"/>
  <c r="J82" i="15"/>
  <c r="J81" i="15"/>
  <c r="J80" i="15"/>
  <c r="J79" i="15"/>
  <c r="J78" i="15"/>
  <c r="J77" i="15"/>
  <c r="J76" i="15"/>
  <c r="J75" i="15"/>
  <c r="J74" i="15"/>
  <c r="J73" i="15"/>
  <c r="J72" i="15"/>
  <c r="J71" i="15"/>
  <c r="J70" i="15"/>
  <c r="J69" i="15"/>
  <c r="J68" i="15"/>
  <c r="J67" i="15"/>
  <c r="J66" i="15"/>
  <c r="J65" i="15"/>
  <c r="J64" i="15"/>
  <c r="J63" i="15"/>
  <c r="J62" i="15"/>
  <c r="J61" i="15"/>
  <c r="J60" i="15"/>
  <c r="J59" i="15"/>
  <c r="J58" i="15"/>
  <c r="J57" i="15"/>
  <c r="J56" i="15"/>
  <c r="J55" i="15"/>
  <c r="J54" i="15"/>
  <c r="J53" i="15"/>
  <c r="J52" i="15"/>
  <c r="J51" i="15"/>
  <c r="J50" i="15"/>
  <c r="J49" i="15"/>
  <c r="J48" i="15"/>
  <c r="J47" i="15"/>
  <c r="J46" i="15"/>
  <c r="J45" i="15"/>
  <c r="J44" i="15"/>
  <c r="J43" i="15"/>
  <c r="J42" i="15"/>
  <c r="J41" i="15"/>
  <c r="J40" i="15"/>
  <c r="J39" i="15"/>
  <c r="J38" i="15"/>
  <c r="J37" i="15"/>
  <c r="J36" i="15"/>
  <c r="J35" i="15"/>
  <c r="J34" i="15"/>
  <c r="J33" i="15"/>
  <c r="J32" i="15"/>
  <c r="J31" i="15"/>
  <c r="J30" i="15"/>
  <c r="J29" i="15"/>
  <c r="J28" i="15"/>
  <c r="J27" i="15"/>
  <c r="J26" i="15"/>
  <c r="J25" i="15"/>
  <c r="J24" i="15"/>
  <c r="J23" i="15"/>
  <c r="J22" i="15"/>
  <c r="J21" i="15"/>
  <c r="J20" i="15"/>
  <c r="J19" i="15"/>
  <c r="J18" i="15"/>
  <c r="J17" i="15"/>
  <c r="J16" i="15"/>
  <c r="J15" i="15"/>
  <c r="J14" i="15"/>
  <c r="J13" i="15"/>
  <c r="J12"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9" i="15"/>
  <c r="I28" i="15"/>
  <c r="I27" i="15"/>
  <c r="I26" i="15"/>
  <c r="I25" i="15"/>
  <c r="I24" i="15"/>
  <c r="I23" i="15"/>
  <c r="I22" i="15"/>
  <c r="I21" i="15"/>
  <c r="I20" i="15"/>
  <c r="I19" i="15"/>
  <c r="I18" i="15"/>
  <c r="I17" i="15"/>
  <c r="I16" i="15"/>
  <c r="I15" i="15"/>
  <c r="I14" i="15"/>
  <c r="I13" i="15"/>
  <c r="I12" i="15"/>
  <c r="H105" i="15"/>
  <c r="H104" i="15"/>
  <c r="H103" i="15"/>
  <c r="H102" i="15"/>
  <c r="H101" i="15"/>
  <c r="H100" i="15"/>
  <c r="H99" i="15"/>
  <c r="H98" i="15"/>
  <c r="H97" i="15"/>
  <c r="H96" i="15"/>
  <c r="H95" i="15"/>
  <c r="H94" i="15"/>
  <c r="H93" i="15"/>
  <c r="H92" i="15"/>
  <c r="H91" i="15"/>
  <c r="H90" i="15"/>
  <c r="H89" i="15"/>
  <c r="H88" i="15"/>
  <c r="H87" i="15"/>
  <c r="H86" i="15"/>
  <c r="H85" i="15"/>
  <c r="H84" i="15"/>
  <c r="H83" i="15"/>
  <c r="H82" i="15"/>
  <c r="H81" i="15"/>
  <c r="H80" i="15"/>
  <c r="H79" i="15"/>
  <c r="H78" i="15"/>
  <c r="H77" i="15"/>
  <c r="H76" i="15"/>
  <c r="H75" i="15"/>
  <c r="H74" i="15"/>
  <c r="H73" i="15"/>
  <c r="H72" i="15"/>
  <c r="H71" i="15"/>
  <c r="H70" i="15"/>
  <c r="H69" i="15"/>
  <c r="H68" i="15"/>
  <c r="H67" i="15"/>
  <c r="H66" i="15"/>
  <c r="H65"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G105" i="15"/>
  <c r="G104" i="15"/>
  <c r="G103" i="15"/>
  <c r="G102" i="15"/>
  <c r="G101" i="15"/>
  <c r="G100" i="15"/>
  <c r="G99" i="15"/>
  <c r="G98" i="15"/>
  <c r="G97" i="15"/>
  <c r="G96" i="15"/>
  <c r="G95" i="15"/>
  <c r="G94" i="15"/>
  <c r="G93" i="15"/>
  <c r="G92" i="15"/>
  <c r="G91" i="15"/>
  <c r="G90" i="15"/>
  <c r="G89" i="15"/>
  <c r="G88" i="15"/>
  <c r="G87" i="15"/>
  <c r="G86" i="15"/>
  <c r="G85" i="15"/>
  <c r="G84" i="15"/>
  <c r="G83" i="15"/>
  <c r="G82" i="15"/>
  <c r="G81" i="15"/>
  <c r="G80" i="15"/>
  <c r="G79" i="15"/>
  <c r="G78" i="15"/>
  <c r="G77" i="15"/>
  <c r="G76" i="15"/>
  <c r="G75" i="15"/>
  <c r="G74" i="15"/>
  <c r="G73" i="15"/>
  <c r="G72" i="15"/>
  <c r="G71" i="15"/>
  <c r="G70" i="15"/>
  <c r="G69"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7"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D73" i="15"/>
  <c r="D72" i="15"/>
  <c r="D71" i="15"/>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B53" i="22"/>
  <c r="B54" i="22"/>
  <c r="B55" i="22"/>
  <c r="B56" i="22"/>
  <c r="B57" i="22"/>
  <c r="B58" i="22"/>
  <c r="B59" i="22"/>
  <c r="B60" i="22"/>
  <c r="B61" i="22"/>
  <c r="B62" i="22"/>
  <c r="B63" i="22"/>
  <c r="B64" i="22"/>
  <c r="B65" i="22"/>
  <c r="B66" i="22"/>
  <c r="B67" i="22"/>
  <c r="B68" i="22"/>
  <c r="B69" i="22"/>
  <c r="B70" i="22"/>
  <c r="B71" i="22"/>
  <c r="B72" i="22"/>
  <c r="B73" i="22"/>
  <c r="B74" i="22"/>
  <c r="B75" i="22"/>
  <c r="B76" i="22"/>
  <c r="B77" i="22"/>
  <c r="B78" i="22"/>
  <c r="B79" i="22"/>
  <c r="B80" i="22"/>
  <c r="B81" i="22"/>
  <c r="B82" i="22"/>
  <c r="B83" i="22"/>
  <c r="B84" i="22"/>
  <c r="B85" i="22"/>
  <c r="B86" i="22"/>
  <c r="B87" i="22"/>
  <c r="B88" i="22"/>
  <c r="B89" i="22"/>
  <c r="B90" i="22"/>
  <c r="B91" i="22"/>
  <c r="B92" i="22"/>
  <c r="B93" i="22"/>
  <c r="B94" i="22"/>
  <c r="B95" i="22"/>
  <c r="B96" i="22"/>
  <c r="B97" i="22"/>
  <c r="B98" i="22"/>
  <c r="B99" i="22"/>
  <c r="B100" i="22"/>
  <c r="B101" i="22"/>
  <c r="B102" i="22"/>
  <c r="B103" i="22"/>
  <c r="B104" i="22"/>
  <c r="B105" i="22"/>
  <c r="B106" i="22"/>
  <c r="B107" i="22"/>
  <c r="B108" i="22"/>
  <c r="B109" i="22"/>
  <c r="B110" i="22"/>
  <c r="B111" i="22"/>
  <c r="B112" i="22"/>
  <c r="B113" i="22"/>
  <c r="B114" i="22"/>
  <c r="B115" i="22"/>
  <c r="B116" i="22"/>
  <c r="B117" i="22"/>
  <c r="B118" i="22"/>
  <c r="B119" i="22"/>
  <c r="B120" i="22"/>
  <c r="B121" i="22"/>
  <c r="B122" i="22"/>
  <c r="B123" i="22"/>
  <c r="B124" i="22"/>
  <c r="B125" i="22"/>
  <c r="B126" i="22"/>
  <c r="B127" i="22"/>
  <c r="B128" i="22"/>
  <c r="B129" i="22"/>
  <c r="B130" i="22"/>
  <c r="B131" i="22"/>
  <c r="B132" i="22"/>
  <c r="B133" i="22"/>
  <c r="B134" i="22"/>
  <c r="B135" i="22"/>
  <c r="B136" i="22"/>
  <c r="B137" i="22"/>
  <c r="B138" i="22"/>
  <c r="B139" i="22"/>
  <c r="B140" i="22"/>
  <c r="B141" i="22"/>
  <c r="B142" i="22"/>
  <c r="B143" i="22"/>
  <c r="B144" i="22"/>
  <c r="B145" i="22"/>
  <c r="B146" i="22"/>
  <c r="B147" i="22"/>
  <c r="B148" i="22"/>
  <c r="B149" i="22"/>
  <c r="B150" i="22"/>
  <c r="B151" i="22"/>
  <c r="B152" i="22"/>
  <c r="B153" i="22"/>
  <c r="B154" i="22"/>
  <c r="B155" i="22"/>
  <c r="B156" i="22"/>
  <c r="B157" i="22"/>
  <c r="B158" i="22"/>
  <c r="B159" i="22"/>
  <c r="B160" i="22"/>
  <c r="B161" i="22"/>
  <c r="B162" i="22"/>
  <c r="B163" i="22"/>
  <c r="B164" i="22"/>
  <c r="B165" i="22"/>
  <c r="B166" i="22"/>
  <c r="B167" i="22"/>
  <c r="B168" i="22"/>
  <c r="B169" i="22"/>
  <c r="B170" i="22"/>
  <c r="B171" i="22"/>
  <c r="B172" i="22"/>
  <c r="B173" i="22"/>
  <c r="B174" i="22"/>
  <c r="B175" i="22"/>
  <c r="B176" i="22"/>
  <c r="B177" i="22"/>
  <c r="B178" i="22"/>
  <c r="B179" i="22"/>
  <c r="B180" i="22"/>
  <c r="B181" i="22"/>
  <c r="B182" i="22"/>
  <c r="B183" i="22"/>
  <c r="B184" i="22"/>
  <c r="B185" i="22"/>
  <c r="B186" i="22"/>
  <c r="B187" i="22"/>
  <c r="B188" i="22"/>
  <c r="B189" i="22"/>
  <c r="B190" i="22"/>
  <c r="B191" i="22"/>
  <c r="B192" i="22"/>
  <c r="B193" i="22"/>
  <c r="B194" i="22"/>
  <c r="B195" i="22"/>
  <c r="B196" i="22"/>
  <c r="B197" i="22"/>
  <c r="B198" i="22"/>
  <c r="B199" i="22"/>
  <c r="B200" i="22"/>
  <c r="B201" i="22"/>
  <c r="B202" i="22"/>
  <c r="B203" i="22"/>
  <c r="B204"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8" i="22"/>
  <c r="A39" i="22"/>
  <c r="A40" i="22"/>
  <c r="A41" i="22"/>
  <c r="A42" i="22"/>
  <c r="A43" i="22"/>
  <c r="A44" i="22"/>
  <c r="A45" i="22"/>
  <c r="A46" i="22"/>
  <c r="A47" i="22"/>
  <c r="A48" i="22"/>
  <c r="A49" i="22"/>
  <c r="A50" i="22"/>
  <c r="A51" i="22"/>
  <c r="A52" i="22"/>
  <c r="A53" i="22"/>
  <c r="A54" i="22"/>
  <c r="A55" i="22"/>
  <c r="A56" i="22"/>
  <c r="A57" i="22"/>
  <c r="A58" i="22"/>
  <c r="A59" i="22"/>
  <c r="A60" i="22"/>
  <c r="A61" i="22"/>
  <c r="A62" i="22"/>
  <c r="A63" i="22"/>
  <c r="A64" i="22"/>
  <c r="A65" i="22"/>
  <c r="A66" i="22"/>
  <c r="A67" i="22"/>
  <c r="A68" i="22"/>
  <c r="A69" i="22"/>
  <c r="A70" i="22"/>
  <c r="A71" i="22"/>
  <c r="A72" i="22"/>
  <c r="A73" i="22"/>
  <c r="A74" i="22"/>
  <c r="A75" i="22"/>
  <c r="A76" i="22"/>
  <c r="A77" i="22"/>
  <c r="A78" i="22"/>
  <c r="A79" i="22"/>
  <c r="A80" i="22"/>
  <c r="A81" i="22"/>
  <c r="A82" i="22"/>
  <c r="A83" i="22"/>
  <c r="A84" i="22"/>
  <c r="A85" i="22"/>
  <c r="A86" i="22"/>
  <c r="A87" i="22"/>
  <c r="A88" i="22"/>
  <c r="A89" i="22"/>
  <c r="A90" i="22"/>
  <c r="A91" i="22"/>
  <c r="A92" i="22"/>
  <c r="A93" i="22"/>
  <c r="A94" i="22"/>
  <c r="A95" i="22"/>
  <c r="A96" i="22"/>
  <c r="A97" i="22"/>
  <c r="A98" i="22"/>
  <c r="A99" i="22"/>
  <c r="A100" i="22"/>
  <c r="A101" i="22"/>
  <c r="A102" i="22"/>
  <c r="A103" i="22"/>
  <c r="A104" i="22"/>
  <c r="A105" i="22"/>
  <c r="A106" i="22"/>
  <c r="A107" i="22"/>
  <c r="A108" i="22"/>
  <c r="A109" i="22"/>
  <c r="A110" i="22"/>
  <c r="A111" i="22"/>
  <c r="A112" i="22"/>
  <c r="A113" i="22"/>
  <c r="A114" i="22"/>
  <c r="A115" i="22"/>
  <c r="A116" i="22"/>
  <c r="A117" i="22"/>
  <c r="A118" i="22"/>
  <c r="A119" i="22"/>
  <c r="A120" i="22"/>
  <c r="A121" i="22"/>
  <c r="A122" i="22"/>
  <c r="A123" i="22"/>
  <c r="A124" i="22"/>
  <c r="A125" i="22"/>
  <c r="A126" i="22"/>
  <c r="A127" i="22"/>
  <c r="A128" i="22"/>
  <c r="A129" i="22"/>
  <c r="A130" i="22"/>
  <c r="A131" i="22"/>
  <c r="A132" i="22"/>
  <c r="A133" i="22"/>
  <c r="A134" i="22"/>
  <c r="A135" i="22"/>
  <c r="A136" i="22"/>
  <c r="A137" i="22"/>
  <c r="A138" i="22"/>
  <c r="A139" i="22"/>
  <c r="A140" i="22"/>
  <c r="A141" i="22"/>
  <c r="A142" i="22"/>
  <c r="A143" i="22"/>
  <c r="A144" i="22"/>
  <c r="A145" i="22"/>
  <c r="A146" i="22"/>
  <c r="A147" i="22"/>
  <c r="A148" i="22"/>
  <c r="A149" i="22"/>
  <c r="A150" i="22"/>
  <c r="A151" i="22"/>
  <c r="A152" i="22"/>
  <c r="A153" i="22"/>
  <c r="A154" i="22"/>
  <c r="A155" i="22"/>
  <c r="A156" i="22"/>
  <c r="A157" i="22"/>
  <c r="A158" i="22"/>
  <c r="A159" i="22"/>
  <c r="A160" i="22"/>
  <c r="A161" i="22"/>
  <c r="A162" i="22"/>
  <c r="A163" i="22"/>
  <c r="A164" i="22"/>
  <c r="A165" i="22"/>
  <c r="A166" i="22"/>
  <c r="A167" i="22"/>
  <c r="A168" i="22"/>
  <c r="A169" i="22"/>
  <c r="A170" i="22"/>
  <c r="A171" i="22"/>
  <c r="A172" i="22"/>
  <c r="A173" i="22"/>
  <c r="A174" i="22"/>
  <c r="A175" i="22"/>
  <c r="A176" i="22"/>
  <c r="A177" i="22"/>
  <c r="A178" i="22"/>
  <c r="A179" i="22"/>
  <c r="A180" i="22"/>
  <c r="A181" i="22"/>
  <c r="A182" i="22"/>
  <c r="A183" i="22"/>
  <c r="A184" i="22"/>
  <c r="A185" i="22"/>
  <c r="A186" i="22"/>
  <c r="A187" i="22"/>
  <c r="A188" i="22"/>
  <c r="A189" i="22"/>
  <c r="A190" i="22"/>
  <c r="A191" i="22"/>
  <c r="A192" i="22"/>
  <c r="A193" i="22"/>
  <c r="A194" i="22"/>
  <c r="A195" i="22"/>
  <c r="A196" i="22"/>
  <c r="A197" i="22"/>
  <c r="A198" i="22"/>
  <c r="A199" i="22"/>
  <c r="A200" i="22"/>
  <c r="A201" i="22"/>
  <c r="A202" i="22"/>
  <c r="A203" i="22"/>
  <c r="A204" i="22"/>
  <c r="A5" i="22"/>
  <c r="Q204" i="22"/>
  <c r="Q203" i="22"/>
  <c r="Q202" i="22"/>
  <c r="Q201" i="22"/>
  <c r="Q200" i="22"/>
  <c r="Q199" i="22"/>
  <c r="Q198" i="22"/>
  <c r="Q197" i="22"/>
  <c r="Q196" i="22"/>
  <c r="Q195" i="22"/>
  <c r="Q194" i="22"/>
  <c r="Q193" i="22"/>
  <c r="Q192" i="22"/>
  <c r="Q191" i="22"/>
  <c r="Q190" i="22"/>
  <c r="Q189" i="22"/>
  <c r="Q188" i="22"/>
  <c r="Q187" i="22"/>
  <c r="Q186" i="22"/>
  <c r="Q185" i="22"/>
  <c r="Q184" i="22"/>
  <c r="Q183" i="22"/>
  <c r="Q182" i="22"/>
  <c r="Q181" i="22"/>
  <c r="Q180" i="22"/>
  <c r="Q179" i="22"/>
  <c r="Q178" i="22"/>
  <c r="Q177" i="22"/>
  <c r="Q176" i="22"/>
  <c r="Q175" i="22"/>
  <c r="Q174" i="22"/>
  <c r="Q173" i="22"/>
  <c r="Q172" i="22"/>
  <c r="Q171" i="22"/>
  <c r="Q170" i="22"/>
  <c r="Q169" i="22"/>
  <c r="Q168" i="22"/>
  <c r="Q167" i="22"/>
  <c r="Q166" i="22"/>
  <c r="Q165" i="22"/>
  <c r="Q164" i="22"/>
  <c r="Q163" i="22"/>
  <c r="Q162" i="22"/>
  <c r="Q161" i="22"/>
  <c r="Q160" i="22"/>
  <c r="Q159" i="22"/>
  <c r="Q158" i="22"/>
  <c r="Q157" i="22"/>
  <c r="Q156" i="22"/>
  <c r="Q155" i="22"/>
  <c r="Q154" i="22"/>
  <c r="Q153" i="22"/>
  <c r="Q152" i="22"/>
  <c r="Q151" i="22"/>
  <c r="Q150" i="22"/>
  <c r="Q149" i="22"/>
  <c r="Q148" i="22"/>
  <c r="Q147" i="22"/>
  <c r="Q146" i="22"/>
  <c r="Q145" i="22"/>
  <c r="Q144" i="22"/>
  <c r="Q143" i="22"/>
  <c r="Q142" i="22"/>
  <c r="Q141" i="22"/>
  <c r="Q140" i="22"/>
  <c r="Q139" i="22"/>
  <c r="Q138" i="22"/>
  <c r="Q137" i="22"/>
  <c r="Q136" i="22"/>
  <c r="Q135" i="22"/>
  <c r="Q134" i="22"/>
  <c r="Q133" i="22"/>
  <c r="Q132" i="22"/>
  <c r="Q131" i="22"/>
  <c r="Q130" i="22"/>
  <c r="Q129" i="22"/>
  <c r="Q128" i="22"/>
  <c r="Q127" i="22"/>
  <c r="Q126" i="22"/>
  <c r="Q125" i="22"/>
  <c r="Q124" i="22"/>
  <c r="Q123" i="22"/>
  <c r="Q122" i="22"/>
  <c r="Q121" i="22"/>
  <c r="Q120" i="22"/>
  <c r="Q119" i="22"/>
  <c r="Q118" i="22"/>
  <c r="Q117" i="22"/>
  <c r="Q116" i="22"/>
  <c r="Q115" i="22"/>
  <c r="Q114" i="22"/>
  <c r="Q113" i="22"/>
  <c r="Q112" i="22"/>
  <c r="Q111" i="22"/>
  <c r="Q110" i="22"/>
  <c r="Q109" i="22"/>
  <c r="Q108" i="22"/>
  <c r="Q107" i="22"/>
  <c r="Q106" i="22"/>
  <c r="Q105" i="22"/>
  <c r="Q104" i="22"/>
  <c r="Q103" i="22"/>
  <c r="Q102" i="22"/>
  <c r="Q101" i="22"/>
  <c r="Q100" i="22"/>
  <c r="Q99" i="22"/>
  <c r="Q98" i="22"/>
  <c r="Q97" i="22"/>
  <c r="Q96" i="22"/>
  <c r="Q95" i="22"/>
  <c r="Q94" i="22"/>
  <c r="Q93" i="22"/>
  <c r="Q92" i="22"/>
  <c r="Q91" i="22"/>
  <c r="Q90" i="22"/>
  <c r="Q89" i="22"/>
  <c r="Q88" i="22"/>
  <c r="Q87" i="22"/>
  <c r="Q86" i="22"/>
  <c r="Q85" i="22"/>
  <c r="Q84" i="22"/>
  <c r="Q83" i="22"/>
  <c r="Q82" i="22"/>
  <c r="Q81" i="22"/>
  <c r="Q80" i="22"/>
  <c r="Q79" i="22"/>
  <c r="Q78" i="22"/>
  <c r="Q77" i="22"/>
  <c r="Q76" i="22"/>
  <c r="Q75" i="22"/>
  <c r="Q74" i="22"/>
  <c r="Q73" i="22"/>
  <c r="Q72" i="22"/>
  <c r="Q71" i="22"/>
  <c r="Q70" i="22"/>
  <c r="Q69" i="22"/>
  <c r="Q68" i="22"/>
  <c r="Q67" i="22"/>
  <c r="Q66" i="22"/>
  <c r="Q65" i="22"/>
  <c r="Q64" i="22"/>
  <c r="Q63" i="22"/>
  <c r="Q62" i="22"/>
  <c r="Q61" i="22"/>
  <c r="Q60" i="22"/>
  <c r="Q59" i="22"/>
  <c r="Q58" i="22"/>
  <c r="Q57" i="22"/>
  <c r="Q56" i="22"/>
  <c r="Q55" i="22"/>
  <c r="Q54" i="22"/>
  <c r="Q53" i="22"/>
  <c r="Q52" i="22"/>
  <c r="Q51" i="22"/>
  <c r="Q50" i="22"/>
  <c r="Q49" i="22"/>
  <c r="Q48" i="22"/>
  <c r="Q47" i="22"/>
  <c r="Q46" i="22"/>
  <c r="Q45" i="22"/>
  <c r="Q44" i="22"/>
  <c r="Q43" i="22"/>
  <c r="Q42" i="22"/>
  <c r="Q41" i="22"/>
  <c r="Q40" i="22"/>
  <c r="Q39" i="22"/>
  <c r="Q38" i="22"/>
  <c r="Q37" i="22"/>
  <c r="Q36" i="22"/>
  <c r="Q35" i="22"/>
  <c r="Q34" i="22"/>
  <c r="Q33" i="22"/>
  <c r="Q32" i="22"/>
  <c r="Q31" i="22"/>
  <c r="Q30" i="22"/>
  <c r="Q29" i="22"/>
  <c r="Q28" i="22"/>
  <c r="Q27" i="22"/>
  <c r="Q26" i="22"/>
  <c r="Q25" i="22"/>
  <c r="Q24" i="22"/>
  <c r="Q23" i="22"/>
  <c r="Q22" i="22"/>
  <c r="Q21" i="22"/>
  <c r="Q20" i="22"/>
  <c r="Q19" i="22"/>
  <c r="Q18" i="22"/>
  <c r="Q17" i="22"/>
  <c r="Q16" i="22"/>
  <c r="Q15" i="22"/>
  <c r="Q14" i="22"/>
  <c r="Q13" i="22"/>
  <c r="Q12" i="22"/>
  <c r="Q11" i="22"/>
  <c r="Q10" i="22"/>
  <c r="Q9" i="22"/>
  <c r="Q8" i="22"/>
  <c r="Q7" i="22"/>
  <c r="Q6" i="22"/>
  <c r="Q5" i="22"/>
  <c r="T204" i="22"/>
  <c r="T203" i="22"/>
  <c r="T202" i="22"/>
  <c r="T201" i="22"/>
  <c r="T200" i="22"/>
  <c r="T199" i="22"/>
  <c r="T198" i="22"/>
  <c r="T197" i="22"/>
  <c r="T196" i="22"/>
  <c r="T195" i="22"/>
  <c r="T194" i="22"/>
  <c r="T193" i="22"/>
  <c r="T192" i="22"/>
  <c r="T191" i="22"/>
  <c r="T190" i="22"/>
  <c r="T189" i="22"/>
  <c r="T188" i="22"/>
  <c r="T187" i="22"/>
  <c r="T186" i="22"/>
  <c r="T185" i="22"/>
  <c r="T184" i="22"/>
  <c r="T183" i="22"/>
  <c r="T182" i="22"/>
  <c r="T181" i="22"/>
  <c r="T180" i="22"/>
  <c r="T179" i="22"/>
  <c r="T178" i="22"/>
  <c r="T177" i="22"/>
  <c r="T176" i="22"/>
  <c r="T175" i="22"/>
  <c r="T174" i="22"/>
  <c r="T173" i="22"/>
  <c r="T172" i="22"/>
  <c r="T171" i="22"/>
  <c r="T170" i="22"/>
  <c r="T169" i="22"/>
  <c r="T168" i="22"/>
  <c r="T167" i="22"/>
  <c r="T166" i="22"/>
  <c r="T165" i="22"/>
  <c r="T164" i="22"/>
  <c r="T163" i="22"/>
  <c r="T162" i="22"/>
  <c r="T161" i="22"/>
  <c r="T160" i="22"/>
  <c r="T159" i="22"/>
  <c r="T158" i="22"/>
  <c r="T157" i="22"/>
  <c r="T156" i="22"/>
  <c r="T155" i="22"/>
  <c r="T154" i="22"/>
  <c r="T153" i="22"/>
  <c r="T152" i="22"/>
  <c r="T151" i="22"/>
  <c r="T150" i="22"/>
  <c r="T149" i="22"/>
  <c r="T148" i="22"/>
  <c r="T147" i="22"/>
  <c r="T146" i="22"/>
  <c r="T145" i="22"/>
  <c r="T144" i="22"/>
  <c r="T143" i="22"/>
  <c r="T142" i="22"/>
  <c r="T141" i="22"/>
  <c r="T140" i="22"/>
  <c r="T139" i="22"/>
  <c r="T138" i="22"/>
  <c r="T137" i="22"/>
  <c r="T136" i="22"/>
  <c r="T135" i="22"/>
  <c r="T134" i="22"/>
  <c r="T133" i="22"/>
  <c r="T132" i="22"/>
  <c r="T131" i="22"/>
  <c r="T130" i="22"/>
  <c r="T129" i="22"/>
  <c r="T128" i="22"/>
  <c r="T127" i="22"/>
  <c r="T126" i="22"/>
  <c r="T125" i="22"/>
  <c r="T124" i="22"/>
  <c r="T123" i="22"/>
  <c r="T122" i="22"/>
  <c r="T121" i="22"/>
  <c r="T120" i="22"/>
  <c r="T119" i="22"/>
  <c r="T118" i="22"/>
  <c r="T117" i="22"/>
  <c r="T116" i="22"/>
  <c r="T115" i="22"/>
  <c r="T114" i="22"/>
  <c r="T113" i="22"/>
  <c r="T112" i="22"/>
  <c r="T111" i="22"/>
  <c r="T110" i="22"/>
  <c r="T109" i="22"/>
  <c r="T108" i="22"/>
  <c r="T107" i="22"/>
  <c r="T106" i="22"/>
  <c r="T105" i="22"/>
  <c r="T104" i="22"/>
  <c r="T103" i="22"/>
  <c r="T102" i="22"/>
  <c r="T101" i="22"/>
  <c r="T100" i="22"/>
  <c r="T99" i="22"/>
  <c r="T98" i="22"/>
  <c r="T97" i="22"/>
  <c r="T96" i="22"/>
  <c r="T95" i="22"/>
  <c r="T94" i="22"/>
  <c r="T93" i="22"/>
  <c r="T92" i="22"/>
  <c r="T91" i="22"/>
  <c r="T90" i="22"/>
  <c r="T89" i="22"/>
  <c r="T88" i="22"/>
  <c r="T87" i="22"/>
  <c r="T86" i="22"/>
  <c r="T85" i="22"/>
  <c r="T84" i="22"/>
  <c r="T83" i="22"/>
  <c r="T82" i="22"/>
  <c r="T81" i="22"/>
  <c r="T80" i="22"/>
  <c r="T79" i="22"/>
  <c r="T78" i="22"/>
  <c r="T77" i="22"/>
  <c r="T76" i="22"/>
  <c r="T75" i="22"/>
  <c r="T74" i="22"/>
  <c r="T73" i="22"/>
  <c r="T72" i="22"/>
  <c r="T71" i="22"/>
  <c r="T70" i="22"/>
  <c r="T69" i="22"/>
  <c r="T68" i="22"/>
  <c r="T67" i="22"/>
  <c r="T66" i="22"/>
  <c r="T65" i="22"/>
  <c r="T64" i="22"/>
  <c r="T63" i="22"/>
  <c r="T62" i="22"/>
  <c r="T61" i="22"/>
  <c r="T60" i="22"/>
  <c r="T59" i="22"/>
  <c r="T58" i="22"/>
  <c r="T57" i="22"/>
  <c r="T56" i="22"/>
  <c r="T55" i="22"/>
  <c r="T54" i="22"/>
  <c r="T53" i="22"/>
  <c r="T52" i="22"/>
  <c r="T51" i="22"/>
  <c r="T50" i="22"/>
  <c r="T49" i="22"/>
  <c r="T48" i="22"/>
  <c r="T47" i="22"/>
  <c r="T46" i="22"/>
  <c r="T45" i="22"/>
  <c r="T44" i="22"/>
  <c r="T43" i="22"/>
  <c r="T42" i="22"/>
  <c r="T41" i="22"/>
  <c r="T40" i="22"/>
  <c r="T39" i="22"/>
  <c r="T38" i="22"/>
  <c r="T37" i="22"/>
  <c r="T36" i="22"/>
  <c r="T35" i="22"/>
  <c r="T34" i="22"/>
  <c r="T33" i="22"/>
  <c r="T32" i="22"/>
  <c r="T31" i="22"/>
  <c r="T30" i="22"/>
  <c r="T29" i="22"/>
  <c r="T28" i="22"/>
  <c r="T27" i="22"/>
  <c r="T26" i="22"/>
  <c r="T25" i="22"/>
  <c r="T24" i="22"/>
  <c r="T23" i="22"/>
  <c r="T22" i="22"/>
  <c r="T21" i="22"/>
  <c r="T20" i="22"/>
  <c r="T19" i="22"/>
  <c r="T18" i="22"/>
  <c r="T17" i="22"/>
  <c r="T16" i="22"/>
  <c r="T15" i="22"/>
  <c r="T14" i="22"/>
  <c r="T13" i="22"/>
  <c r="T12" i="22"/>
  <c r="T11" i="22"/>
  <c r="T10" i="22"/>
  <c r="T9" i="22"/>
  <c r="T8" i="22"/>
  <c r="T7" i="22"/>
  <c r="T6" i="22"/>
  <c r="T5" i="22"/>
  <c r="S204" i="22"/>
  <c r="S203" i="22"/>
  <c r="S202" i="22"/>
  <c r="S201" i="22"/>
  <c r="S200" i="22"/>
  <c r="S199" i="22"/>
  <c r="S198" i="22"/>
  <c r="S197" i="22"/>
  <c r="S196" i="22"/>
  <c r="S195" i="22"/>
  <c r="S194" i="22"/>
  <c r="S193" i="22"/>
  <c r="S192" i="22"/>
  <c r="S191" i="22"/>
  <c r="S190" i="22"/>
  <c r="S189" i="22"/>
  <c r="S188" i="22"/>
  <c r="S187" i="22"/>
  <c r="S186" i="22"/>
  <c r="S185" i="22"/>
  <c r="S184" i="22"/>
  <c r="S183" i="22"/>
  <c r="S182" i="22"/>
  <c r="S181" i="22"/>
  <c r="S180" i="22"/>
  <c r="S179" i="22"/>
  <c r="S178" i="22"/>
  <c r="S177" i="22"/>
  <c r="S176" i="22"/>
  <c r="S175" i="22"/>
  <c r="S174" i="22"/>
  <c r="S173" i="22"/>
  <c r="S172" i="22"/>
  <c r="S171" i="22"/>
  <c r="S170" i="22"/>
  <c r="S169" i="22"/>
  <c r="S168" i="22"/>
  <c r="S167" i="22"/>
  <c r="S166" i="22"/>
  <c r="S165" i="22"/>
  <c r="S164" i="22"/>
  <c r="S163" i="22"/>
  <c r="S162" i="22"/>
  <c r="S161" i="22"/>
  <c r="S160" i="22"/>
  <c r="S159" i="22"/>
  <c r="S158" i="22"/>
  <c r="S157" i="22"/>
  <c r="S156" i="22"/>
  <c r="S155" i="22"/>
  <c r="S154" i="22"/>
  <c r="S153" i="22"/>
  <c r="S152" i="22"/>
  <c r="S151" i="22"/>
  <c r="S150" i="22"/>
  <c r="S149" i="22"/>
  <c r="S148" i="22"/>
  <c r="S147" i="22"/>
  <c r="S146" i="22"/>
  <c r="S145" i="22"/>
  <c r="S144" i="22"/>
  <c r="S143" i="22"/>
  <c r="S142" i="22"/>
  <c r="S141" i="22"/>
  <c r="S140" i="22"/>
  <c r="S139" i="22"/>
  <c r="S138" i="22"/>
  <c r="S137" i="22"/>
  <c r="S136" i="22"/>
  <c r="S135" i="22"/>
  <c r="S134" i="22"/>
  <c r="S133" i="22"/>
  <c r="S132" i="22"/>
  <c r="S131" i="22"/>
  <c r="S130" i="22"/>
  <c r="S129" i="22"/>
  <c r="S128" i="22"/>
  <c r="S127" i="22"/>
  <c r="S126" i="22"/>
  <c r="S125" i="22"/>
  <c r="S124" i="22"/>
  <c r="S123" i="22"/>
  <c r="S122" i="22"/>
  <c r="S121" i="22"/>
  <c r="S120" i="22"/>
  <c r="S119" i="22"/>
  <c r="S118" i="22"/>
  <c r="S117" i="22"/>
  <c r="S116" i="22"/>
  <c r="S115" i="22"/>
  <c r="S114" i="22"/>
  <c r="S113" i="22"/>
  <c r="S112" i="22"/>
  <c r="S111" i="22"/>
  <c r="S110" i="22"/>
  <c r="S109" i="22"/>
  <c r="S108" i="22"/>
  <c r="S107" i="22"/>
  <c r="S106" i="22"/>
  <c r="S105" i="22"/>
  <c r="S104" i="22"/>
  <c r="S103" i="22"/>
  <c r="S102" i="22"/>
  <c r="S101" i="22"/>
  <c r="S100" i="22"/>
  <c r="S99" i="22"/>
  <c r="S98" i="22"/>
  <c r="S97" i="22"/>
  <c r="S96" i="22"/>
  <c r="S95" i="22"/>
  <c r="S94" i="22"/>
  <c r="S93" i="22"/>
  <c r="S92" i="22"/>
  <c r="S91" i="22"/>
  <c r="S90" i="22"/>
  <c r="S89" i="22"/>
  <c r="S88" i="22"/>
  <c r="S87" i="22"/>
  <c r="S86" i="22"/>
  <c r="S85" i="22"/>
  <c r="S84" i="22"/>
  <c r="S83" i="22"/>
  <c r="S82" i="22"/>
  <c r="S81" i="22"/>
  <c r="S80" i="22"/>
  <c r="S79" i="22"/>
  <c r="S78" i="22"/>
  <c r="S77" i="22"/>
  <c r="S76" i="22"/>
  <c r="S75" i="22"/>
  <c r="S74" i="22"/>
  <c r="S73" i="22"/>
  <c r="S72" i="22"/>
  <c r="S71" i="22"/>
  <c r="S70" i="22"/>
  <c r="S69" i="22"/>
  <c r="S68" i="22"/>
  <c r="S67" i="22"/>
  <c r="S66" i="22"/>
  <c r="S65" i="22"/>
  <c r="S64" i="22"/>
  <c r="S63" i="22"/>
  <c r="S62" i="22"/>
  <c r="S61" i="22"/>
  <c r="S60" i="22"/>
  <c r="S59" i="22"/>
  <c r="S58" i="22"/>
  <c r="S57" i="22"/>
  <c r="S56" i="22"/>
  <c r="S55" i="22"/>
  <c r="S54" i="22"/>
  <c r="S53" i="22"/>
  <c r="S52" i="22"/>
  <c r="S51" i="22"/>
  <c r="S50" i="22"/>
  <c r="S49" i="22"/>
  <c r="S48" i="22"/>
  <c r="S47" i="22"/>
  <c r="S46" i="22"/>
  <c r="S45" i="22"/>
  <c r="S44" i="22"/>
  <c r="S43" i="22"/>
  <c r="S42" i="22"/>
  <c r="S41" i="22"/>
  <c r="S40" i="22"/>
  <c r="S39" i="22"/>
  <c r="S38" i="22"/>
  <c r="S37" i="22"/>
  <c r="S36" i="22"/>
  <c r="S35" i="22"/>
  <c r="S34" i="22"/>
  <c r="S33" i="22"/>
  <c r="S32" i="22"/>
  <c r="S31" i="22"/>
  <c r="S30" i="22"/>
  <c r="S29" i="22"/>
  <c r="S28" i="22"/>
  <c r="S27" i="22"/>
  <c r="S26" i="22"/>
  <c r="S25" i="22"/>
  <c r="S24" i="22"/>
  <c r="S23" i="22"/>
  <c r="S22" i="22"/>
  <c r="S21" i="22"/>
  <c r="S20" i="22"/>
  <c r="S19" i="22"/>
  <c r="S18" i="22"/>
  <c r="S17" i="22"/>
  <c r="S16" i="22"/>
  <c r="S15" i="22"/>
  <c r="S14" i="22"/>
  <c r="S13" i="22"/>
  <c r="S12" i="22"/>
  <c r="S11" i="22"/>
  <c r="S10" i="22"/>
  <c r="S9" i="22"/>
  <c r="S8" i="22"/>
  <c r="S7" i="22"/>
  <c r="S6" i="22"/>
  <c r="S5" i="22"/>
  <c r="P204" i="22"/>
  <c r="P203" i="22"/>
  <c r="P202" i="22"/>
  <c r="P201" i="22"/>
  <c r="P200" i="22"/>
  <c r="P199" i="22"/>
  <c r="P198" i="22"/>
  <c r="P197" i="22"/>
  <c r="P196" i="22"/>
  <c r="P195" i="22"/>
  <c r="P194" i="22"/>
  <c r="P193" i="22"/>
  <c r="P192" i="22"/>
  <c r="P191" i="22"/>
  <c r="P190" i="22"/>
  <c r="P189" i="22"/>
  <c r="P188" i="22"/>
  <c r="P187" i="22"/>
  <c r="P186" i="22"/>
  <c r="P185" i="22"/>
  <c r="P184" i="22"/>
  <c r="P183" i="22"/>
  <c r="P182" i="22"/>
  <c r="P181" i="22"/>
  <c r="P180" i="22"/>
  <c r="P179" i="22"/>
  <c r="P178" i="22"/>
  <c r="P177" i="22"/>
  <c r="P176" i="22"/>
  <c r="P175" i="22"/>
  <c r="P174" i="22"/>
  <c r="P173" i="22"/>
  <c r="P172" i="22"/>
  <c r="P171" i="22"/>
  <c r="P170" i="22"/>
  <c r="P169" i="22"/>
  <c r="P168" i="22"/>
  <c r="P167" i="22"/>
  <c r="P166" i="22"/>
  <c r="P165" i="22"/>
  <c r="P164" i="22"/>
  <c r="P163" i="22"/>
  <c r="P162" i="22"/>
  <c r="P161" i="22"/>
  <c r="P160" i="22"/>
  <c r="P159" i="22"/>
  <c r="P158" i="22"/>
  <c r="P157" i="22"/>
  <c r="P156" i="22"/>
  <c r="P155" i="22"/>
  <c r="P154" i="22"/>
  <c r="P153" i="22"/>
  <c r="P152" i="22"/>
  <c r="P151" i="22"/>
  <c r="P150" i="22"/>
  <c r="P149" i="22"/>
  <c r="P148" i="22"/>
  <c r="P147" i="22"/>
  <c r="P146" i="22"/>
  <c r="P145" i="22"/>
  <c r="P144" i="22"/>
  <c r="P143" i="22"/>
  <c r="P142" i="22"/>
  <c r="P141" i="22"/>
  <c r="P140" i="22"/>
  <c r="P139" i="22"/>
  <c r="P138" i="22"/>
  <c r="P137" i="22"/>
  <c r="P136" i="22"/>
  <c r="P135" i="22"/>
  <c r="P134" i="22"/>
  <c r="P133" i="22"/>
  <c r="P132" i="22"/>
  <c r="P131" i="22"/>
  <c r="P130" i="22"/>
  <c r="P129" i="22"/>
  <c r="P128" i="22"/>
  <c r="P127" i="22"/>
  <c r="P126" i="22"/>
  <c r="P125" i="22"/>
  <c r="P124" i="22"/>
  <c r="P123" i="22"/>
  <c r="P122" i="22"/>
  <c r="P121" i="22"/>
  <c r="P120" i="22"/>
  <c r="P119" i="22"/>
  <c r="P118" i="22"/>
  <c r="P117" i="22"/>
  <c r="P116" i="22"/>
  <c r="P115" i="22"/>
  <c r="P114" i="22"/>
  <c r="P113" i="22"/>
  <c r="P112" i="22"/>
  <c r="P111" i="22"/>
  <c r="P110" i="22"/>
  <c r="P109" i="22"/>
  <c r="P108" i="22"/>
  <c r="P107" i="22"/>
  <c r="P106" i="22"/>
  <c r="P105" i="22"/>
  <c r="P104" i="22"/>
  <c r="P103" i="22"/>
  <c r="P102" i="22"/>
  <c r="P101" i="22"/>
  <c r="P100" i="22"/>
  <c r="P99" i="22"/>
  <c r="P98" i="22"/>
  <c r="P97" i="22"/>
  <c r="P96" i="22"/>
  <c r="P95" i="22"/>
  <c r="P94" i="22"/>
  <c r="P93" i="22"/>
  <c r="P92" i="22"/>
  <c r="P91" i="22"/>
  <c r="P90" i="22"/>
  <c r="P89" i="22"/>
  <c r="P88" i="22"/>
  <c r="P87" i="22"/>
  <c r="P86" i="22"/>
  <c r="P85" i="22"/>
  <c r="P84" i="22"/>
  <c r="P83" i="22"/>
  <c r="P82" i="22"/>
  <c r="P81" i="22"/>
  <c r="P80" i="22"/>
  <c r="P79" i="22"/>
  <c r="P78" i="22"/>
  <c r="P77" i="22"/>
  <c r="P76" i="22"/>
  <c r="P75" i="22"/>
  <c r="P74" i="22"/>
  <c r="P73" i="22"/>
  <c r="P72" i="22"/>
  <c r="P71" i="22"/>
  <c r="P70" i="22"/>
  <c r="P69" i="22"/>
  <c r="P68" i="22"/>
  <c r="P67" i="22"/>
  <c r="P66" i="22"/>
  <c r="P65" i="22"/>
  <c r="P64" i="22"/>
  <c r="P63" i="22"/>
  <c r="P62" i="22"/>
  <c r="P61" i="22"/>
  <c r="P60" i="22"/>
  <c r="P59" i="22"/>
  <c r="P58" i="22"/>
  <c r="P57" i="22"/>
  <c r="P56" i="22"/>
  <c r="P55" i="22"/>
  <c r="P54" i="22"/>
  <c r="P53" i="22"/>
  <c r="P52" i="22"/>
  <c r="P51" i="22"/>
  <c r="P50" i="22"/>
  <c r="P49" i="22"/>
  <c r="P48" i="22"/>
  <c r="P47" i="22"/>
  <c r="P46" i="22"/>
  <c r="P45" i="22"/>
  <c r="P44" i="22"/>
  <c r="P43" i="22"/>
  <c r="P42" i="22"/>
  <c r="P41" i="22"/>
  <c r="P40" i="22"/>
  <c r="P39" i="22"/>
  <c r="P38" i="22"/>
  <c r="P37" i="22"/>
  <c r="P36" i="22"/>
  <c r="P35" i="22"/>
  <c r="P34" i="22"/>
  <c r="P33" i="22"/>
  <c r="P32" i="22"/>
  <c r="P31" i="22"/>
  <c r="P30" i="22"/>
  <c r="P29" i="22"/>
  <c r="P28" i="22"/>
  <c r="P27" i="22"/>
  <c r="P26" i="22"/>
  <c r="P25" i="22"/>
  <c r="P24" i="22"/>
  <c r="P23" i="22"/>
  <c r="P22" i="22"/>
  <c r="P21" i="22"/>
  <c r="P20" i="22"/>
  <c r="P19" i="22"/>
  <c r="P18" i="22"/>
  <c r="P17" i="22"/>
  <c r="P16" i="22"/>
  <c r="P15" i="22"/>
  <c r="P14" i="22"/>
  <c r="P13" i="22"/>
  <c r="P12" i="22"/>
  <c r="P11" i="22"/>
  <c r="P10" i="22"/>
  <c r="P9" i="22"/>
  <c r="P8" i="22"/>
  <c r="P7" i="22"/>
  <c r="P6" i="22"/>
  <c r="P5" i="22"/>
  <c r="T64" i="13" a="1"/>
  <c r="T64" i="13" s="1"/>
  <c r="T63" i="13" a="1"/>
  <c r="T63" i="13" s="1"/>
  <c r="T62" i="13" a="1"/>
  <c r="T62" i="13" s="1"/>
  <c r="T61" i="13" a="1"/>
  <c r="T61" i="13" s="1"/>
  <c r="T60" i="13" a="1"/>
  <c r="T60" i="13" s="1"/>
  <c r="T59" i="13" a="1"/>
  <c r="T59" i="13" s="1"/>
  <c r="T58" i="13" a="1"/>
  <c r="T58" i="13" s="1"/>
  <c r="T57" i="13" a="1"/>
  <c r="T57" i="13" s="1"/>
  <c r="T56" i="13" a="1"/>
  <c r="T56" i="13" s="1"/>
  <c r="T55" i="13" a="1"/>
  <c r="T55" i="13" s="1"/>
  <c r="T54" i="13" a="1"/>
  <c r="T54" i="13" s="1"/>
  <c r="T53" i="13" a="1"/>
  <c r="T53" i="13" s="1"/>
  <c r="T52" i="13" a="1"/>
  <c r="T52" i="13" s="1"/>
  <c r="T51" i="13" a="1"/>
  <c r="T51" i="13" s="1"/>
  <c r="T50" i="13" a="1"/>
  <c r="T50" i="13" s="1"/>
  <c r="T49" i="13" a="1"/>
  <c r="T49" i="13" s="1"/>
  <c r="T48" i="13" a="1"/>
  <c r="T48" i="13" s="1"/>
  <c r="T47" i="13" a="1"/>
  <c r="T47" i="13" s="1"/>
  <c r="T46" i="13" a="1"/>
  <c r="T46" i="13" s="1"/>
  <c r="T45" i="13" a="1"/>
  <c r="T45" i="13" s="1"/>
  <c r="T44" i="13" a="1"/>
  <c r="T44" i="13" s="1"/>
  <c r="T43" i="13" a="1"/>
  <c r="T43" i="13" s="1"/>
  <c r="T42" i="13" a="1"/>
  <c r="T42" i="13" s="1"/>
  <c r="T41" i="13" a="1"/>
  <c r="T41" i="13" s="1"/>
  <c r="T40" i="13" a="1"/>
  <c r="T40" i="13" s="1"/>
  <c r="T39" i="13" a="1"/>
  <c r="T39" i="13" s="1"/>
  <c r="T38" i="13" a="1"/>
  <c r="T38" i="13" s="1"/>
  <c r="T37" i="13" a="1"/>
  <c r="T37" i="13" s="1"/>
  <c r="T36" i="13" a="1"/>
  <c r="T36" i="13" s="1"/>
  <c r="T35" i="13" a="1"/>
  <c r="T35" i="13" s="1"/>
  <c r="T33" i="13" a="1"/>
  <c r="T33" i="13" s="1"/>
  <c r="T32" i="13" a="1"/>
  <c r="T32" i="13" s="1"/>
  <c r="T31" i="13" a="1"/>
  <c r="T31" i="13" s="1"/>
  <c r="T30" i="13" a="1"/>
  <c r="T30" i="13" s="1"/>
  <c r="T29" i="13" a="1"/>
  <c r="T29" i="13" s="1"/>
  <c r="T28" i="13" a="1"/>
  <c r="T28" i="13" s="1"/>
  <c r="T27" i="13" a="1"/>
  <c r="T27" i="13" s="1"/>
  <c r="T26" i="13" a="1"/>
  <c r="T26" i="13" s="1"/>
  <c r="T25" i="13" a="1"/>
  <c r="T25" i="13" s="1"/>
  <c r="T24" i="13" a="1"/>
  <c r="T24" i="13" s="1"/>
  <c r="T23" i="13" a="1"/>
  <c r="T23" i="13" s="1"/>
  <c r="T22" i="13" a="1"/>
  <c r="T22" i="13" s="1"/>
  <c r="T21" i="13" a="1"/>
  <c r="T21" i="13" s="1"/>
  <c r="T20" i="13" a="1"/>
  <c r="T20" i="13" s="1"/>
  <c r="T19" i="13" a="1"/>
  <c r="T19" i="13" s="1"/>
  <c r="T18" i="13" a="1"/>
  <c r="T18" i="13" s="1"/>
  <c r="T17" i="13" a="1"/>
  <c r="T17" i="13" s="1"/>
  <c r="T16" i="13" a="1"/>
  <c r="T16" i="13" s="1"/>
  <c r="T15" i="13" a="1"/>
  <c r="T15" i="13" s="1"/>
  <c r="T14" i="13" a="1"/>
  <c r="T14" i="13" s="1"/>
  <c r="T13" i="13" a="1"/>
  <c r="T13" i="13" s="1"/>
  <c r="T12" i="13" a="1"/>
  <c r="T12" i="13" s="1"/>
  <c r="D304" i="14"/>
  <c r="D303" i="14"/>
  <c r="D302" i="14"/>
  <c r="D301" i="14"/>
  <c r="D300" i="14"/>
  <c r="D299" i="14"/>
  <c r="D298" i="14"/>
  <c r="D297" i="14"/>
  <c r="D296" i="14"/>
  <c r="D295" i="14"/>
  <c r="D294" i="14"/>
  <c r="D293" i="14"/>
  <c r="D292" i="14"/>
  <c r="D291" i="14"/>
  <c r="D290" i="14"/>
  <c r="D289" i="14"/>
  <c r="D288" i="14"/>
  <c r="D287" i="14"/>
  <c r="D286" i="14"/>
  <c r="D285" i="14"/>
  <c r="D284" i="14"/>
  <c r="D283" i="14"/>
  <c r="D282" i="14"/>
  <c r="D281" i="14"/>
  <c r="D280" i="14"/>
  <c r="D279" i="14"/>
  <c r="D278" i="14"/>
  <c r="D277" i="14"/>
  <c r="D276" i="14"/>
  <c r="D275" i="14"/>
  <c r="D274" i="14"/>
  <c r="D273" i="14"/>
  <c r="D272" i="14"/>
  <c r="D271" i="14"/>
  <c r="D270" i="14"/>
  <c r="D269" i="14"/>
  <c r="D268" i="14"/>
  <c r="D267" i="14"/>
  <c r="D266" i="14"/>
  <c r="D265" i="14"/>
  <c r="D264" i="14"/>
  <c r="D263" i="14"/>
  <c r="D262" i="14"/>
  <c r="D261" i="14"/>
  <c r="D260" i="14"/>
  <c r="D259" i="14"/>
  <c r="D258" i="14"/>
  <c r="D257" i="14"/>
  <c r="D256"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U64" i="13"/>
  <c r="U63" i="13"/>
  <c r="U62" i="13"/>
  <c r="U61" i="13"/>
  <c r="U60" i="13"/>
  <c r="U59" i="13"/>
  <c r="U58" i="13"/>
  <c r="U57" i="13"/>
  <c r="U56" i="13"/>
  <c r="U55" i="13"/>
  <c r="U54" i="13"/>
  <c r="U53" i="13"/>
  <c r="U52" i="13"/>
  <c r="U51" i="13"/>
  <c r="U50" i="13"/>
  <c r="U49" i="13"/>
  <c r="U48" i="13"/>
  <c r="U47" i="13"/>
  <c r="U46" i="13"/>
  <c r="U45" i="13"/>
  <c r="U44" i="13"/>
  <c r="U43" i="13"/>
  <c r="U42" i="13"/>
  <c r="U41" i="13"/>
  <c r="U40" i="13"/>
  <c r="U39" i="13"/>
  <c r="U38" i="13"/>
  <c r="U37" i="13"/>
  <c r="U36" i="13"/>
  <c r="U35" i="13"/>
  <c r="U33" i="13"/>
  <c r="U32" i="13"/>
  <c r="U31" i="13"/>
  <c r="U30" i="13"/>
  <c r="U29" i="13"/>
  <c r="U28" i="13"/>
  <c r="U27" i="13"/>
  <c r="U26" i="13"/>
  <c r="U25" i="13"/>
  <c r="U24" i="13"/>
  <c r="U23" i="13"/>
  <c r="U22" i="13"/>
  <c r="U21" i="13"/>
  <c r="U20" i="13"/>
  <c r="U19" i="13"/>
  <c r="U18" i="13"/>
  <c r="U17" i="13"/>
  <c r="U16" i="13"/>
  <c r="U15" i="13"/>
  <c r="U14" i="13"/>
  <c r="U13" i="13"/>
  <c r="U12" i="13"/>
  <c r="A5" i="12" a="1"/>
  <c r="A5" i="12" s="1"/>
  <c r="K211" i="7"/>
  <c r="K210" i="7"/>
  <c r="K209" i="7"/>
  <c r="K208" i="7"/>
  <c r="K207" i="7"/>
  <c r="K206" i="7"/>
  <c r="K205" i="7"/>
  <c r="K204" i="7"/>
  <c r="K203" i="7"/>
  <c r="K202" i="7"/>
  <c r="K201" i="7"/>
  <c r="K200" i="7"/>
  <c r="K199" i="7"/>
  <c r="K198" i="7"/>
  <c r="K197" i="7"/>
  <c r="K196" i="7"/>
  <c r="K195" i="7"/>
  <c r="K194" i="7"/>
  <c r="K193" i="7"/>
  <c r="K192" i="7"/>
  <c r="K191" i="7"/>
  <c r="K190" i="7"/>
  <c r="K189" i="7"/>
  <c r="K188" i="7"/>
  <c r="K187" i="7"/>
  <c r="K186" i="7"/>
  <c r="K185" i="7"/>
  <c r="K184" i="7"/>
  <c r="K183" i="7"/>
  <c r="K182" i="7"/>
  <c r="K181" i="7"/>
  <c r="K180" i="7"/>
  <c r="K179" i="7"/>
  <c r="K178" i="7"/>
  <c r="K177" i="7"/>
  <c r="K176" i="7"/>
  <c r="K175" i="7"/>
  <c r="K174" i="7"/>
  <c r="K173" i="7"/>
  <c r="K172" i="7"/>
  <c r="K171" i="7"/>
  <c r="K170" i="7"/>
  <c r="K169" i="7"/>
  <c r="K168" i="7"/>
  <c r="K167" i="7"/>
  <c r="K166" i="7"/>
  <c r="K165" i="7"/>
  <c r="K164" i="7"/>
  <c r="K163" i="7"/>
  <c r="K162" i="7"/>
  <c r="K161" i="7"/>
  <c r="K160" i="7"/>
  <c r="K159" i="7"/>
  <c r="K158" i="7"/>
  <c r="K157" i="7"/>
  <c r="K156" i="7"/>
  <c r="K155" i="7"/>
  <c r="K154" i="7"/>
  <c r="K153" i="7"/>
  <c r="K152" i="7"/>
  <c r="K151" i="7"/>
  <c r="K150" i="7"/>
  <c r="K149" i="7"/>
  <c r="K148" i="7"/>
  <c r="K147" i="7"/>
  <c r="K146" i="7"/>
  <c r="K145" i="7"/>
  <c r="K144" i="7"/>
  <c r="K143" i="7"/>
  <c r="K142" i="7"/>
  <c r="K141" i="7"/>
  <c r="K140" i="7"/>
  <c r="K139" i="7"/>
  <c r="K138" i="7"/>
  <c r="K137" i="7"/>
  <c r="K136" i="7"/>
  <c r="K135" i="7"/>
  <c r="K134" i="7"/>
  <c r="K133" i="7"/>
  <c r="K132" i="7"/>
  <c r="K131" i="7"/>
  <c r="K130" i="7"/>
  <c r="K129" i="7"/>
  <c r="K128" i="7"/>
  <c r="K127" i="7"/>
  <c r="K126" i="7"/>
  <c r="K125" i="7"/>
  <c r="K124" i="7"/>
  <c r="K123" i="7"/>
  <c r="K122"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D119" i="3"/>
  <c r="F30" i="11" a="1"/>
  <c r="F30" i="11" s="1"/>
  <c r="F29" i="11" a="1"/>
  <c r="F29" i="11" s="1"/>
  <c r="F28" i="11" a="1"/>
  <c r="F28" i="11" s="1"/>
  <c r="F27" i="11" a="1"/>
  <c r="F27" i="11" s="1"/>
  <c r="F26" i="11" a="1"/>
  <c r="F26" i="11" s="1"/>
  <c r="F25" i="11" a="1"/>
  <c r="F25" i="11" s="1"/>
  <c r="F24" i="11" a="1"/>
  <c r="F24" i="11" s="1"/>
  <c r="F23" i="11" a="1"/>
  <c r="F23" i="11" s="1"/>
  <c r="F22" i="11" a="1"/>
  <c r="F22" i="11" s="1"/>
  <c r="F21" i="11" a="1"/>
  <c r="F21" i="11" s="1"/>
  <c r="F20" i="11" a="1"/>
  <c r="F20" i="11" s="1"/>
  <c r="F19" i="11" a="1"/>
  <c r="F19" i="11" s="1"/>
  <c r="F18" i="11" a="1"/>
  <c r="F18" i="11" s="1"/>
  <c r="F17" i="11" a="1"/>
  <c r="F17" i="11" s="1"/>
  <c r="F16" i="11" a="1"/>
  <c r="F16" i="11" s="1"/>
  <c r="F15" i="11" a="1"/>
  <c r="F15" i="11" s="1"/>
  <c r="F14" i="11" a="1"/>
  <c r="F14" i="11" s="1"/>
  <c r="F13" i="11" a="1"/>
  <c r="F13" i="11" s="1"/>
  <c r="J11" i="24"/>
  <c r="D14" i="20" l="1" a="1"/>
  <c r="D14" i="20" s="1"/>
  <c r="H7" i="17"/>
  <c r="N50" i="5"/>
  <c r="N49" i="5"/>
  <c r="N48" i="5"/>
  <c r="N47" i="5"/>
  <c r="N46" i="5"/>
  <c r="N45" i="5"/>
  <c r="N44" i="5"/>
  <c r="N43" i="5"/>
  <c r="N42"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N8" i="5"/>
  <c r="N7" i="5"/>
  <c r="N6" i="5"/>
  <c r="AD6" i="8" a="1"/>
  <c r="AD6" i="8" s="1"/>
  <c r="E258" i="8" l="1"/>
  <c r="C174" i="8"/>
  <c r="D181" i="8"/>
  <c r="C69" i="8"/>
  <c r="E55" i="8"/>
  <c r="C279" i="8"/>
  <c r="C265" i="8"/>
  <c r="E153" i="8"/>
  <c r="D83" i="8"/>
  <c r="D272" i="8"/>
  <c r="D174" i="8"/>
  <c r="D76" i="8"/>
  <c r="C258" i="8"/>
  <c r="C160" i="8"/>
  <c r="C62" i="8"/>
  <c r="E244" i="8"/>
  <c r="E146" i="8"/>
  <c r="E48" i="8"/>
  <c r="D265" i="8"/>
  <c r="D167" i="8"/>
  <c r="D69" i="8"/>
  <c r="C251" i="8"/>
  <c r="C153" i="8"/>
  <c r="C55" i="8"/>
  <c r="E237" i="8"/>
  <c r="E139" i="8"/>
  <c r="E41" i="8"/>
  <c r="D258" i="8"/>
  <c r="D160" i="8"/>
  <c r="D62" i="8"/>
  <c r="C244" i="8"/>
  <c r="C146" i="8"/>
  <c r="C48" i="8"/>
  <c r="E230" i="8"/>
  <c r="E132" i="8"/>
  <c r="E34" i="8"/>
  <c r="D216" i="8"/>
  <c r="D118" i="8"/>
  <c r="C202" i="8"/>
  <c r="C104" i="8"/>
  <c r="C6" i="8"/>
  <c r="E90" i="8"/>
  <c r="D209" i="8"/>
  <c r="D111" i="8"/>
  <c r="D13" i="8"/>
  <c r="C195" i="8"/>
  <c r="C97" i="8"/>
  <c r="E279" i="8"/>
  <c r="E181" i="8"/>
  <c r="E83" i="8"/>
  <c r="E272" i="8"/>
  <c r="D195" i="8"/>
  <c r="D97" i="8"/>
  <c r="C181" i="8"/>
  <c r="C83" i="8"/>
  <c r="E265" i="8"/>
  <c r="E167" i="8"/>
  <c r="E69" i="8"/>
  <c r="D188" i="8"/>
  <c r="D90" i="8"/>
  <c r="C272" i="8"/>
  <c r="C76" i="8"/>
  <c r="E160" i="8"/>
  <c r="E62" i="8"/>
  <c r="D279" i="8"/>
  <c r="C167" i="8"/>
  <c r="E251" i="8"/>
  <c r="D251" i="8"/>
  <c r="D153" i="8"/>
  <c r="D55" i="8"/>
  <c r="C237" i="8"/>
  <c r="C139" i="8"/>
  <c r="C41" i="8"/>
  <c r="E223" i="8"/>
  <c r="E125" i="8"/>
  <c r="E27" i="8"/>
  <c r="D230" i="8"/>
  <c r="D132" i="8"/>
  <c r="C216" i="8"/>
  <c r="C20" i="8"/>
  <c r="E104" i="8"/>
  <c r="C111" i="8"/>
  <c r="E97" i="8"/>
  <c r="D20" i="8"/>
  <c r="E188" i="8"/>
  <c r="D202" i="8"/>
  <c r="D104" i="8"/>
  <c r="D6" i="8"/>
  <c r="C188" i="8"/>
  <c r="C90" i="8"/>
  <c r="E174" i="8"/>
  <c r="E76" i="8"/>
  <c r="D244" i="8"/>
  <c r="D146" i="8"/>
  <c r="D48" i="8"/>
  <c r="C230" i="8"/>
  <c r="C132" i="8"/>
  <c r="C34" i="8"/>
  <c r="E216" i="8"/>
  <c r="E118" i="8"/>
  <c r="E20" i="8"/>
  <c r="D34" i="8"/>
  <c r="E202" i="8"/>
  <c r="D237" i="8"/>
  <c r="D139" i="8"/>
  <c r="D41" i="8"/>
  <c r="C223" i="8"/>
  <c r="C125" i="8"/>
  <c r="C27" i="8"/>
  <c r="E209" i="8"/>
  <c r="E111" i="8"/>
  <c r="E13" i="8"/>
  <c r="C118" i="8"/>
  <c r="E6" i="8"/>
  <c r="D223" i="8"/>
  <c r="D125" i="8"/>
  <c r="D27" i="8"/>
  <c r="C209" i="8"/>
  <c r="C13" i="8"/>
  <c r="E195" i="8"/>
  <c r="AA6" i="8" l="1"/>
  <c r="AA258" i="8"/>
  <c r="W258" i="8"/>
  <c r="AA265" i="8"/>
  <c r="W265" i="8"/>
  <c r="AA111" i="8"/>
  <c r="W111" i="8"/>
  <c r="AA104" i="8"/>
  <c r="W104" i="8"/>
  <c r="AA251" i="8"/>
  <c r="W251" i="8"/>
  <c r="AA237" i="8"/>
  <c r="W237" i="8"/>
  <c r="AA20" i="8"/>
  <c r="AA188" i="8"/>
  <c r="W188" i="8"/>
  <c r="AA97" i="8"/>
  <c r="W97" i="8"/>
  <c r="AA41" i="8"/>
  <c r="AA209" i="8"/>
  <c r="W209" i="8"/>
  <c r="AA139" i="8"/>
  <c r="W139" i="8"/>
  <c r="AA48" i="8"/>
  <c r="AA146" i="8"/>
  <c r="W146" i="8"/>
  <c r="AA216" i="8"/>
  <c r="W216" i="8"/>
  <c r="AA13" i="8"/>
  <c r="AA272" i="8"/>
  <c r="W272" i="8"/>
  <c r="AA69" i="8"/>
  <c r="W69" i="8"/>
  <c r="AA118" i="8"/>
  <c r="W118" i="8"/>
  <c r="AA244" i="8"/>
  <c r="W244" i="8"/>
  <c r="AA90" i="8"/>
  <c r="W90" i="8"/>
  <c r="AA83" i="8"/>
  <c r="W83" i="8"/>
  <c r="AA153" i="8"/>
  <c r="W153" i="8"/>
  <c r="AA174" i="8"/>
  <c r="W174" i="8"/>
  <c r="AA160" i="8"/>
  <c r="W160" i="8"/>
  <c r="AA181" i="8"/>
  <c r="W181" i="8"/>
  <c r="AA132" i="8"/>
  <c r="W132" i="8"/>
  <c r="AA223" i="8"/>
  <c r="W223" i="8"/>
  <c r="AA167" i="8"/>
  <c r="W167" i="8"/>
  <c r="AA195" i="8"/>
  <c r="W195" i="8"/>
  <c r="AA76" i="8"/>
  <c r="W76" i="8"/>
  <c r="AA62" i="8"/>
  <c r="AA34" i="8"/>
  <c r="AA27" i="8"/>
  <c r="AA279" i="8"/>
  <c r="W279" i="8"/>
  <c r="AA230" i="8"/>
  <c r="W230" i="8"/>
  <c r="AA202" i="8"/>
  <c r="W202" i="8"/>
  <c r="AA125" i="8"/>
  <c r="W125" i="8"/>
  <c r="AA55" i="8"/>
  <c r="O11" i="5"/>
  <c r="O10" i="5"/>
  <c r="O9" i="5"/>
  <c r="O7" i="5"/>
  <c r="O8" i="5"/>
  <c r="O6" i="5"/>
  <c r="O13" i="5"/>
  <c r="O14" i="5"/>
  <c r="O12" i="5"/>
  <c r="F11" i="11" a="1"/>
  <c r="F11" i="11" s="1"/>
  <c r="F6" i="11" a="1"/>
  <c r="F6" i="11" s="1"/>
  <c r="F9" i="11" a="1"/>
  <c r="F9" i="11" s="1"/>
  <c r="F12" i="11" a="1"/>
  <c r="F12" i="11" s="1"/>
  <c r="F10" i="11" a="1"/>
  <c r="F10" i="11" s="1"/>
  <c r="F8" i="11" a="1"/>
  <c r="F8" i="11" s="1"/>
  <c r="F7" i="11" a="1"/>
  <c r="F7" i="11" s="1"/>
  <c r="F5" i="11" a="1"/>
  <c r="F5" i="11" s="1"/>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10" i="5"/>
  <c r="B50" i="5"/>
  <c r="B49" i="5"/>
  <c r="B48" i="5"/>
  <c r="B47" i="5"/>
  <c r="B46" i="5"/>
  <c r="B8" i="17" l="1" a="1"/>
  <c r="B8" i="17" s="1"/>
  <c r="AD13" i="8" a="1"/>
  <c r="AD13" i="8" s="1"/>
  <c r="AD20" i="8" a="1"/>
  <c r="AD20" i="8" s="1"/>
  <c r="AD27" i="8" a="1"/>
  <c r="AD27" i="8" s="1"/>
  <c r="AD34" i="8" a="1"/>
  <c r="AD34" i="8" s="1"/>
  <c r="AD41" i="8" a="1"/>
  <c r="AD41" i="8" s="1"/>
  <c r="AD48" i="8" a="1"/>
  <c r="AD48" i="8" s="1"/>
  <c r="AD55" i="8" a="1"/>
  <c r="AD55" i="8" s="1"/>
  <c r="AD62" i="8" a="1"/>
  <c r="AD62" i="8" s="1"/>
  <c r="AD69" i="8" a="1"/>
  <c r="AD69" i="8" s="1"/>
  <c r="AD76" i="8" a="1"/>
  <c r="AD76" i="8" s="1"/>
  <c r="AD83" i="8" a="1"/>
  <c r="AD83" i="8" s="1"/>
  <c r="AD90" i="8" a="1"/>
  <c r="AD90" i="8" s="1"/>
  <c r="AD97" i="8" a="1"/>
  <c r="AD97" i="8" s="1"/>
  <c r="AD104" i="8" a="1"/>
  <c r="AD104" i="8" s="1"/>
  <c r="AD111" i="8" a="1"/>
  <c r="AD111" i="8" s="1"/>
  <c r="AD118" i="8" a="1"/>
  <c r="AD118" i="8" s="1"/>
  <c r="AD125" i="8" a="1"/>
  <c r="AD125" i="8" s="1"/>
  <c r="AD132" i="8" a="1"/>
  <c r="AD132" i="8" s="1"/>
  <c r="AD139" i="8" a="1"/>
  <c r="AD139" i="8" s="1"/>
  <c r="AD146" i="8" a="1"/>
  <c r="AD146" i="8" s="1"/>
  <c r="AD153" i="8" a="1"/>
  <c r="AD153" i="8" s="1"/>
  <c r="AD160" i="8" a="1"/>
  <c r="AD160" i="8" s="1"/>
  <c r="AD167" i="8" a="1"/>
  <c r="AD167" i="8" s="1"/>
  <c r="AD174" i="8" a="1"/>
  <c r="AD174" i="8" s="1"/>
  <c r="AD181" i="8" a="1"/>
  <c r="AD181" i="8" s="1"/>
  <c r="AD188" i="8" a="1"/>
  <c r="AD188" i="8" s="1"/>
  <c r="AD195" i="8" a="1"/>
  <c r="AD195" i="8" s="1"/>
  <c r="AD202" i="8" a="1"/>
  <c r="AD202" i="8" s="1"/>
  <c r="AD209" i="8" a="1"/>
  <c r="AD209" i="8" s="1"/>
  <c r="AD216" i="8" a="1"/>
  <c r="AD216" i="8" s="1"/>
  <c r="AD223" i="8" a="1"/>
  <c r="AD223" i="8" s="1"/>
  <c r="AD230" i="8" a="1"/>
  <c r="AD230" i="8" s="1"/>
  <c r="AD237" i="8" a="1"/>
  <c r="AD237" i="8" s="1"/>
  <c r="AD244" i="8" a="1"/>
  <c r="AD244" i="8" s="1"/>
  <c r="AD251" i="8" a="1"/>
  <c r="AD251" i="8" s="1"/>
  <c r="AD258" i="8" a="1"/>
  <c r="AD258" i="8" s="1"/>
  <c r="AD265" i="8" a="1"/>
  <c r="AD265" i="8" s="1"/>
  <c r="AD272" i="8" a="1"/>
  <c r="AD272" i="8" s="1"/>
  <c r="AD279" i="8" a="1"/>
  <c r="AD279" i="8"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1" i="5" a="1"/>
  <c r="M21" i="5" s="1"/>
  <c r="M22" i="5" a="1"/>
  <c r="M22" i="5" s="1"/>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6" i="5" a="1"/>
  <c r="M6" i="5" s="1"/>
  <c r="B29" i="11"/>
  <c r="Z29" i="11" s="1"/>
  <c r="B13" i="11"/>
  <c r="Z13" i="11" s="1"/>
  <c r="B14" i="11"/>
  <c r="Z14" i="11" s="1"/>
  <c r="B15" i="11"/>
  <c r="Z15" i="11" s="1"/>
  <c r="S14" i="11" l="1" a="1"/>
  <c r="S14" i="11" s="1"/>
  <c r="T14" i="11" a="1"/>
  <c r="T14" i="11" s="1"/>
  <c r="S15" i="11" a="1"/>
  <c r="S15" i="11" s="1"/>
  <c r="T15" i="11" a="1"/>
  <c r="T15" i="11" s="1"/>
  <c r="S13" i="11" a="1"/>
  <c r="S13" i="11" s="1"/>
  <c r="T13" i="11" a="1"/>
  <c r="T13" i="11" s="1"/>
  <c r="T29" i="11" a="1"/>
  <c r="T29" i="11" s="1"/>
  <c r="S29" i="11" a="1"/>
  <c r="S29" i="11" s="1"/>
  <c r="F19" i="20"/>
  <c r="F18" i="20"/>
  <c r="B26" i="17" s="1"/>
  <c r="F17" i="20"/>
  <c r="B25" i="17" s="1"/>
  <c r="F16" i="20"/>
  <c r="D38" i="23" s="1" a="1"/>
  <c r="D38" i="23" s="1"/>
  <c r="F6" i="20"/>
  <c r="B14" i="17" s="1"/>
  <c r="F5" i="20"/>
  <c r="A27" i="17"/>
  <c r="A26" i="17"/>
  <c r="A25" i="17"/>
  <c r="A24" i="17"/>
  <c r="A23" i="17"/>
  <c r="A22" i="17"/>
  <c r="A21" i="17"/>
  <c r="A20" i="17"/>
  <c r="A19" i="17"/>
  <c r="A18" i="17"/>
  <c r="A17" i="17"/>
  <c r="A16" i="17"/>
  <c r="A15" i="17"/>
  <c r="A14" i="17"/>
  <c r="A13" i="17"/>
  <c r="H5" i="17"/>
  <c r="B5" i="17"/>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B7" i="15"/>
  <c r="B6" i="15"/>
  <c r="B304" i="14"/>
  <c r="B303" i="14"/>
  <c r="B302" i="14"/>
  <c r="B301" i="14"/>
  <c r="B300" i="14"/>
  <c r="B299" i="14"/>
  <c r="B298" i="14"/>
  <c r="B297" i="14"/>
  <c r="B296" i="14"/>
  <c r="B295" i="14"/>
  <c r="B294" i="14"/>
  <c r="B293" i="14"/>
  <c r="B292" i="14"/>
  <c r="B291" i="14"/>
  <c r="B290" i="14"/>
  <c r="B289" i="14"/>
  <c r="B288" i="14"/>
  <c r="B287" i="14"/>
  <c r="B286" i="14"/>
  <c r="B285" i="14"/>
  <c r="B284" i="14"/>
  <c r="B283" i="14"/>
  <c r="B282" i="14"/>
  <c r="B281" i="14"/>
  <c r="B280" i="14"/>
  <c r="B279" i="14"/>
  <c r="B278" i="14"/>
  <c r="B277" i="14"/>
  <c r="B276" i="14"/>
  <c r="B275" i="14"/>
  <c r="B274" i="14"/>
  <c r="B273" i="14"/>
  <c r="B272" i="14"/>
  <c r="B271" i="14"/>
  <c r="B270" i="14"/>
  <c r="B269" i="14"/>
  <c r="B268" i="14"/>
  <c r="B267" i="14"/>
  <c r="B266" i="14"/>
  <c r="B265" i="14"/>
  <c r="B264" i="14"/>
  <c r="B263" i="14"/>
  <c r="B262" i="14"/>
  <c r="B261" i="14"/>
  <c r="B260" i="14"/>
  <c r="B259" i="14"/>
  <c r="B258" i="14"/>
  <c r="B257" i="14"/>
  <c r="B256" i="14"/>
  <c r="B255" i="14"/>
  <c r="B254" i="14"/>
  <c r="B253" i="14"/>
  <c r="B252" i="14"/>
  <c r="B251" i="14"/>
  <c r="B250" i="14"/>
  <c r="B249" i="14"/>
  <c r="B248" i="14"/>
  <c r="B247" i="14"/>
  <c r="B246" i="14"/>
  <c r="B245" i="14"/>
  <c r="B244" i="14"/>
  <c r="B243" i="14"/>
  <c r="B242" i="14"/>
  <c r="B241" i="14"/>
  <c r="B240" i="14"/>
  <c r="B239" i="14"/>
  <c r="B238" i="14"/>
  <c r="B237" i="14"/>
  <c r="B236" i="14"/>
  <c r="B235" i="14"/>
  <c r="B234" i="14"/>
  <c r="B233" i="14"/>
  <c r="B232" i="14"/>
  <c r="B231" i="14"/>
  <c r="B230" i="14"/>
  <c r="B229" i="14"/>
  <c r="B228" i="14"/>
  <c r="B227" i="14"/>
  <c r="B226" i="14"/>
  <c r="B225" i="14"/>
  <c r="B224" i="14"/>
  <c r="B223" i="14"/>
  <c r="B222" i="14"/>
  <c r="B221" i="14"/>
  <c r="B220" i="14"/>
  <c r="B219" i="14"/>
  <c r="B218" i="14"/>
  <c r="B217" i="14"/>
  <c r="B216" i="14"/>
  <c r="B215" i="14"/>
  <c r="B214" i="14"/>
  <c r="B213" i="14"/>
  <c r="B212" i="14"/>
  <c r="B211" i="14"/>
  <c r="B210" i="14"/>
  <c r="B209" i="14"/>
  <c r="B208" i="14"/>
  <c r="B207" i="14"/>
  <c r="B206" i="14"/>
  <c r="B205" i="14"/>
  <c r="B204" i="14"/>
  <c r="B203" i="14"/>
  <c r="B202" i="14"/>
  <c r="B201" i="14"/>
  <c r="B200" i="14"/>
  <c r="B199" i="14"/>
  <c r="B198" i="14"/>
  <c r="B197" i="14"/>
  <c r="B196" i="14"/>
  <c r="B195" i="14"/>
  <c r="B194" i="14"/>
  <c r="B193" i="14"/>
  <c r="B192" i="14"/>
  <c r="B191" i="14"/>
  <c r="B190" i="14"/>
  <c r="B189" i="14"/>
  <c r="B188" i="14"/>
  <c r="B187" i="14"/>
  <c r="B186" i="14"/>
  <c r="B185" i="14"/>
  <c r="B184" i="14"/>
  <c r="B183" i="14"/>
  <c r="B182" i="14"/>
  <c r="B181" i="14"/>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B6" i="14"/>
  <c r="B5" i="14"/>
  <c r="C64" i="13"/>
  <c r="V64" i="13" s="1" a="1"/>
  <c r="V64" i="13" s="1"/>
  <c r="C63" i="13"/>
  <c r="V63" i="13" s="1" a="1"/>
  <c r="V63" i="13" s="1"/>
  <c r="C62" i="13"/>
  <c r="V62" i="13" s="1" a="1"/>
  <c r="V62" i="13" s="1"/>
  <c r="C61" i="13"/>
  <c r="C60" i="13"/>
  <c r="V60" i="13" s="1" a="1"/>
  <c r="V60" i="13" s="1"/>
  <c r="C59" i="13"/>
  <c r="V59" i="13" s="1" a="1"/>
  <c r="V59" i="13" s="1"/>
  <c r="C58" i="13"/>
  <c r="V58" i="13" s="1" a="1"/>
  <c r="V58" i="13" s="1"/>
  <c r="C57" i="13"/>
  <c r="V57" i="13" s="1" a="1"/>
  <c r="V57" i="13" s="1"/>
  <c r="C56" i="13"/>
  <c r="V56" i="13" s="1" a="1"/>
  <c r="V56" i="13" s="1"/>
  <c r="C55" i="13"/>
  <c r="V55" i="13" s="1" a="1"/>
  <c r="V55" i="13" s="1"/>
  <c r="C54" i="13"/>
  <c r="V54" i="13" s="1" a="1"/>
  <c r="V54" i="13" s="1"/>
  <c r="C53" i="13"/>
  <c r="V53" i="13" s="1" a="1"/>
  <c r="V53" i="13" s="1"/>
  <c r="C52" i="13"/>
  <c r="V52" i="13" s="1" a="1"/>
  <c r="V52" i="13" s="1"/>
  <c r="C51" i="13"/>
  <c r="V51" i="13" s="1" a="1"/>
  <c r="V51" i="13" s="1"/>
  <c r="C50" i="13"/>
  <c r="V50" i="13" s="1" a="1"/>
  <c r="V50" i="13" s="1"/>
  <c r="C49" i="13"/>
  <c r="V49" i="13" s="1" a="1"/>
  <c r="V49" i="13" s="1"/>
  <c r="C48" i="13"/>
  <c r="V48" i="13" s="1" a="1"/>
  <c r="V48" i="13" s="1"/>
  <c r="C47" i="13"/>
  <c r="V47" i="13" s="1" a="1"/>
  <c r="V47" i="13" s="1"/>
  <c r="C46" i="13"/>
  <c r="V46" i="13" s="1" a="1"/>
  <c r="V46" i="13" s="1"/>
  <c r="C45" i="13"/>
  <c r="C44" i="13"/>
  <c r="V44" i="13" s="1" a="1"/>
  <c r="V44" i="13" s="1"/>
  <c r="C43" i="13"/>
  <c r="V43" i="13" s="1" a="1"/>
  <c r="V43" i="13" s="1"/>
  <c r="C42" i="13"/>
  <c r="V42" i="13" s="1" a="1"/>
  <c r="V42" i="13" s="1"/>
  <c r="C41" i="13"/>
  <c r="V41" i="13" s="1" a="1"/>
  <c r="V41" i="13" s="1"/>
  <c r="C40" i="13"/>
  <c r="V40" i="13" s="1" a="1"/>
  <c r="V40" i="13" s="1"/>
  <c r="C39" i="13"/>
  <c r="V39" i="13" s="1" a="1"/>
  <c r="V39" i="13" s="1"/>
  <c r="C38" i="13"/>
  <c r="C37" i="13"/>
  <c r="V37" i="13" s="1" a="1"/>
  <c r="V37" i="13" s="1"/>
  <c r="C36" i="13"/>
  <c r="V36" i="13" s="1" a="1"/>
  <c r="V36" i="13" s="1"/>
  <c r="C35" i="13"/>
  <c r="V35" i="13" s="1" a="1"/>
  <c r="V35" i="13" s="1"/>
  <c r="C34" i="13"/>
  <c r="C33" i="13"/>
  <c r="C32" i="13"/>
  <c r="V32" i="13" s="1" a="1"/>
  <c r="V32" i="13" s="1"/>
  <c r="C31" i="13"/>
  <c r="V31" i="13" s="1" a="1"/>
  <c r="V31" i="13" s="1"/>
  <c r="C30" i="13"/>
  <c r="V30" i="13" s="1" a="1"/>
  <c r="V30" i="13" s="1"/>
  <c r="C29" i="13"/>
  <c r="V29" i="13" s="1" a="1"/>
  <c r="V29" i="13" s="1"/>
  <c r="C28" i="13"/>
  <c r="V28" i="13" s="1" a="1"/>
  <c r="V28" i="13" s="1"/>
  <c r="C27" i="13"/>
  <c r="V27" i="13" s="1" a="1"/>
  <c r="V27" i="13" s="1"/>
  <c r="C26" i="13"/>
  <c r="V26" i="13" s="1" a="1"/>
  <c r="V26" i="13" s="1"/>
  <c r="C25" i="13"/>
  <c r="V25" i="13" s="1" a="1"/>
  <c r="V25" i="13" s="1"/>
  <c r="C24" i="13"/>
  <c r="V24" i="13" s="1" a="1"/>
  <c r="V24" i="13" s="1"/>
  <c r="C23" i="13"/>
  <c r="V23" i="13" s="1" a="1"/>
  <c r="V23" i="13" s="1"/>
  <c r="C22" i="13"/>
  <c r="V22" i="13" s="1" a="1"/>
  <c r="V22" i="13" s="1"/>
  <c r="C21" i="13"/>
  <c r="V21" i="13" s="1" a="1"/>
  <c r="V21" i="13" s="1"/>
  <c r="C20" i="13"/>
  <c r="V20" i="13" s="1" a="1"/>
  <c r="V20" i="13" s="1"/>
  <c r="C19" i="13"/>
  <c r="V19" i="13" s="1" a="1"/>
  <c r="V19" i="13" s="1"/>
  <c r="C18" i="13"/>
  <c r="V18" i="13" s="1" a="1"/>
  <c r="V18" i="13" s="1"/>
  <c r="C17" i="13"/>
  <c r="V17" i="13" s="1" a="1"/>
  <c r="V17" i="13" s="1"/>
  <c r="C16" i="13"/>
  <c r="V16" i="13" s="1" a="1"/>
  <c r="V16" i="13" s="1"/>
  <c r="C15" i="13"/>
  <c r="V15" i="13" s="1" a="1"/>
  <c r="V15" i="13" s="1"/>
  <c r="C14" i="13"/>
  <c r="V14" i="13" s="1" a="1"/>
  <c r="V14" i="13" s="1"/>
  <c r="C13" i="13"/>
  <c r="V13" i="13" s="1" a="1"/>
  <c r="V13" i="13" s="1"/>
  <c r="C12" i="13"/>
  <c r="V12" i="13" s="1" a="1"/>
  <c r="V12" i="13" s="1"/>
  <c r="C11" i="13"/>
  <c r="C10" i="13"/>
  <c r="C9" i="13"/>
  <c r="C8" i="13"/>
  <c r="C7" i="13"/>
  <c r="C6" i="13"/>
  <c r="C5" i="13"/>
  <c r="O30" i="11"/>
  <c r="N30" i="11"/>
  <c r="L30" i="11"/>
  <c r="H30" i="11"/>
  <c r="B30" i="11"/>
  <c r="Z30" i="11" s="1"/>
  <c r="O29" i="11"/>
  <c r="N29" i="11"/>
  <c r="L29" i="11"/>
  <c r="H29" i="11"/>
  <c r="O28" i="11"/>
  <c r="N28" i="11"/>
  <c r="L28" i="11"/>
  <c r="H28" i="11"/>
  <c r="B28" i="11"/>
  <c r="Z28" i="11" s="1"/>
  <c r="O27" i="11"/>
  <c r="P27" i="11" s="1"/>
  <c r="Q27" i="11" s="1"/>
  <c r="N27" i="11"/>
  <c r="L27" i="11"/>
  <c r="H27" i="11"/>
  <c r="B27" i="11"/>
  <c r="Z27" i="11" s="1"/>
  <c r="O26" i="11"/>
  <c r="N26" i="11"/>
  <c r="L26" i="11"/>
  <c r="H26" i="11"/>
  <c r="B26" i="11"/>
  <c r="Z26" i="11" s="1"/>
  <c r="O25" i="11"/>
  <c r="N25" i="11"/>
  <c r="L25" i="11"/>
  <c r="H25" i="11"/>
  <c r="B25" i="11"/>
  <c r="Z25" i="11" s="1"/>
  <c r="O24" i="11"/>
  <c r="N24" i="11"/>
  <c r="L24" i="11"/>
  <c r="H24" i="11"/>
  <c r="B24" i="11"/>
  <c r="Z24" i="11" s="1"/>
  <c r="O23" i="11"/>
  <c r="N23" i="11"/>
  <c r="L23" i="11"/>
  <c r="H23" i="11"/>
  <c r="B23" i="11"/>
  <c r="Z23" i="11" s="1"/>
  <c r="O22" i="11"/>
  <c r="N22" i="11"/>
  <c r="L22" i="11"/>
  <c r="H22" i="11"/>
  <c r="B22" i="11"/>
  <c r="Z22" i="11" s="1"/>
  <c r="O21" i="11"/>
  <c r="N21" i="11"/>
  <c r="L21" i="11"/>
  <c r="H21" i="11"/>
  <c r="B21" i="11"/>
  <c r="Z21" i="11" s="1"/>
  <c r="O20" i="11"/>
  <c r="N20" i="11"/>
  <c r="L20" i="11"/>
  <c r="H20" i="11"/>
  <c r="B20" i="11"/>
  <c r="Z20" i="11" s="1"/>
  <c r="O19" i="11"/>
  <c r="N19" i="11"/>
  <c r="L19" i="11"/>
  <c r="H19" i="11"/>
  <c r="B19" i="11"/>
  <c r="Z19" i="11" s="1"/>
  <c r="O18" i="11"/>
  <c r="N18" i="11"/>
  <c r="L18" i="11"/>
  <c r="H18" i="11"/>
  <c r="B18" i="11"/>
  <c r="Z18" i="11" s="1"/>
  <c r="O17" i="11"/>
  <c r="N17" i="11"/>
  <c r="L17" i="11"/>
  <c r="H17" i="11"/>
  <c r="B17" i="11"/>
  <c r="Z17" i="11" s="1"/>
  <c r="O16" i="11"/>
  <c r="N16" i="11"/>
  <c r="L16" i="11"/>
  <c r="H16" i="11"/>
  <c r="B16" i="11"/>
  <c r="Z16" i="11" s="1"/>
  <c r="O15" i="11"/>
  <c r="N15" i="11"/>
  <c r="L15" i="11"/>
  <c r="H15" i="11"/>
  <c r="O14" i="11"/>
  <c r="N14" i="11"/>
  <c r="L14" i="11"/>
  <c r="H14" i="11"/>
  <c r="O13" i="11"/>
  <c r="N13" i="11"/>
  <c r="L13" i="11"/>
  <c r="H13" i="11"/>
  <c r="O12" i="11"/>
  <c r="N12" i="11"/>
  <c r="L12" i="11"/>
  <c r="H12" i="11"/>
  <c r="B12" i="11"/>
  <c r="Z12" i="11" s="1"/>
  <c r="O11" i="11"/>
  <c r="N11" i="11"/>
  <c r="L11" i="11"/>
  <c r="H11" i="11"/>
  <c r="B11" i="11"/>
  <c r="Z11" i="11" s="1"/>
  <c r="O10" i="11"/>
  <c r="N10" i="11"/>
  <c r="L10" i="11"/>
  <c r="H10" i="11"/>
  <c r="B10" i="11"/>
  <c r="Z10" i="11" s="1"/>
  <c r="O9" i="11"/>
  <c r="N9" i="11"/>
  <c r="L9" i="11"/>
  <c r="H9" i="11"/>
  <c r="B9" i="11"/>
  <c r="Z9" i="11" s="1"/>
  <c r="O8" i="11"/>
  <c r="N8" i="11"/>
  <c r="L8" i="11"/>
  <c r="H8" i="11"/>
  <c r="B8" i="11"/>
  <c r="Z8" i="11" s="1"/>
  <c r="O7" i="11"/>
  <c r="N7" i="11"/>
  <c r="L7" i="11"/>
  <c r="H7" i="11"/>
  <c r="B7" i="11"/>
  <c r="Z7" i="11" s="1"/>
  <c r="O6" i="11"/>
  <c r="N6" i="11"/>
  <c r="L6" i="11"/>
  <c r="H6" i="11"/>
  <c r="B6" i="11"/>
  <c r="Z6" i="11" s="1"/>
  <c r="O5" i="11"/>
  <c r="N5" i="11"/>
  <c r="L5" i="11"/>
  <c r="H5" i="11"/>
  <c r="B5" i="11"/>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AG279" i="8"/>
  <c r="AG272" i="8"/>
  <c r="AG265" i="8"/>
  <c r="AG258" i="8"/>
  <c r="AG251" i="8"/>
  <c r="AG244" i="8"/>
  <c r="AG237" i="8"/>
  <c r="AG230" i="8"/>
  <c r="AG223" i="8"/>
  <c r="AG216" i="8"/>
  <c r="AG209" i="8"/>
  <c r="AG202" i="8"/>
  <c r="AG195" i="8"/>
  <c r="AG188" i="8"/>
  <c r="AG181" i="8"/>
  <c r="AG174" i="8"/>
  <c r="AG167" i="8"/>
  <c r="AG160" i="8"/>
  <c r="AG153" i="8"/>
  <c r="AG146" i="8"/>
  <c r="AG139" i="8"/>
  <c r="AG132" i="8"/>
  <c r="AG125" i="8"/>
  <c r="AG118" i="8"/>
  <c r="AG111" i="8"/>
  <c r="AG104" i="8"/>
  <c r="AG97" i="8"/>
  <c r="AG90" i="8"/>
  <c r="AG83" i="8"/>
  <c r="AG76" i="8"/>
  <c r="AG69" i="8"/>
  <c r="AG62" i="8"/>
  <c r="AG55" i="8"/>
  <c r="AG48" i="8"/>
  <c r="AG41" i="8"/>
  <c r="AG34" i="8"/>
  <c r="AG27" i="8"/>
  <c r="AG20" i="8"/>
  <c r="AG13" i="8"/>
  <c r="AG6" i="8"/>
  <c r="B1" i="6"/>
  <c r="F1" i="6" s="1"/>
  <c r="B9" i="5"/>
  <c r="B8" i="5"/>
  <c r="B7" i="5"/>
  <c r="B6" i="5"/>
  <c r="D7" i="20" l="1"/>
  <c r="F7" i="20" s="1"/>
  <c r="B15" i="17" s="1"/>
  <c r="B2" i="6" a="1"/>
  <c r="B2" i="6" s="1"/>
  <c r="A6" i="16" a="1"/>
  <c r="E34" i="13" a="1"/>
  <c r="E34" i="13" s="1"/>
  <c r="G34" i="13"/>
  <c r="U34" i="13" s="1"/>
  <c r="D34" i="13" a="1"/>
  <c r="D34" i="13" s="1"/>
  <c r="F34" i="13" a="1"/>
  <c r="F34" i="13" s="1"/>
  <c r="P6" i="15"/>
  <c r="D15" i="20" s="1" a="1"/>
  <c r="D15" i="20" s="1"/>
  <c r="V34" i="13" a="1"/>
  <c r="V34" i="13" s="1"/>
  <c r="D12" i="20"/>
  <c r="F12" i="20" s="1"/>
  <c r="D13" i="23" a="1"/>
  <c r="D13" i="23" s="1"/>
  <c r="T34" i="13" a="1"/>
  <c r="T34" i="13" s="1"/>
  <c r="A6" i="16"/>
  <c r="D9" i="23" a="1"/>
  <c r="D9" i="23" s="1"/>
  <c r="D8" i="23" a="1"/>
  <c r="D8" i="23" s="1"/>
  <c r="D7" i="23" a="1"/>
  <c r="D7" i="23" s="1"/>
  <c r="D6" i="23" a="1"/>
  <c r="D6" i="23" s="1"/>
  <c r="Z5" i="11"/>
  <c r="D10" i="20" s="1"/>
  <c r="D43" i="23" a="1"/>
  <c r="D43" i="23" s="1"/>
  <c r="D42" i="23" a="1"/>
  <c r="D42" i="23" s="1"/>
  <c r="B24" i="17"/>
  <c r="B27" i="17"/>
  <c r="E7" i="13" a="1"/>
  <c r="E7" i="13" s="1"/>
  <c r="D6" i="13" a="1"/>
  <c r="D6" i="13" s="1"/>
  <c r="E5" i="13" a="1"/>
  <c r="E5" i="13" s="1"/>
  <c r="D5" i="13" a="1"/>
  <c r="D5" i="13" s="1"/>
  <c r="F11" i="13" a="1"/>
  <c r="F11" i="13" s="1"/>
  <c r="E6" i="13" a="1"/>
  <c r="E6" i="13" s="1"/>
  <c r="E5" i="17"/>
  <c r="F10" i="13" a="1"/>
  <c r="F10" i="13" s="1"/>
  <c r="F9" i="13" a="1"/>
  <c r="F9" i="13" s="1"/>
  <c r="F8" i="13" a="1"/>
  <c r="F8" i="13" s="1"/>
  <c r="E9" i="13" a="1"/>
  <c r="E9" i="13" s="1"/>
  <c r="D8" i="13" a="1"/>
  <c r="D8" i="13" s="1"/>
  <c r="F7" i="13" a="1"/>
  <c r="F7" i="13" s="1"/>
  <c r="D9" i="13" a="1"/>
  <c r="D9" i="13" s="1"/>
  <c r="D7" i="13" a="1"/>
  <c r="D7" i="13" s="1"/>
  <c r="F6" i="13" a="1"/>
  <c r="F6" i="13" s="1"/>
  <c r="F5" i="13" a="1"/>
  <c r="F5" i="13" s="1"/>
  <c r="E11" i="13" a="1"/>
  <c r="E11" i="13" s="1"/>
  <c r="D11" i="13" a="1"/>
  <c r="D11" i="13" s="1"/>
  <c r="E8" i="13" a="1"/>
  <c r="E8" i="13" s="1"/>
  <c r="E10" i="13" a="1"/>
  <c r="E10" i="13" s="1"/>
  <c r="D10" i="13" a="1"/>
  <c r="D10" i="13" s="1"/>
  <c r="T24" i="11" a="1"/>
  <c r="T24" i="11" s="1"/>
  <c r="S24" i="11" a="1"/>
  <c r="S24" i="11" s="1"/>
  <c r="S27" i="11" a="1"/>
  <c r="S27" i="11" s="1"/>
  <c r="T27" i="11" a="1"/>
  <c r="T27" i="11" s="1"/>
  <c r="S30" i="11" a="1"/>
  <c r="S30" i="11" s="1"/>
  <c r="T30" i="11" a="1"/>
  <c r="T30" i="11" s="1"/>
  <c r="S16" i="11" a="1"/>
  <c r="S16" i="11" s="1"/>
  <c r="T16" i="11" a="1"/>
  <c r="T16" i="11" s="1"/>
  <c r="K11" i="15"/>
  <c r="K10" i="15"/>
  <c r="J11" i="15"/>
  <c r="K9" i="15"/>
  <c r="J10" i="15"/>
  <c r="D7" i="14"/>
  <c r="K8" i="15"/>
  <c r="J9" i="15"/>
  <c r="D6" i="14"/>
  <c r="J6" i="15"/>
  <c r="K7" i="15"/>
  <c r="J8" i="15"/>
  <c r="K6" i="15"/>
  <c r="D5" i="14"/>
  <c r="J7" i="15"/>
  <c r="U9" i="13"/>
  <c r="U6" i="13"/>
  <c r="U7" i="13"/>
  <c r="U10" i="13"/>
  <c r="U8" i="13"/>
  <c r="T25" i="11" a="1"/>
  <c r="T25" i="11" s="1"/>
  <c r="S25" i="11" a="1"/>
  <c r="S25" i="11" s="1"/>
  <c r="S22" i="11" a="1"/>
  <c r="S22" i="11" s="1"/>
  <c r="T22" i="11" a="1"/>
  <c r="T22" i="11" s="1"/>
  <c r="S28" i="11" a="1"/>
  <c r="S28" i="11" s="1"/>
  <c r="T28" i="11" a="1"/>
  <c r="T28" i="11" s="1"/>
  <c r="S17" i="11" a="1"/>
  <c r="S17" i="11" s="1"/>
  <c r="T17" i="11" a="1"/>
  <c r="T17" i="11" s="1"/>
  <c r="T23" i="11" a="1"/>
  <c r="T23" i="11" s="1"/>
  <c r="S23" i="11" a="1"/>
  <c r="S23" i="11" s="1"/>
  <c r="T26" i="11" a="1"/>
  <c r="T26" i="11" s="1"/>
  <c r="S26" i="11" a="1"/>
  <c r="S26" i="11" s="1"/>
  <c r="T19" i="11" a="1"/>
  <c r="T19" i="11" s="1"/>
  <c r="S19" i="11" a="1"/>
  <c r="S19" i="11" s="1"/>
  <c r="T20" i="11" a="1"/>
  <c r="T20" i="11" s="1"/>
  <c r="S20" i="11" a="1"/>
  <c r="S20" i="11" s="1"/>
  <c r="S18" i="11" a="1"/>
  <c r="S18" i="11" s="1"/>
  <c r="T18" i="11" a="1"/>
  <c r="T18" i="11" s="1"/>
  <c r="T21" i="11" a="1"/>
  <c r="T21" i="11" s="1"/>
  <c r="S21" i="11" a="1"/>
  <c r="S21" i="11" s="1"/>
  <c r="V38" i="13" a="1"/>
  <c r="V38" i="13" s="1"/>
  <c r="V45" i="13" a="1"/>
  <c r="V45" i="13" s="1"/>
  <c r="V10" i="13" a="1"/>
  <c r="V10" i="13" s="1"/>
  <c r="T10" i="13" s="1" a="1"/>
  <c r="T10" i="13" s="1"/>
  <c r="V11" i="13" a="1"/>
  <c r="V11" i="13" s="1"/>
  <c r="T11" i="13" s="1" a="1"/>
  <c r="T11" i="13" s="1"/>
  <c r="V5" i="13" a="1"/>
  <c r="V5" i="13" s="1"/>
  <c r="T5" i="13" s="1" a="1"/>
  <c r="T5" i="13" s="1"/>
  <c r="S12" i="11" a="1"/>
  <c r="S12" i="11" s="1"/>
  <c r="T6" i="11" a="1"/>
  <c r="T6" i="11" s="1"/>
  <c r="T12" i="11" a="1"/>
  <c r="T12" i="11" s="1"/>
  <c r="S11" i="11" a="1"/>
  <c r="S11" i="11" s="1"/>
  <c r="T7" i="11" a="1"/>
  <c r="T7" i="11" s="1"/>
  <c r="T11" i="11" a="1"/>
  <c r="T11" i="11" s="1"/>
  <c r="S10" i="11" a="1"/>
  <c r="S10" i="11" s="1"/>
  <c r="T5" i="11" a="1"/>
  <c r="T5" i="11" s="1"/>
  <c r="T10" i="11" a="1"/>
  <c r="T10" i="11" s="1"/>
  <c r="S9" i="11" a="1"/>
  <c r="S9" i="11" s="1"/>
  <c r="T9" i="11" a="1"/>
  <c r="T9" i="11" s="1"/>
  <c r="S8" i="11" a="1"/>
  <c r="S8" i="11" s="1"/>
  <c r="S6" i="11" a="1"/>
  <c r="S6" i="11" s="1"/>
  <c r="T8" i="11" a="1"/>
  <c r="T8" i="11" s="1"/>
  <c r="S7" i="11" a="1"/>
  <c r="S7" i="11" s="1"/>
  <c r="S5" i="11" a="1"/>
  <c r="S5" i="11" s="1"/>
  <c r="V33" i="13" a="1"/>
  <c r="V33" i="13" s="1"/>
  <c r="V61" i="13" a="1"/>
  <c r="V61" i="13" s="1"/>
  <c r="V7" i="13" a="1"/>
  <c r="V7" i="13" s="1"/>
  <c r="T7" i="13" s="1" a="1"/>
  <c r="T7" i="13" s="1"/>
  <c r="V6" i="13" a="1"/>
  <c r="V6" i="13" s="1"/>
  <c r="T6" i="13" s="1" a="1"/>
  <c r="T6" i="13" s="1"/>
  <c r="V8" i="13" a="1"/>
  <c r="V8" i="13" s="1"/>
  <c r="T8" i="13" s="1" a="1"/>
  <c r="T8" i="13" s="1"/>
  <c r="V9" i="13" a="1"/>
  <c r="V9" i="13" s="1"/>
  <c r="T9" i="13" s="1" a="1"/>
  <c r="T9" i="13" s="1"/>
  <c r="C15" i="7"/>
  <c r="P20" i="11"/>
  <c r="Q20" i="11" s="1"/>
  <c r="P9" i="11"/>
  <c r="Q9" i="11" s="1"/>
  <c r="P5" i="11"/>
  <c r="P6" i="11"/>
  <c r="Q6" i="11" s="1"/>
  <c r="P24" i="11"/>
  <c r="Q24" i="11" s="1"/>
  <c r="P13" i="11"/>
  <c r="Q13" i="11" s="1"/>
  <c r="P17" i="11"/>
  <c r="Q17" i="11" s="1"/>
  <c r="P21" i="11"/>
  <c r="Q21" i="11" s="1"/>
  <c r="P15" i="11"/>
  <c r="Q15" i="11" s="1"/>
  <c r="P29" i="11"/>
  <c r="Q29" i="11" s="1"/>
  <c r="P8" i="11"/>
  <c r="Q8" i="11" s="1"/>
  <c r="P19" i="11"/>
  <c r="Q19" i="11" s="1"/>
  <c r="P7" i="11"/>
  <c r="Q7" i="11" s="1"/>
  <c r="P18" i="11"/>
  <c r="Q18" i="11" s="1"/>
  <c r="P25" i="11"/>
  <c r="Q25" i="11" s="1"/>
  <c r="C165" i="7"/>
  <c r="C59" i="7"/>
  <c r="C13" i="7"/>
  <c r="C8" i="7"/>
  <c r="C9" i="7"/>
  <c r="C10" i="7"/>
  <c r="C11" i="7"/>
  <c r="B13" i="17"/>
  <c r="C85" i="7"/>
  <c r="C150" i="7"/>
  <c r="C109" i="7"/>
  <c r="C52" i="7"/>
  <c r="C44" i="7"/>
  <c r="C202" i="7"/>
  <c r="C158" i="7"/>
  <c r="C134" i="7"/>
  <c r="C93" i="7"/>
  <c r="C36" i="7"/>
  <c r="C193" i="7"/>
  <c r="C142" i="7"/>
  <c r="C101" i="7"/>
  <c r="C60" i="7"/>
  <c r="C184" i="7"/>
  <c r="C125" i="7"/>
  <c r="C76" i="7"/>
  <c r="C27" i="7"/>
  <c r="C210" i="7"/>
  <c r="C200" i="7"/>
  <c r="C132" i="7"/>
  <c r="C83" i="7"/>
  <c r="C34" i="7"/>
  <c r="C199" i="7"/>
  <c r="C181" i="7"/>
  <c r="C172" i="7"/>
  <c r="C139" i="7"/>
  <c r="C90" i="7"/>
  <c r="C41" i="7"/>
  <c r="C51" i="7"/>
  <c r="C116" i="7"/>
  <c r="C208" i="7"/>
  <c r="C92" i="7"/>
  <c r="C67" i="7"/>
  <c r="C192" i="7"/>
  <c r="C157" i="7"/>
  <c r="C43" i="7"/>
  <c r="C108" i="7"/>
  <c r="C141" i="7"/>
  <c r="C18" i="7"/>
  <c r="C149" i="7"/>
  <c r="C174" i="7"/>
  <c r="C100" i="7"/>
  <c r="C17" i="7"/>
  <c r="C25" i="7"/>
  <c r="C50" i="7"/>
  <c r="C58" i="7"/>
  <c r="C66" i="7"/>
  <c r="C74" i="7"/>
  <c r="C99" i="7"/>
  <c r="C107" i="7"/>
  <c r="C115" i="7"/>
  <c r="C123" i="7"/>
  <c r="C148" i="7"/>
  <c r="C156" i="7"/>
  <c r="C164" i="7"/>
  <c r="C191" i="7"/>
  <c r="P30" i="11"/>
  <c r="Q30" i="11" s="1"/>
  <c r="P10" i="11"/>
  <c r="Q10" i="11" s="1"/>
  <c r="P12" i="11"/>
  <c r="Q12" i="11" s="1"/>
  <c r="C185" i="7"/>
  <c r="C69" i="7"/>
  <c r="C167" i="7"/>
  <c r="G1" i="6"/>
  <c r="E1" i="6"/>
  <c r="C1" i="6"/>
  <c r="C29" i="7"/>
  <c r="C37" i="7"/>
  <c r="C45" i="7"/>
  <c r="C53" i="7"/>
  <c r="C78" i="7"/>
  <c r="C86" i="7"/>
  <c r="C94" i="7"/>
  <c r="C102" i="7"/>
  <c r="C127" i="7"/>
  <c r="C135" i="7"/>
  <c r="C143" i="7"/>
  <c r="C151" i="7"/>
  <c r="C177" i="7"/>
  <c r="P16" i="11"/>
  <c r="Q16" i="11" s="1"/>
  <c r="C20" i="7"/>
  <c r="C118" i="7"/>
  <c r="D1" i="6"/>
  <c r="C62" i="7"/>
  <c r="C111" i="7"/>
  <c r="C160" i="7"/>
  <c r="C186" i="7"/>
  <c r="C195" i="7"/>
  <c r="C22" i="7"/>
  <c r="C30" i="7"/>
  <c r="C38" i="7"/>
  <c r="C46" i="7"/>
  <c r="C71" i="7"/>
  <c r="C79" i="7"/>
  <c r="C87" i="7"/>
  <c r="C95" i="7"/>
  <c r="C120" i="7"/>
  <c r="C128" i="7"/>
  <c r="C136" i="7"/>
  <c r="C144" i="7"/>
  <c r="C178" i="7"/>
  <c r="C205" i="7"/>
  <c r="C207" i="7"/>
  <c r="C206" i="7"/>
  <c r="C204" i="7"/>
  <c r="C197" i="7"/>
  <c r="C190" i="7"/>
  <c r="C183" i="7"/>
  <c r="C176" i="7"/>
  <c r="C169" i="7"/>
  <c r="C211" i="7"/>
  <c r="C203" i="7"/>
  <c r="C196" i="7"/>
  <c r="C189" i="7"/>
  <c r="C182" i="7"/>
  <c r="C175" i="7"/>
  <c r="C168" i="7"/>
  <c r="C161" i="7"/>
  <c r="C154" i="7"/>
  <c r="C147" i="7"/>
  <c r="C140" i="7"/>
  <c r="C133" i="7"/>
  <c r="C126" i="7"/>
  <c r="C119" i="7"/>
  <c r="C112" i="7"/>
  <c r="C105" i="7"/>
  <c r="C98" i="7"/>
  <c r="C91" i="7"/>
  <c r="C84" i="7"/>
  <c r="C77" i="7"/>
  <c r="C70" i="7"/>
  <c r="C63" i="7"/>
  <c r="C56" i="7"/>
  <c r="C49" i="7"/>
  <c r="C42" i="7"/>
  <c r="C35" i="7"/>
  <c r="C28" i="7"/>
  <c r="C21" i="7"/>
  <c r="C14" i="7"/>
  <c r="C7" i="7"/>
  <c r="C209" i="7"/>
  <c r="C201" i="7"/>
  <c r="C194" i="7"/>
  <c r="C187" i="7"/>
  <c r="C180" i="7"/>
  <c r="C173" i="7"/>
  <c r="C166" i="7"/>
  <c r="C159" i="7"/>
  <c r="C152" i="7"/>
  <c r="C145" i="7"/>
  <c r="C138" i="7"/>
  <c r="C131" i="7"/>
  <c r="C124" i="7"/>
  <c r="C117" i="7"/>
  <c r="C110" i="7"/>
  <c r="C103" i="7"/>
  <c r="C96" i="7"/>
  <c r="C89" i="7"/>
  <c r="C82" i="7"/>
  <c r="C75" i="7"/>
  <c r="C68" i="7"/>
  <c r="C61" i="7"/>
  <c r="C54" i="7"/>
  <c r="C47" i="7"/>
  <c r="C40" i="7"/>
  <c r="C33" i="7"/>
  <c r="C26" i="7"/>
  <c r="C19" i="7"/>
  <c r="C12" i="7"/>
  <c r="C5" i="7"/>
  <c r="C6" i="7"/>
  <c r="C55" i="7"/>
  <c r="C104" i="7"/>
  <c r="C153" i="7"/>
  <c r="C170" i="7"/>
  <c r="C23" i="7"/>
  <c r="C31" i="7"/>
  <c r="C39" i="7"/>
  <c r="C64" i="7"/>
  <c r="C72" i="7"/>
  <c r="C80" i="7"/>
  <c r="C88" i="7"/>
  <c r="C113" i="7"/>
  <c r="C121" i="7"/>
  <c r="C129" i="7"/>
  <c r="C137" i="7"/>
  <c r="C162" i="7"/>
  <c r="C179" i="7"/>
  <c r="C188" i="7"/>
  <c r="C48" i="7"/>
  <c r="C97" i="7"/>
  <c r="C146" i="7"/>
  <c r="C171" i="7"/>
  <c r="C198" i="7"/>
  <c r="C16" i="7"/>
  <c r="C24" i="7"/>
  <c r="C32" i="7"/>
  <c r="C57" i="7"/>
  <c r="C65" i="7"/>
  <c r="C73" i="7"/>
  <c r="C81" i="7"/>
  <c r="C106" i="7"/>
  <c r="C114" i="7"/>
  <c r="C122" i="7"/>
  <c r="C130" i="7"/>
  <c r="C155" i="7"/>
  <c r="C163" i="7"/>
  <c r="P22" i="11"/>
  <c r="Q22" i="11" s="1"/>
  <c r="B10" i="17"/>
  <c r="B9" i="17"/>
  <c r="P26" i="11"/>
  <c r="Q26" i="11" s="1"/>
  <c r="P11" i="11"/>
  <c r="Q11" i="11" s="1"/>
  <c r="P23" i="11"/>
  <c r="Q23" i="11" s="1"/>
  <c r="F14" i="20"/>
  <c r="P14" i="11"/>
  <c r="Q14" i="11" s="1"/>
  <c r="P28" i="11"/>
  <c r="Q28" i="11" s="1"/>
  <c r="E9" i="17"/>
  <c r="E6" i="17" l="1"/>
  <c r="E2" i="6"/>
  <c r="D2" i="6"/>
  <c r="C2" i="6"/>
  <c r="G2" i="6"/>
  <c r="F2" i="6"/>
  <c r="V6" i="16" a="1"/>
  <c r="V6" i="16" s="1"/>
  <c r="O6" i="16" a="1"/>
  <c r="O6" i="16" s="1"/>
  <c r="G6" i="16" a="1"/>
  <c r="G6" i="16" s="1"/>
  <c r="C6" i="16" a="1"/>
  <c r="C6" i="16" s="1"/>
  <c r="F6" i="16" a="1"/>
  <c r="F6" i="16" s="1"/>
  <c r="K6" i="16" a="1"/>
  <c r="K6" i="16" s="1"/>
  <c r="B6" i="16" a="1"/>
  <c r="B6" i="16" s="1"/>
  <c r="S6" i="16" a="1"/>
  <c r="S6" i="16" s="1"/>
  <c r="E6" i="16" a="1"/>
  <c r="E6" i="16" s="1"/>
  <c r="D6" i="16" a="1"/>
  <c r="D6" i="16" s="1"/>
  <c r="W6" i="16" a="1"/>
  <c r="W6" i="16" s="1"/>
  <c r="N6" i="16" a="1"/>
  <c r="N6" i="16" s="1"/>
  <c r="U6" i="16" a="1"/>
  <c r="U6" i="16" s="1"/>
  <c r="R6" i="16" a="1"/>
  <c r="R6" i="16" s="1"/>
  <c r="X6" i="16" a="1"/>
  <c r="X6" i="16" s="1"/>
  <c r="T6" i="16" a="1"/>
  <c r="T6" i="16" s="1"/>
  <c r="L6" i="16" a="1"/>
  <c r="L6" i="16" s="1"/>
  <c r="M6" i="16" a="1"/>
  <c r="M6" i="16" s="1"/>
  <c r="D11" i="20" a="1"/>
  <c r="D11" i="20" s="1"/>
  <c r="F11" i="20" s="1"/>
  <c r="Q5" i="11"/>
  <c r="E7" i="17" s="1"/>
  <c r="D19" i="23" a="1"/>
  <c r="D19" i="23" s="1"/>
  <c r="B22" i="17"/>
  <c r="F15" i="20"/>
  <c r="F10" i="20"/>
  <c r="H6" i="17"/>
  <c r="U11" i="13"/>
  <c r="D7" i="15"/>
  <c r="Q7" i="15" s="1"/>
  <c r="D8" i="15"/>
  <c r="Q8" i="15" s="1"/>
  <c r="D11" i="15"/>
  <c r="Q11" i="15" s="1"/>
  <c r="D6" i="15"/>
  <c r="U5" i="13"/>
  <c r="D9" i="15"/>
  <c r="Q9" i="15" s="1"/>
  <c r="D10" i="15"/>
  <c r="Q10" i="15" s="1"/>
  <c r="E8" i="17"/>
  <c r="X174" i="8"/>
  <c r="U174" i="8" a="1"/>
  <c r="U174" i="8" s="1"/>
  <c r="X230" i="8"/>
  <c r="U230" i="8" a="1"/>
  <c r="U230" i="8" s="1"/>
  <c r="U48" i="8" a="1"/>
  <c r="U48" i="8" s="1"/>
  <c r="W48" i="8" s="1"/>
  <c r="X48" i="8"/>
  <c r="X181" i="8"/>
  <c r="U181" i="8" a="1"/>
  <c r="U181" i="8" s="1"/>
  <c r="F13" i="8"/>
  <c r="AB13" i="8" s="1"/>
  <c r="U13" i="8" a="1"/>
  <c r="U13" i="8" s="1"/>
  <c r="W13" i="8" s="1"/>
  <c r="X13" i="8"/>
  <c r="U146" i="8" a="1"/>
  <c r="U146" i="8" s="1"/>
  <c r="X146" i="8"/>
  <c r="U216" i="8" a="1"/>
  <c r="U216" i="8" s="1"/>
  <c r="X216" i="8"/>
  <c r="U132" i="8" a="1"/>
  <c r="U132" i="8" s="1"/>
  <c r="X132" i="8"/>
  <c r="X223" i="8"/>
  <c r="U223" i="8" a="1"/>
  <c r="U223" i="8" s="1"/>
  <c r="U6" i="8" a="1"/>
  <c r="U6" i="8" s="1"/>
  <c r="W6" i="8" s="1"/>
  <c r="X6" i="8"/>
  <c r="X258" i="8"/>
  <c r="U258" i="8" a="1"/>
  <c r="U258" i="8" s="1"/>
  <c r="F20" i="8"/>
  <c r="AB20" i="8" s="1"/>
  <c r="X20" i="8"/>
  <c r="U20" i="8" a="1"/>
  <c r="U20" i="8" s="1"/>
  <c r="W20" i="8" s="1"/>
  <c r="X167" i="8"/>
  <c r="U167" i="8" a="1"/>
  <c r="U167" i="8" s="1"/>
  <c r="X104" i="8"/>
  <c r="U104" i="8" a="1"/>
  <c r="U104" i="8" s="1"/>
  <c r="U153" i="8" a="1"/>
  <c r="U153" i="8" s="1"/>
  <c r="X153" i="8"/>
  <c r="U83" i="8" a="1"/>
  <c r="U83" i="8" s="1"/>
  <c r="X83" i="8"/>
  <c r="X139" i="8"/>
  <c r="U139" i="8" a="1"/>
  <c r="U139" i="8" s="1"/>
  <c r="X251" i="8"/>
  <c r="U251" i="8" a="1"/>
  <c r="U251" i="8" s="1"/>
  <c r="X34" i="8"/>
  <c r="U34" i="8" a="1"/>
  <c r="U34" i="8" s="1"/>
  <c r="W34" i="8" s="1"/>
  <c r="U111" i="8" a="1"/>
  <c r="U111" i="8" s="1"/>
  <c r="X111" i="8"/>
  <c r="U265" i="8" a="1"/>
  <c r="U265" i="8" s="1"/>
  <c r="X265" i="8"/>
  <c r="F244" i="8"/>
  <c r="AB244" i="8" s="1"/>
  <c r="U244" i="8" a="1"/>
  <c r="U244" i="8" s="1"/>
  <c r="X244" i="8"/>
  <c r="U202" i="8" a="1"/>
  <c r="U202" i="8" s="1"/>
  <c r="X202" i="8"/>
  <c r="U90" i="8" a="1"/>
  <c r="U90" i="8" s="1"/>
  <c r="X90" i="8"/>
  <c r="X76" i="8"/>
  <c r="U76" i="8" a="1"/>
  <c r="U76" i="8" s="1"/>
  <c r="X69" i="8"/>
  <c r="U69" i="8" a="1"/>
  <c r="U69" i="8" s="1"/>
  <c r="F160" i="8"/>
  <c r="AB160" i="8" s="1"/>
  <c r="U160" i="8" a="1"/>
  <c r="U160" i="8" s="1"/>
  <c r="X160" i="8"/>
  <c r="X195" i="8"/>
  <c r="U195" i="8" a="1"/>
  <c r="U195" i="8" s="1"/>
  <c r="U279" i="8" a="1"/>
  <c r="U279" i="8" s="1"/>
  <c r="X279" i="8"/>
  <c r="X41" i="8"/>
  <c r="U41" i="8" a="1"/>
  <c r="U41" i="8" s="1"/>
  <c r="W41" i="8" s="1"/>
  <c r="X237" i="8"/>
  <c r="U237" i="8" a="1"/>
  <c r="U237" i="8" s="1"/>
  <c r="X97" i="8"/>
  <c r="U97" i="8" a="1"/>
  <c r="U97" i="8" s="1"/>
  <c r="X27" i="8"/>
  <c r="U27" i="8" a="1"/>
  <c r="U27" i="8" s="1"/>
  <c r="W27" i="8" s="1"/>
  <c r="X272" i="8"/>
  <c r="U272" i="8" a="1"/>
  <c r="U272" i="8" s="1"/>
  <c r="X62" i="8"/>
  <c r="U62" i="8" a="1"/>
  <c r="U62" i="8" s="1"/>
  <c r="W62" i="8" s="1"/>
  <c r="X188" i="8"/>
  <c r="U188" i="8" a="1"/>
  <c r="U188" i="8" s="1"/>
  <c r="U118" i="8" a="1"/>
  <c r="U118" i="8" s="1"/>
  <c r="X118" i="8"/>
  <c r="X125" i="8"/>
  <c r="U125" i="8" a="1"/>
  <c r="U125" i="8" s="1"/>
  <c r="X55" i="8"/>
  <c r="U55" i="8" a="1"/>
  <c r="U55" i="8" s="1"/>
  <c r="W55" i="8" s="1"/>
  <c r="U209" i="8" a="1"/>
  <c r="U209" i="8" s="1"/>
  <c r="X209" i="8"/>
  <c r="F272" i="8"/>
  <c r="AB272" i="8" s="1"/>
  <c r="F209" i="8"/>
  <c r="AB209" i="8" s="1"/>
  <c r="F216" i="8"/>
  <c r="AB216" i="8" s="1"/>
  <c r="F83" i="8"/>
  <c r="AB83" i="8" s="1"/>
  <c r="F139" i="8"/>
  <c r="AB139" i="8" s="1"/>
  <c r="F174" i="8"/>
  <c r="AB174" i="8" s="1"/>
  <c r="F223" i="8"/>
  <c r="AB223" i="8" s="1"/>
  <c r="F41" i="8"/>
  <c r="AB41" i="8" s="1"/>
  <c r="F202" i="8"/>
  <c r="AB202" i="8" s="1"/>
  <c r="F237" i="8"/>
  <c r="AB237" i="8" s="1"/>
  <c r="F125" i="8"/>
  <c r="AB125" i="8" s="1"/>
  <c r="F258" i="8"/>
  <c r="AB258" i="8" s="1"/>
  <c r="F167" i="8"/>
  <c r="AB167" i="8" s="1"/>
  <c r="F104" i="8"/>
  <c r="AB104" i="8" s="1"/>
  <c r="F153" i="8"/>
  <c r="AB153" i="8" s="1"/>
  <c r="F90" i="8"/>
  <c r="AB90" i="8" s="1"/>
  <c r="F265" i="8"/>
  <c r="AB265" i="8" s="1"/>
  <c r="F97" i="8"/>
  <c r="AB97" i="8" s="1"/>
  <c r="F118" i="8"/>
  <c r="AB118" i="8" s="1"/>
  <c r="F230" i="8"/>
  <c r="AB230" i="8" s="1"/>
  <c r="F6" i="8"/>
  <c r="F48" i="8"/>
  <c r="AB48" i="8" s="1"/>
  <c r="F251" i="8"/>
  <c r="AB251" i="8" s="1"/>
  <c r="F34" i="8"/>
  <c r="AB34" i="8" s="1"/>
  <c r="F111" i="8"/>
  <c r="AB111" i="8" s="1"/>
  <c r="F181" i="8"/>
  <c r="AB181" i="8" s="1"/>
  <c r="F76" i="8"/>
  <c r="AB76" i="8" s="1"/>
  <c r="F62" i="8"/>
  <c r="AB62" i="8" s="1"/>
  <c r="F188" i="8"/>
  <c r="AB188" i="8" s="1"/>
  <c r="F27" i="8"/>
  <c r="AB27" i="8" s="1"/>
  <c r="F55" i="8"/>
  <c r="AB55" i="8" s="1"/>
  <c r="F146" i="8"/>
  <c r="AB146" i="8" s="1"/>
  <c r="F132" i="8"/>
  <c r="AB132" i="8" s="1"/>
  <c r="F69" i="8"/>
  <c r="AB69" i="8" s="1"/>
  <c r="F195" i="8"/>
  <c r="AB195" i="8" s="1"/>
  <c r="F279" i="8"/>
  <c r="AB279" i="8" s="1"/>
  <c r="B13" i="8"/>
  <c r="B20" i="8"/>
  <c r="B6" i="8"/>
  <c r="B244" i="8"/>
  <c r="B111" i="8"/>
  <c r="B160" i="8"/>
  <c r="B97" i="8"/>
  <c r="B118" i="8"/>
  <c r="B125" i="8"/>
  <c r="B146" i="8"/>
  <c r="B216" i="8"/>
  <c r="B258" i="8"/>
  <c r="B55" i="8"/>
  <c r="B48" i="8"/>
  <c r="B209" i="8"/>
  <c r="B237" i="8"/>
  <c r="B181" i="8"/>
  <c r="B104" i="8"/>
  <c r="B41" i="8"/>
  <c r="B202" i="8"/>
  <c r="B153" i="8"/>
  <c r="B90" i="8"/>
  <c r="B265" i="8"/>
  <c r="B139" i="8"/>
  <c r="B132" i="8"/>
  <c r="B230" i="8"/>
  <c r="I10" i="15"/>
  <c r="G9" i="15"/>
  <c r="G6" i="15"/>
  <c r="H10" i="15"/>
  <c r="I8" i="15"/>
  <c r="H8" i="15"/>
  <c r="H6" i="15"/>
  <c r="I9" i="15"/>
  <c r="H9" i="15"/>
  <c r="I11" i="15"/>
  <c r="I7" i="15"/>
  <c r="H11" i="15"/>
  <c r="H7" i="15"/>
  <c r="G11" i="15"/>
  <c r="G7" i="15"/>
  <c r="I6" i="15"/>
  <c r="G10" i="15"/>
  <c r="G8" i="15"/>
  <c r="B20" i="17"/>
  <c r="B251" i="8"/>
  <c r="B34" i="8"/>
  <c r="B174" i="8"/>
  <c r="B223" i="8"/>
  <c r="B76" i="8"/>
  <c r="B69" i="8"/>
  <c r="B83" i="8"/>
  <c r="B272" i="8"/>
  <c r="B62" i="8"/>
  <c r="B188" i="8"/>
  <c r="B27" i="8"/>
  <c r="B167" i="8"/>
  <c r="B195" i="8"/>
  <c r="B279" i="8"/>
  <c r="I6" i="16" l="1" a="1"/>
  <c r="I6" i="16" s="1"/>
  <c r="H6" i="16" a="1"/>
  <c r="H6" i="16" s="1"/>
  <c r="D13" i="20" a="1"/>
  <c r="D13" i="20" s="1"/>
  <c r="F13" i="20" s="1"/>
  <c r="P6" i="16" a="1"/>
  <c r="P6" i="16" s="1"/>
  <c r="Q6" i="16" a="1"/>
  <c r="Q6" i="16" s="1"/>
  <c r="AB6" i="8"/>
  <c r="I2" i="6"/>
  <c r="D8" i="20" a="1"/>
  <c r="D8" i="20" s="1"/>
  <c r="F8" i="20" s="1"/>
  <c r="D9" i="20" a="1"/>
  <c r="D9" i="20" s="1"/>
  <c r="F9" i="20" s="1"/>
  <c r="D28" i="23" a="1"/>
  <c r="D28" i="23" s="1"/>
  <c r="D29" i="23" a="1"/>
  <c r="D29" i="23" s="1"/>
  <c r="Q6" i="15"/>
  <c r="D36" i="23" a="1"/>
  <c r="D36" i="23" s="1"/>
  <c r="D35" i="23" a="1"/>
  <c r="D35" i="23" s="1"/>
  <c r="B23" i="17"/>
  <c r="B6" i="17" a="1"/>
  <c r="B6" i="17" s="1"/>
  <c r="H10" i="17"/>
  <c r="E8" i="9"/>
  <c r="E9" i="9"/>
  <c r="E7" i="9"/>
  <c r="D11" i="9"/>
  <c r="D8" i="9"/>
  <c r="D5" i="9"/>
  <c r="E6" i="9"/>
  <c r="D10" i="9"/>
  <c r="E5" i="9"/>
  <c r="D9" i="9"/>
  <c r="D7" i="9"/>
  <c r="D6" i="9"/>
  <c r="E11" i="9"/>
  <c r="E10" i="9"/>
  <c r="AI76" i="8" a="1"/>
  <c r="AI76" i="8" s="1"/>
  <c r="AJ76" i="8" a="1"/>
  <c r="AJ76" i="8" s="1"/>
  <c r="AH76" i="8" a="1"/>
  <c r="AH76" i="8" s="1"/>
  <c r="AH265" i="8" a="1"/>
  <c r="AH265" i="8" s="1"/>
  <c r="AI265" i="8" a="1"/>
  <c r="AI265" i="8" s="1"/>
  <c r="AJ265" i="8" a="1"/>
  <c r="AJ265" i="8" s="1"/>
  <c r="AH90" i="8" a="1"/>
  <c r="AH90" i="8" s="1"/>
  <c r="AJ90" i="8" a="1"/>
  <c r="AJ90" i="8" s="1"/>
  <c r="AI90" i="8" a="1"/>
  <c r="AI90" i="8" s="1"/>
  <c r="AI181" i="8" a="1"/>
  <c r="AI181" i="8" s="1"/>
  <c r="AJ181" i="8" a="1"/>
  <c r="AJ181" i="8" s="1"/>
  <c r="AH181" i="8" a="1"/>
  <c r="AH181" i="8" s="1"/>
  <c r="AJ195" i="8" a="1"/>
  <c r="AJ195" i="8" s="1"/>
  <c r="AI195" i="8" a="1"/>
  <c r="AI195" i="8" s="1"/>
  <c r="AH195" i="8" a="1"/>
  <c r="AH195" i="8" s="1"/>
  <c r="AJ258" i="8" a="1"/>
  <c r="AJ258" i="8" s="1"/>
  <c r="AI258" i="8" a="1"/>
  <c r="AI258" i="8" s="1"/>
  <c r="AH258" i="8" a="1"/>
  <c r="AH258" i="8" s="1"/>
  <c r="AJ118" i="8" a="1"/>
  <c r="AJ118" i="8" s="1"/>
  <c r="AH118" i="8" a="1"/>
  <c r="AH118" i="8" s="1"/>
  <c r="AI118" i="8" a="1"/>
  <c r="AI118" i="8" s="1"/>
  <c r="AH167" i="8" a="1"/>
  <c r="AH167" i="8" s="1"/>
  <c r="AI167" i="8" a="1"/>
  <c r="AI167" i="8" s="1"/>
  <c r="AJ167" i="8" a="1"/>
  <c r="AJ167" i="8" s="1"/>
  <c r="AH188" i="8" a="1"/>
  <c r="AH188" i="8" s="1"/>
  <c r="AJ188" i="8" a="1"/>
  <c r="AJ188" i="8" s="1"/>
  <c r="AI188" i="8" a="1"/>
  <c r="AI188" i="8" s="1"/>
  <c r="AI153" i="8" a="1"/>
  <c r="AI153" i="8" s="1"/>
  <c r="AJ153" i="8" a="1"/>
  <c r="AJ153" i="8" s="1"/>
  <c r="AH153" i="8" a="1"/>
  <c r="AH153" i="8" s="1"/>
  <c r="AJ237" i="8" a="1"/>
  <c r="AJ237" i="8" s="1"/>
  <c r="AI237" i="8" a="1"/>
  <c r="AI237" i="8" s="1"/>
  <c r="AH237" i="8" a="1"/>
  <c r="AH237" i="8" s="1"/>
  <c r="AI209" i="8" a="1"/>
  <c r="AI209" i="8" s="1"/>
  <c r="AH209" i="8" a="1"/>
  <c r="AH209" i="8" s="1"/>
  <c r="AJ209" i="8" a="1"/>
  <c r="AJ209" i="8" s="1"/>
  <c r="AH104" i="8" a="1"/>
  <c r="AH104" i="8" s="1"/>
  <c r="AJ104" i="8" a="1"/>
  <c r="AJ104" i="8" s="1"/>
  <c r="AI104" i="8" a="1"/>
  <c r="AI104" i="8" s="1"/>
  <c r="AH202" i="8" a="1"/>
  <c r="AH202" i="8" s="1"/>
  <c r="AJ202" i="8" a="1"/>
  <c r="AJ202" i="8" s="1"/>
  <c r="AI202" i="8" a="1"/>
  <c r="AI202" i="8" s="1"/>
  <c r="AJ97" i="8" a="1"/>
  <c r="AJ97" i="8" s="1"/>
  <c r="AI97" i="8" a="1"/>
  <c r="AI97" i="8" s="1"/>
  <c r="AH97" i="8" a="1"/>
  <c r="AH97" i="8" s="1"/>
  <c r="AJ160" i="8" a="1"/>
  <c r="AJ160" i="8" s="1"/>
  <c r="AI160" i="8" a="1"/>
  <c r="AI160" i="8" s="1"/>
  <c r="AH160" i="8" a="1"/>
  <c r="AH160" i="8" s="1"/>
  <c r="AH55" i="8" a="1"/>
  <c r="AH55" i="8" s="1"/>
  <c r="AH69" i="8" a="1"/>
  <c r="AH69" i="8" s="1"/>
  <c r="AI69" i="8" a="1"/>
  <c r="AI69" i="8" s="1"/>
  <c r="AJ69" i="8" a="1"/>
  <c r="AJ69" i="8" s="1"/>
  <c r="AJ174" i="8" a="1"/>
  <c r="AJ174" i="8" s="1"/>
  <c r="AI174" i="8" a="1"/>
  <c r="AI174" i="8" s="1"/>
  <c r="AH174" i="8" a="1"/>
  <c r="AH174" i="8" s="1"/>
  <c r="AJ272" i="8" a="1"/>
  <c r="AJ272" i="8" s="1"/>
  <c r="AI272" i="8" a="1"/>
  <c r="AI272" i="8" s="1"/>
  <c r="AH272" i="8" a="1"/>
  <c r="AH272" i="8" s="1"/>
  <c r="AJ139" i="8" a="1"/>
  <c r="AJ139" i="8" s="1"/>
  <c r="AI139" i="8" a="1"/>
  <c r="AI139" i="8" s="1"/>
  <c r="AH139" i="8" a="1"/>
  <c r="AH139" i="8" s="1"/>
  <c r="AH216" i="8" a="1"/>
  <c r="AH216" i="8" s="1"/>
  <c r="AJ216" i="8" a="1"/>
  <c r="AJ216" i="8" s="1"/>
  <c r="AI216" i="8" a="1"/>
  <c r="AI216" i="8" s="1"/>
  <c r="AJ223" i="8" a="1"/>
  <c r="AJ223" i="8" s="1"/>
  <c r="AI223" i="8" a="1"/>
  <c r="AI223" i="8" s="1"/>
  <c r="AH223" i="8" a="1"/>
  <c r="AH223" i="8" s="1"/>
  <c r="AI230" i="8" a="1"/>
  <c r="AI230" i="8" s="1"/>
  <c r="AH230" i="8" a="1"/>
  <c r="AH230" i="8" s="1"/>
  <c r="AJ230" i="8" a="1"/>
  <c r="AJ230" i="8" s="1"/>
  <c r="AI132" i="8" a="1"/>
  <c r="AI132" i="8" s="1"/>
  <c r="AH132" i="8" a="1"/>
  <c r="AH132" i="8" s="1"/>
  <c r="AJ132" i="8" a="1"/>
  <c r="AJ132" i="8" s="1"/>
  <c r="K6" i="7"/>
  <c r="J6" i="7"/>
  <c r="K5" i="7"/>
  <c r="J5" i="7"/>
  <c r="AH146" i="8" a="1"/>
  <c r="AH146" i="8" s="1"/>
  <c r="AJ146" i="8" a="1"/>
  <c r="AJ146" i="8" s="1"/>
  <c r="AI146" i="8" a="1"/>
  <c r="AI146" i="8" s="1"/>
  <c r="AI111" i="8" a="1"/>
  <c r="AI111" i="8" s="1"/>
  <c r="AH111" i="8" a="1"/>
  <c r="AH111" i="8" s="1"/>
  <c r="AJ111" i="8" a="1"/>
  <c r="AJ111" i="8" s="1"/>
  <c r="AH244" i="8" a="1"/>
  <c r="AH244" i="8" s="1"/>
  <c r="AJ244" i="8" a="1"/>
  <c r="AJ244" i="8" s="1"/>
  <c r="AI244" i="8" a="1"/>
  <c r="AI244" i="8" s="1"/>
  <c r="AI83" i="8" a="1"/>
  <c r="AI83" i="8" s="1"/>
  <c r="AJ83" i="8" a="1"/>
  <c r="AJ83" i="8" s="1"/>
  <c r="AH83" i="8" a="1"/>
  <c r="AH83" i="8" s="1"/>
  <c r="AI251" i="8" a="1"/>
  <c r="AI251" i="8" s="1"/>
  <c r="AJ251" i="8" a="1"/>
  <c r="AJ251" i="8" s="1"/>
  <c r="AH251" i="8" a="1"/>
  <c r="AH251" i="8" s="1"/>
  <c r="AI279" i="8" a="1"/>
  <c r="AI279" i="8" s="1"/>
  <c r="AJ279" i="8" a="1"/>
  <c r="AJ279" i="8" s="1"/>
  <c r="AH279" i="8" a="1"/>
  <c r="AH279" i="8" s="1"/>
  <c r="AJ125" i="8" a="1"/>
  <c r="AJ125" i="8" s="1"/>
  <c r="AI125" i="8" a="1"/>
  <c r="AI125" i="8" s="1"/>
  <c r="AH125" i="8" a="1"/>
  <c r="AH125" i="8" s="1"/>
  <c r="B19" i="17"/>
  <c r="B7" i="17"/>
  <c r="B18" i="17"/>
  <c r="J6" i="16" l="1" a="1"/>
  <c r="J6" i="16" s="1"/>
  <c r="J2" i="6"/>
  <c r="K2" i="6"/>
  <c r="B17" i="17"/>
  <c r="D30" i="23" a="1"/>
  <c r="D30" i="23" s="1"/>
  <c r="B21" i="17"/>
  <c r="D27" i="23" a="1"/>
  <c r="D27" i="23" s="1"/>
  <c r="D26" i="23" a="1"/>
  <c r="D26" i="23" s="1"/>
  <c r="D25" i="23" a="1"/>
  <c r="D25" i="23" s="1"/>
  <c r="AH20" i="8" a="1"/>
  <c r="AH20" i="8" s="1"/>
  <c r="AH27" i="8" a="1"/>
  <c r="AH27" i="8" s="1"/>
  <c r="AH48" i="8" a="1"/>
  <c r="AH48" i="8" s="1"/>
  <c r="AH41" i="8" a="1"/>
  <c r="AH41" i="8" s="1"/>
  <c r="AH13" i="8" a="1"/>
  <c r="AH13" i="8" s="1"/>
  <c r="AH34" i="8" a="1"/>
  <c r="AH34" i="8" s="1"/>
  <c r="AH62" i="8" a="1"/>
  <c r="AH62" i="8" s="1"/>
  <c r="AH6" i="8" a="1"/>
  <c r="AH6" i="8" s="1"/>
  <c r="AI6" i="8" a="1"/>
  <c r="AI6" i="8" s="1"/>
  <c r="AI34" i="8" a="1"/>
  <c r="AI34" i="8" s="1"/>
  <c r="AI41" i="8" a="1"/>
  <c r="AI41" i="8" s="1"/>
  <c r="AI27" i="8" a="1"/>
  <c r="AI27" i="8" s="1"/>
  <c r="AI20" i="8" a="1"/>
  <c r="AI20" i="8" s="1"/>
  <c r="AI48" i="8" a="1"/>
  <c r="AI48" i="8" s="1"/>
  <c r="AI55" i="8" a="1"/>
  <c r="AI55" i="8" s="1"/>
  <c r="AI62" i="8" a="1"/>
  <c r="AI62" i="8" s="1"/>
  <c r="AI13" i="8" a="1"/>
  <c r="AI13" i="8" s="1"/>
  <c r="B16" i="17"/>
  <c r="H9" i="17" l="1"/>
  <c r="AJ34" i="8" l="1" a="1"/>
  <c r="AJ34" i="8" s="1"/>
  <c r="AJ20" i="8" a="1"/>
  <c r="AJ20" i="8" s="1"/>
  <c r="AJ41" i="8" a="1"/>
  <c r="AJ41" i="8" s="1"/>
  <c r="AJ6" i="8" a="1"/>
  <c r="AJ6" i="8" s="1"/>
  <c r="AJ13" i="8" a="1"/>
  <c r="AJ13" i="8" s="1"/>
  <c r="AJ27" i="8" a="1"/>
  <c r="AJ27" i="8" s="1"/>
  <c r="AJ55" i="8" a="1"/>
  <c r="AJ55" i="8" s="1"/>
  <c r="AJ62" i="8" a="1"/>
  <c r="AJ62" i="8" s="1"/>
  <c r="AJ48" i="8" a="1"/>
  <c r="AJ4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B5" authorId="0" shapeId="0" xr:uid="{98F7BD2D-3C27-48F2-8A11-ECDC7C518D2C}">
      <text>
        <r>
          <rPr>
            <sz val="9"/>
            <color indexed="81"/>
            <rFont val="Tahoma"/>
            <family val="2"/>
          </rPr>
          <t>Product or Service gets created when column E Product/ Service is updated.</t>
        </r>
      </text>
    </comment>
    <comment ref="C5" authorId="0" shapeId="0" xr:uid="{2ED307AD-7989-43B6-83DF-CDF2FA47A180}">
      <text>
        <r>
          <rPr>
            <sz val="9"/>
            <color indexed="81"/>
            <rFont val="Tahoma"/>
            <family val="2"/>
          </rPr>
          <t>Name of the Business unit e.g. Manufacturing, Retail, International</t>
        </r>
      </text>
    </comment>
    <comment ref="D5" authorId="0" shapeId="0" xr:uid="{83F00289-728B-43DA-B00C-9FB13D5D82BA}">
      <text>
        <r>
          <rPr>
            <sz val="9"/>
            <color indexed="81"/>
            <rFont val="Tahoma"/>
            <family val="2"/>
          </rPr>
          <t xml:space="preserve">Name of the Division/ Site for which Business continuityi is planned e.g. Plant A, Plant B, Distribution Centre, Country Subsidiary
</t>
        </r>
      </text>
    </comment>
    <comment ref="E5" authorId="0" shapeId="0" xr:uid="{0BD5E596-9271-44B4-AE54-37B4B48234EB}">
      <text>
        <r>
          <rPr>
            <sz val="9"/>
            <color indexed="81"/>
            <rFont val="Tahoma"/>
            <family val="2"/>
          </rPr>
          <t>Name of Product/ Serviice for which Business continuity is planned</t>
        </r>
      </text>
    </comment>
    <comment ref="F5" authorId="0" shapeId="0" xr:uid="{1A3A50D2-796E-4774-B041-73DFE1238C07}">
      <text>
        <r>
          <rPr>
            <sz val="9"/>
            <color indexed="81"/>
            <rFont val="Tahoma"/>
            <family val="2"/>
          </rPr>
          <t>Name of sub-category of Product/ Serviec if applicable</t>
        </r>
      </text>
    </comment>
    <comment ref="G5" authorId="0" shapeId="0" xr:uid="{DC44FF70-1836-4A7A-BC7D-E4F724389179}">
      <text>
        <r>
          <rPr>
            <sz val="9"/>
            <color indexed="81"/>
            <rFont val="Tahoma"/>
            <family val="2"/>
          </rPr>
          <t>Business Title of Division/ 
site owner</t>
        </r>
      </text>
    </comment>
    <comment ref="H5" authorId="0" shapeId="0" xr:uid="{8E7574C7-0E67-4A49-8E93-15ECE1EF37ED}">
      <text>
        <r>
          <rPr>
            <sz val="9"/>
            <color indexed="81"/>
            <rFont val="Tahoma"/>
            <family val="2"/>
          </rPr>
          <t>Business title of the Head of the Business Unit</t>
        </r>
      </text>
    </comment>
    <comment ref="I5" authorId="0" shapeId="0" xr:uid="{035A9202-BD7F-43FE-9251-235A36A33F5D}">
      <text>
        <r>
          <rPr>
            <sz val="9"/>
            <color indexed="81"/>
            <rFont val="Tahoma"/>
            <family val="2"/>
          </rPr>
          <t>Choose Yes/ No to identify whether the product/ service is considered in scope for business continuity by EVP</t>
        </r>
      </text>
    </comment>
    <comment ref="J5" authorId="0" shapeId="0" xr:uid="{4E26F339-A740-40A9-8E2B-1384CED05D61}">
      <text>
        <r>
          <rPr>
            <sz val="9"/>
            <color indexed="81"/>
            <rFont val="Tahoma"/>
            <family val="2"/>
          </rPr>
          <t xml:space="preserve">Identify if the selected product/ service is critical to business for Business impact analysis (BIA)
</t>
        </r>
      </text>
    </comment>
    <comment ref="K5" authorId="0" shapeId="0" xr:uid="{AFEE5347-D753-415D-B5CD-D2D293F774AE}">
      <text>
        <r>
          <rPr>
            <sz val="9"/>
            <color indexed="81"/>
            <rFont val="Tahoma"/>
            <family val="2"/>
          </rPr>
          <t xml:space="preserve">MBCO (Minimum Business Continuity Objective) identified by Corporate office. i.e. the products/ service should be made available without interpption during crisi situation.
</t>
        </r>
      </text>
    </comment>
    <comment ref="L5" authorId="0" shapeId="0" xr:uid="{06596C9F-10AF-4F1B-951D-EA541A1BE616}">
      <text>
        <r>
          <rPr>
            <sz val="9"/>
            <color indexed="81"/>
            <rFont val="Tahoma"/>
            <family val="2"/>
          </rPr>
          <t xml:space="preserve">MTPD (Maximum Tolerable period of discruption) identified by Corporate for the disruption of the pproduction  of product or delivery of service.
</t>
        </r>
      </text>
    </comment>
    <comment ref="N5" authorId="0" shapeId="0" xr:uid="{C8675ABD-D03F-42BD-8D1E-4BB5E330FBCB}">
      <text>
        <r>
          <rPr>
            <sz val="9"/>
            <color indexed="81"/>
            <rFont val="Tahoma"/>
            <family val="2"/>
          </rPr>
          <t>Business Impact Analysis (BIA) order, gets updated automatically.</t>
        </r>
      </text>
    </comment>
    <comment ref="O5" authorId="0" shapeId="0" xr:uid="{8219D7FF-365B-4394-B73C-45F015867227}">
      <text>
        <r>
          <rPr>
            <sz val="9"/>
            <color indexed="81"/>
            <rFont val="Tahoma"/>
            <family val="2"/>
          </rPr>
          <t>MTPD (Maximum Tolerable Period of Disruption) identified during in Sheet 3 BIA (Business Impact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B4" authorId="0" shapeId="0" xr:uid="{D9CE3272-0313-48AC-887E-4911C74E0ED8}">
      <text>
        <r>
          <rPr>
            <sz val="9"/>
            <color indexed="81"/>
            <rFont val="Tahoma"/>
            <family val="2"/>
          </rPr>
          <t>Product Code created in column B of Sheet 2. Choose from Product code for which Process details to be identified.</t>
        </r>
      </text>
    </comment>
    <comment ref="C4" authorId="0" shapeId="0" xr:uid="{B0E5BCCB-9CBE-418B-9E49-8DBFD379F020}">
      <text>
        <r>
          <rPr>
            <sz val="9"/>
            <color indexed="81"/>
            <rFont val="Tahoma"/>
            <family val="2"/>
          </rPr>
          <t>Associated details of Product and Services picked automaticall from Col E of Sheet 2</t>
        </r>
      </text>
    </comment>
    <comment ref="D4" authorId="0" shapeId="0" xr:uid="{A1A1D118-A98F-4EBE-8226-9B6CDD4BE120}">
      <text>
        <r>
          <rPr>
            <sz val="9"/>
            <color indexed="81"/>
            <rFont val="Tahoma"/>
            <family val="2"/>
          </rPr>
          <t>Provide details of activities performed within the process</t>
        </r>
      </text>
    </comment>
    <comment ref="E4" authorId="0" shapeId="0" xr:uid="{00587BA0-EA9A-4347-9061-8EB84C27CC99}">
      <text>
        <r>
          <rPr>
            <sz val="9"/>
            <color indexed="81"/>
            <rFont val="Tahoma"/>
            <family val="2"/>
          </rPr>
          <t>Capture the frequency o fhe process (Daily, Weekly, Monthly , Yearly) from the dropdown list</t>
        </r>
      </text>
    </comment>
    <comment ref="F4" authorId="0" shapeId="0" xr:uid="{A2E89846-DFE2-4375-B848-21E406CEE61C}">
      <text>
        <r>
          <rPr>
            <sz val="9"/>
            <color indexed="81"/>
            <rFont val="Tahoma"/>
            <family val="2"/>
          </rPr>
          <t>Capture the peak period for this process e.g. seasonal peaks, public holidays, month-end</t>
        </r>
      </text>
    </comment>
    <comment ref="H4" authorId="0" shapeId="0" xr:uid="{4EBEC7FC-8A28-4446-B4B3-7FB472F7D9AC}">
      <text>
        <r>
          <rPr>
            <sz val="9"/>
            <color indexed="81"/>
            <rFont val="Tahoma"/>
            <family val="2"/>
          </rPr>
          <t>Mention current staff strength available to perform activities of this process</t>
        </r>
      </text>
    </comment>
    <comment ref="I4" authorId="0" shapeId="0" xr:uid="{862CF163-949D-40A3-8972-C7EBAE8D0993}">
      <text>
        <r>
          <rPr>
            <sz val="9"/>
            <color indexed="81"/>
            <rFont val="Tahoma"/>
            <family val="2"/>
          </rPr>
          <t>Identify whether this process can be done remotely from other office or work from home from dropdown list</t>
        </r>
      </text>
    </comment>
    <comment ref="J4" authorId="0" shapeId="0" xr:uid="{3C553570-D191-45BE-8911-CFE5A47F9BDA}">
      <text>
        <r>
          <rPr>
            <sz val="9"/>
            <color indexed="81"/>
            <rFont val="Tahoma"/>
            <family val="2"/>
          </rPr>
          <t>MTPD (Minimum Tolerable Period of Disruption) identified in Sheet 3 during Business Impact Analysis (BIA). Auto filled.</t>
        </r>
      </text>
    </comment>
    <comment ref="K4" authorId="0" shapeId="0" xr:uid="{D990987C-1B8A-4882-92EF-34C193B79CBF}">
      <text>
        <r>
          <rPr>
            <sz val="9"/>
            <color indexed="81"/>
            <rFont val="Tahoma"/>
            <family val="2"/>
          </rPr>
          <t xml:space="preserve">RTO (Recovery Time Objective) captured in Sheet 3 during Business Impact Analysis (BIA)
</t>
        </r>
      </text>
    </comment>
    <comment ref="L4" authorId="0" shapeId="0" xr:uid="{BBE272A7-71E4-4DC0-9EBC-8ACACE107B22}">
      <text>
        <r>
          <rPr>
            <sz val="9"/>
            <color indexed="81"/>
            <rFont val="Tahoma"/>
            <family val="2"/>
          </rPr>
          <t xml:space="preserve">Capture any rationale for reference.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G8" authorId="0" shapeId="0" xr:uid="{7C8FE35F-FD9B-44D2-B454-85B439FF8940}">
      <text>
        <r>
          <rPr>
            <sz val="9"/>
            <color indexed="81"/>
            <rFont val="Tahoma"/>
            <family val="2"/>
          </rPr>
          <t>ICT (Information and Communication Technology)</t>
        </r>
      </text>
    </comment>
    <comment ref="A9" authorId="0" shapeId="0" xr:uid="{C0A56704-39E6-41B4-825F-1A2C14625470}">
      <text>
        <r>
          <rPr>
            <sz val="9"/>
            <color indexed="81"/>
            <rFont val="Tahoma"/>
            <family val="2"/>
          </rPr>
          <t>IT (Information Technology) dependencies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B4" authorId="0" shapeId="0" xr:uid="{39373352-81DA-414B-9C34-DAB38152C283}">
      <text>
        <r>
          <rPr>
            <sz val="9"/>
            <color indexed="81"/>
            <rFont val="Tahoma"/>
            <family val="2"/>
          </rPr>
          <t>Business impact analysis (BIA) #when a Col E, I, J and N are updated in Sheet 2.</t>
        </r>
      </text>
    </comment>
    <comment ref="C4" authorId="0" shapeId="0" xr:uid="{33E7F0FF-1F1D-477A-AF4E-42E7CA12D8E2}">
      <text>
        <r>
          <rPr>
            <sz val="9"/>
            <color indexed="81"/>
            <rFont val="Tahoma"/>
            <family val="2"/>
          </rPr>
          <t>Product / Service detail updated from Sheet 2 based on Col B.</t>
        </r>
      </text>
    </comment>
    <comment ref="D4" authorId="0" shapeId="0" xr:uid="{EE1E7AF8-3B92-4FE9-8240-4ECDABF73047}">
      <text>
        <r>
          <rPr>
            <sz val="9"/>
            <color indexed="81"/>
            <rFont val="Tahoma"/>
            <family val="2"/>
          </rPr>
          <t>Product / Service detail updated from Sheet 2 based on Col B.</t>
        </r>
      </text>
    </comment>
    <comment ref="E4" authorId="0" shapeId="0" xr:uid="{EAF46CF3-733D-48DE-8C7C-C3483A1088E5}">
      <text>
        <r>
          <rPr>
            <sz val="9"/>
            <color indexed="81"/>
            <rFont val="Tahoma"/>
            <family val="2"/>
          </rPr>
          <t>Product / Service detail updated from Sheet 2 based on Col B.</t>
        </r>
      </text>
    </comment>
    <comment ref="F4" authorId="0" shapeId="0" xr:uid="{27248680-8F66-4305-A8AB-4A0F431A1285}">
      <text>
        <r>
          <rPr>
            <sz val="9"/>
            <color indexed="81"/>
            <rFont val="Tahoma"/>
            <family val="2"/>
          </rPr>
          <t>Product/ Serviice ID created automatically from Sheet 2 based on Column C</t>
        </r>
      </text>
    </comment>
    <comment ref="G4" authorId="0" shapeId="0" xr:uid="{A45087D7-EEEF-4E76-ACE1-5B8B229649F4}">
      <text>
        <r>
          <rPr>
            <sz val="9"/>
            <color indexed="81"/>
            <rFont val="Tahoma"/>
            <family val="2"/>
          </rPr>
          <t>Risk identification is covered in Column E &amp; F by identifying the dependencies which will impact the production of Product or Delivery of Service.</t>
        </r>
      </text>
    </comment>
    <comment ref="I4" authorId="0" shapeId="0" xr:uid="{982DBCF5-2F03-41D0-A4C7-7F28F37050E2}">
      <text>
        <r>
          <rPr>
            <sz val="9"/>
            <color indexed="81"/>
            <rFont val="Tahoma"/>
            <family val="2"/>
          </rPr>
          <t xml:space="preserve">The impact categories identified by ERM team is lsited. Against each category impact over time at which the loss of the product / service is not manageble to be identified over Columns H to P. This done by giving a rating of 1 to 5. 1 being lowest and 5 being highest. The time at whcih impact is rating 4 (Significant) it is treated as MTPD (Maximum Tolerable Period of disrutpion) for that category.
</t>
        </r>
      </text>
    </comment>
    <comment ref="J4" authorId="0" shapeId="0" xr:uid="{080DF88C-FE6F-4206-9BC0-A5A90268B50B}">
      <text>
        <r>
          <rPr>
            <sz val="9"/>
            <color indexed="81"/>
            <rFont val="Tahoma"/>
            <family val="2"/>
          </rPr>
          <t>Impact over time is identified over Columns H to P.</t>
        </r>
      </text>
    </comment>
    <comment ref="G5" authorId="0" shapeId="0" xr:uid="{B253191B-71EB-49DA-97FB-AF10EFF36427}">
      <text>
        <r>
          <rPr>
            <sz val="9"/>
            <color indexed="81"/>
            <rFont val="Tahoma"/>
            <family val="2"/>
          </rPr>
          <t>Dependencies listed whicn can impact the delviery of Product / Service to be identified by selecting Yes/ No adjacent column F.
 are considered</t>
        </r>
      </text>
    </comment>
    <comment ref="H5" authorId="0" shapeId="0" xr:uid="{18D83DF8-B7B8-43A6-8AF0-AEA0C9EF99E3}">
      <text>
        <r>
          <rPr>
            <sz val="9"/>
            <color indexed="81"/>
            <rFont val="Tahoma"/>
            <family val="2"/>
          </rPr>
          <t>Identify whether the dependencies is Column E will disrupt the production of product or delivery of service</t>
        </r>
      </text>
    </comment>
    <comment ref="S5" authorId="0" shapeId="0" xr:uid="{DE5C7B37-B85C-4181-9D41-B2ECFAF18C9E}">
      <text>
        <r>
          <rPr>
            <sz val="9"/>
            <color indexed="81"/>
            <rFont val="Tahoma"/>
            <family val="2"/>
          </rPr>
          <t>Captures the maximum impact rating across all impact types for the BIA of Product/ Service under consideration. Auto updated.</t>
        </r>
      </text>
    </comment>
    <comment ref="T5" authorId="0" shapeId="0" xr:uid="{FA193E13-55E6-44AA-B4FB-04B264F3916A}">
      <text>
        <r>
          <rPr>
            <sz val="9"/>
            <color indexed="81"/>
            <rFont val="Tahoma"/>
            <family val="2"/>
          </rPr>
          <t xml:space="preserve">Captures the impact types which are critical. Auto updated.
</t>
        </r>
      </text>
    </comment>
    <comment ref="U5" authorId="0" shapeId="0" xr:uid="{A6D8586A-DB4F-4EC4-9BAF-4144E25294B4}">
      <text>
        <r>
          <rPr>
            <sz val="9"/>
            <color indexed="81"/>
            <rFont val="Tahoma"/>
            <family val="2"/>
          </rPr>
          <t>Auto update of criticalilty identified by Corporate captured in Col J of Sheet 2</t>
        </r>
      </text>
    </comment>
    <comment ref="V5" authorId="0" shapeId="0" xr:uid="{6EC372A7-3E6B-42CD-BD20-0D5106517D91}">
      <text>
        <r>
          <rPr>
            <sz val="9"/>
            <color indexed="81"/>
            <rFont val="Tahoma"/>
            <family val="2"/>
          </rPr>
          <t>Capture if this Product/ Service is critical to Busienss Unit (BU) in case Criticality is not captured by Corporate or Criticality tagged as Yes/ No from dropdown list from the view of BU also.</t>
        </r>
      </text>
    </comment>
    <comment ref="W5" authorId="0" shapeId="0" xr:uid="{B6E2DDCB-BFCB-4DE4-8594-79B7E206C647}">
      <text>
        <r>
          <rPr>
            <sz val="9"/>
            <color indexed="81"/>
            <rFont val="Tahoma"/>
            <family val="2"/>
          </rPr>
          <t>Final criticality calculated automaticlly based on values in Column S and T.</t>
        </r>
      </text>
    </comment>
    <comment ref="X5" authorId="0" shapeId="0" xr:uid="{88FFCBC9-CE88-4A27-BA1F-CE090AE7383F}">
      <text>
        <r>
          <rPr>
            <sz val="9"/>
            <color indexed="81"/>
            <rFont val="Tahoma"/>
            <family val="2"/>
          </rPr>
          <t>MBCO (Minimimum Business Continuity Objective) identified by Corporare is auto updated from Column K of sheet 2</t>
        </r>
      </text>
    </comment>
    <comment ref="Y5" authorId="0" shapeId="0" xr:uid="{057988A2-C111-4F4E-A1BC-1E95EE97A5A5}">
      <text>
        <r>
          <rPr>
            <sz val="9"/>
            <color indexed="81"/>
            <rFont val="Tahoma"/>
            <family val="2"/>
          </rPr>
          <t>MBCO (Minimum Business Continuity Objective) to be filled by Business Unit (BU) if it is not provided by the Corporate.</t>
        </r>
      </text>
    </comment>
    <comment ref="Z5" authorId="0" shapeId="0" xr:uid="{CA151C04-421A-4B4B-90D1-B82FA8657F26}">
      <text>
        <r>
          <rPr>
            <sz val="9"/>
            <color indexed="81"/>
            <rFont val="Tahoma"/>
            <family val="2"/>
          </rPr>
          <t>Provide justification for choosing the MBCO (Minimum Business Continuity  Objective) for this Product/ Service</t>
        </r>
      </text>
    </comment>
    <comment ref="AA5" authorId="0" shapeId="0" xr:uid="{79D7F833-34F9-44DD-81CA-4A0E5F992AAD}">
      <text>
        <r>
          <rPr>
            <sz val="9"/>
            <color indexed="81"/>
            <rFont val="Tahoma"/>
            <family val="2"/>
          </rPr>
          <t>MTPD (Minium Tolerable Period of Disruption) identified in Columns J to P is captured here automatically.</t>
        </r>
      </text>
    </comment>
    <comment ref="AB5" authorId="0" shapeId="0" xr:uid="{62CDA8D2-09B7-4881-B5FE-27D60FF5FC6A}">
      <text>
        <r>
          <rPr>
            <sz val="9"/>
            <color indexed="81"/>
            <rFont val="Tahoma"/>
            <family val="2"/>
          </rPr>
          <t>MTPD (Maximum Tolerable Period of Disruption) identified by Corporate in Column L of Sheet 2 is updated here automatically.</t>
        </r>
      </text>
    </comment>
    <comment ref="AC5" authorId="0" shapeId="0" xr:uid="{618972E4-0358-43B0-9E3C-6212763BF617}">
      <text>
        <r>
          <rPr>
            <sz val="9"/>
            <color indexed="81"/>
            <rFont val="Tahoma"/>
            <family val="2"/>
          </rPr>
          <t xml:space="preserve">RTO (Recovery Time Objective) for the Product/ Service considered to be updated by BU (Business Unit ) team.
</t>
        </r>
      </text>
    </comment>
    <comment ref="AD5" authorId="0" shapeId="0" xr:uid="{DB820D65-08B2-4864-BFFE-FA0C430D491B}">
      <text>
        <r>
          <rPr>
            <sz val="9"/>
            <color indexed="81"/>
            <rFont val="Tahoma"/>
            <family val="2"/>
          </rPr>
          <t xml:space="preserve">RTO (Recovery Time Objective) captured in Column AA is convered to numeric value for calculation. Auto updated.
</t>
        </r>
      </text>
    </comment>
    <comment ref="AE5" authorId="0" shapeId="0" xr:uid="{BC3E99FB-8063-4C13-A1A9-0AA68FBD98A9}">
      <text>
        <r>
          <rPr>
            <sz val="9"/>
            <color indexed="81"/>
            <rFont val="Tahoma"/>
            <family val="2"/>
          </rPr>
          <t>Recovery Point Objective (RPO) to be identified by Business Unit (BU) team if impact of Data is considered.</t>
        </r>
      </text>
    </comment>
    <comment ref="AF5" authorId="0" shapeId="0" xr:uid="{25C39F2C-D29C-47B1-A32B-525E2E44A3B5}">
      <text>
        <r>
          <rPr>
            <sz val="9"/>
            <color indexed="81"/>
            <rFont val="Tahoma"/>
            <family val="2"/>
          </rPr>
          <t>Date on which this Business Impact Assessment (BIA) was made.</t>
        </r>
      </text>
    </comment>
    <comment ref="AG5" authorId="0" shapeId="0" xr:uid="{E3F4880B-3B85-48C5-A169-9852EFC8BFA9}">
      <text>
        <r>
          <rPr>
            <sz val="9"/>
            <color indexed="81"/>
            <rFont val="Tahoma"/>
            <family val="2"/>
          </rPr>
          <t>Validity of the assessment is updated automatically.</t>
        </r>
      </text>
    </comment>
    <comment ref="AH5" authorId="0" shapeId="0" xr:uid="{6FDEEF06-F3C5-4C86-9EC8-DAE486EFE938}">
      <text>
        <r>
          <rPr>
            <sz val="9"/>
            <color indexed="81"/>
            <rFont val="Tahoma"/>
            <family val="2"/>
          </rPr>
          <t>Associated Risk ID's for this product/ Service is updated automatically.</t>
        </r>
      </text>
    </comment>
    <comment ref="AI5" authorId="0" shapeId="0" xr:uid="{A78D1F5E-3DFE-424B-89B8-B296182EEDDE}">
      <text>
        <r>
          <rPr>
            <sz val="9"/>
            <color indexed="81"/>
            <rFont val="Tahoma"/>
            <family val="2"/>
          </rPr>
          <t>Associated Strategiies &amp; Solutions (S &amp; S) #'s for this product/ Service from Sheet 5 is updated automatically.</t>
        </r>
      </text>
    </comment>
    <comment ref="AJ5" authorId="0" shapeId="0" xr:uid="{C6041B9B-4C78-4600-B71C-1B180FD3B7F6}">
      <text>
        <r>
          <rPr>
            <sz val="9"/>
            <color indexed="81"/>
            <rFont val="Tahoma"/>
            <family val="2"/>
          </rPr>
          <t>Associated Recovery &amp; Response (R &amp; R) ID's for this product/ Service created in Sheet 6 is updated automatically.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B4" authorId="0" shapeId="0" xr:uid="{38241F83-D7A7-4222-97ED-9144A0054471}">
      <text>
        <r>
          <rPr>
            <sz val="9"/>
            <color indexed="81"/>
            <rFont val="Tahoma"/>
            <family val="2"/>
          </rPr>
          <t>Dependency ID. Created when Collumn I is updated automatically</t>
        </r>
      </text>
    </comment>
    <comment ref="C4" authorId="0" shapeId="0" xr:uid="{0D699511-6228-4F47-8964-E168A30B4943}">
      <text>
        <r>
          <rPr>
            <sz val="9"/>
            <color indexed="81"/>
            <rFont val="Tahoma"/>
            <family val="2"/>
          </rPr>
          <t>Business Impact Analyisis  (BIA) #. Dropdown list from BIA ID is created in Column B of Sheet  3.</t>
        </r>
      </text>
    </comment>
    <comment ref="D4" authorId="0" shapeId="0" xr:uid="{FEEB44A9-C75C-4F63-8177-22D50F347E52}">
      <text>
        <r>
          <rPr>
            <sz val="9"/>
            <color indexed="81"/>
            <rFont val="Tahoma"/>
            <family val="2"/>
          </rPr>
          <t>Product/ Service considered in BIA taken from Sheet 3 automatically.</t>
        </r>
      </text>
    </comment>
    <comment ref="E4" authorId="0" shapeId="0" xr:uid="{C3B28C83-F3B5-4B8D-B3A1-FDB730959DE5}">
      <text>
        <r>
          <rPr>
            <sz val="9"/>
            <color indexed="81"/>
            <rFont val="Tahoma"/>
            <family val="2"/>
          </rPr>
          <t xml:space="preserve">Product/ Service ID picked from Sheet 2 based on Column D.
</t>
        </r>
      </text>
    </comment>
    <comment ref="F4" authorId="0" shapeId="0" xr:uid="{689C8985-1309-4296-9450-EC7EEC0B05DE}">
      <text>
        <r>
          <rPr>
            <sz val="9"/>
            <color indexed="81"/>
            <rFont val="Tahoma"/>
            <family val="2"/>
          </rPr>
          <t>Select all the Dependency categories identified as impacting in Column F of Sheet 3 Subcategory can be chosed only for ICT and Equipment (Operations Technology)</t>
        </r>
      </text>
    </comment>
    <comment ref="G4" authorId="0" shapeId="0" xr:uid="{660252C2-FD41-4040-BFE5-8F7AA392DC4F}">
      <text>
        <r>
          <rPr>
            <sz val="9"/>
            <color indexed="81"/>
            <rFont val="Tahoma"/>
            <family val="2"/>
          </rPr>
          <t>Choose subcategory if ICT or Equipment is chosen in Column F.</t>
        </r>
      </text>
    </comment>
    <comment ref="H4" authorId="0" shapeId="0" xr:uid="{18EE1CF2-C158-4B01-8A47-44D5FADE4E3E}">
      <text>
        <r>
          <rPr>
            <sz val="9"/>
            <color indexed="81"/>
            <rFont val="Tahoma"/>
            <family val="2"/>
          </rPr>
          <t>Choose the applicable Application, Service or Equipment. List of applications, services and equipment to be created in Sheet 3c Application equp list specific to the Business Unit (BU).</t>
        </r>
      </text>
    </comment>
    <comment ref="I4" authorId="0" shapeId="0" xr:uid="{0AD1A6DD-B6C6-4612-BD73-7E17DA502952}">
      <text>
        <r>
          <rPr>
            <sz val="9"/>
            <color indexed="81"/>
            <rFont val="Tahoma"/>
            <family val="2"/>
          </rPr>
          <t>Provide name for the dependency</t>
        </r>
      </text>
    </comment>
    <comment ref="J4" authorId="0" shapeId="0" xr:uid="{4E6AFD8E-CF7A-450A-9715-4A812B8D6267}">
      <text>
        <r>
          <rPr>
            <sz val="9"/>
            <color indexed="81"/>
            <rFont val="Tahoma"/>
            <family val="2"/>
          </rPr>
          <t>Provide description for the dependency.</t>
        </r>
      </text>
    </comment>
    <comment ref="K4" authorId="0" shapeId="0" xr:uid="{55B17F4B-237E-4D1A-8148-EFC8DA808ECB}">
      <text>
        <r>
          <rPr>
            <sz val="9"/>
            <color indexed="81"/>
            <rFont val="Tahoma"/>
            <family val="2"/>
          </rPr>
          <t>Identify if this dependency is SPOF (Single Point of Failure)</t>
        </r>
      </text>
    </comment>
    <comment ref="L4" authorId="0" shapeId="0" xr:uid="{0AD523CE-9602-4033-8D9B-6C3445557406}">
      <text>
        <r>
          <rPr>
            <sz val="9"/>
            <color indexed="81"/>
            <rFont val="Tahoma"/>
            <family val="2"/>
          </rPr>
          <t xml:space="preserve">Capture the business title of the owner of the Dependency.
</t>
        </r>
      </text>
    </comment>
    <comment ref="M4" authorId="0" shapeId="0" xr:uid="{501C7BFF-3CBA-4EA0-A19C-19B0FD239833}">
      <text>
        <r>
          <rPr>
            <sz val="9"/>
            <color indexed="81"/>
            <rFont val="Tahoma"/>
            <family val="2"/>
          </rPr>
          <t>Add any additional informtion required.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B4" authorId="0" shapeId="0" xr:uid="{96063A36-D1D5-4008-9417-9F1C26A0E77F}">
      <text>
        <r>
          <rPr>
            <sz val="9"/>
            <color indexed="81"/>
            <rFont val="Tahoma"/>
            <family val="2"/>
          </rPr>
          <t xml:space="preserve">Risk ID gets generated when Column G is updated
</t>
        </r>
      </text>
    </comment>
    <comment ref="C4" authorId="0" shapeId="0" xr:uid="{273CEF11-D825-4370-B346-8136539A5F51}">
      <text>
        <r>
          <rPr>
            <sz val="9"/>
            <color indexed="81"/>
            <rFont val="Tahoma"/>
            <family val="2"/>
          </rPr>
          <t>BU (Business Unit) e.g. Manufacturing, Retail, International</t>
        </r>
      </text>
    </comment>
    <comment ref="D4" authorId="0" shapeId="0" xr:uid="{24D40360-B644-433D-9EE1-3954795526EE}">
      <text>
        <r>
          <rPr>
            <sz val="9"/>
            <color indexed="81"/>
            <rFont val="Tahoma"/>
            <family val="2"/>
          </rPr>
          <t>Division within the BU considered for Business Continuity planning) e.g. Plant A, Distribution Centre, Country Subsidiary</t>
        </r>
      </text>
    </comment>
    <comment ref="E4" authorId="0" shapeId="0" xr:uid="{E1793117-DD5B-4EDF-BDA2-BEBD0DB643F2}">
      <text>
        <r>
          <rPr>
            <sz val="9"/>
            <color indexed="81"/>
            <rFont val="Tahoma"/>
            <family val="2"/>
          </rPr>
          <t xml:space="preserve">List all the dependencis identified in Sheet 3 BIA Column F by choosing from dropdown list.
</t>
        </r>
      </text>
    </comment>
    <comment ref="G4" authorId="0" shapeId="0" xr:uid="{723198D0-E23A-4C2D-A5BC-C756BE2B9C83}">
      <text>
        <r>
          <rPr>
            <sz val="9"/>
            <color indexed="81"/>
            <rFont val="Tahoma"/>
            <family val="2"/>
          </rPr>
          <t>Choose Risk scenario assumed for the dependency category</t>
        </r>
      </text>
    </comment>
    <comment ref="H4" authorId="0" shapeId="0" xr:uid="{17A431D6-AA60-4E2E-ACF2-0AD171BD0CE6}">
      <text>
        <r>
          <rPr>
            <sz val="9"/>
            <color indexed="81"/>
            <rFont val="Tahoma"/>
            <family val="2"/>
          </rPr>
          <t>Scenario description is updated automatically baed on Column F</t>
        </r>
      </text>
    </comment>
    <comment ref="I4" authorId="0" shapeId="0" xr:uid="{18BB6E47-67D3-40E3-A74C-9F6C0BB52941}">
      <text>
        <r>
          <rPr>
            <sz val="9"/>
            <color indexed="81"/>
            <rFont val="Tahoma"/>
            <family val="2"/>
          </rPr>
          <t xml:space="preserve">Capture the Risk ID  # if this risk is already identified in ERM Risk register.
</t>
        </r>
      </text>
    </comment>
    <comment ref="J4" authorId="0" shapeId="0" xr:uid="{113025B3-67A2-417F-AB8C-15E947702B08}">
      <text>
        <r>
          <rPr>
            <sz val="9"/>
            <color indexed="81"/>
            <rFont val="Tahoma"/>
            <family val="2"/>
          </rPr>
          <t xml:space="preserve">Capture the implementtion controls mentioned in ERM register </t>
        </r>
      </text>
    </comment>
    <comment ref="K4" authorId="0" shapeId="0" xr:uid="{B813C15C-9BC0-47A4-A84E-0D5BCE7BF8B1}">
      <text>
        <r>
          <rPr>
            <sz val="9"/>
            <color indexed="81"/>
            <rFont val="Tahoma"/>
            <family val="2"/>
          </rPr>
          <t>Update Residual likelihood captured in ERM risk register.</t>
        </r>
      </text>
    </comment>
    <comment ref="L4" authorId="0" shapeId="0" xr:uid="{8A090114-95B4-40C7-A50B-51F7131D6ACC}">
      <text>
        <r>
          <rPr>
            <sz val="9"/>
            <color indexed="81"/>
            <rFont val="Tahoma"/>
            <family val="2"/>
          </rPr>
          <t>Likelihood rating gets updated automatically based on Column K value.</t>
        </r>
      </text>
    </comment>
    <comment ref="M4" authorId="0" shapeId="0" xr:uid="{F9C0B50E-34DD-4B1E-ADE1-01A642F61111}">
      <text>
        <r>
          <rPr>
            <sz val="9"/>
            <color indexed="81"/>
            <rFont val="Tahoma"/>
            <family val="2"/>
          </rPr>
          <t>Capture Residual impact rating catured in ERM risk register.</t>
        </r>
      </text>
    </comment>
    <comment ref="N4" authorId="0" shapeId="0" xr:uid="{DEC759A1-0DC0-4C55-A8D3-A7DFE9879600}">
      <text>
        <r>
          <rPr>
            <sz val="9"/>
            <color indexed="81"/>
            <rFont val="Tahoma"/>
            <family val="2"/>
          </rPr>
          <t>Risk impact rating gets updated automatically based on Column N value.</t>
        </r>
      </text>
    </comment>
    <comment ref="O4" authorId="0" shapeId="0" xr:uid="{EA11B593-4A83-4768-B7BD-4FEDDECAEC35}">
      <text>
        <r>
          <rPr>
            <sz val="9"/>
            <color indexed="81"/>
            <rFont val="Tahoma"/>
            <family val="2"/>
          </rPr>
          <t>Risk refernce gets updated automatically based on ERM guidance automatically</t>
        </r>
      </text>
    </comment>
    <comment ref="P4" authorId="0" shapeId="0" xr:uid="{65E5703A-3FDF-457F-AC3D-981A17FEBDE2}">
      <text>
        <r>
          <rPr>
            <sz val="9"/>
            <color indexed="81"/>
            <rFont val="Tahoma"/>
            <family val="2"/>
          </rPr>
          <t>Risk rating updaed automatically based on Column O value.</t>
        </r>
      </text>
    </comment>
    <comment ref="Q4" authorId="0" shapeId="0" xr:uid="{9B3EA757-56DC-42C8-809A-BB1D2833DF74}">
      <text>
        <r>
          <rPr>
            <sz val="9"/>
            <color indexed="81"/>
            <rFont val="Tahoma"/>
            <family val="2"/>
          </rPr>
          <t xml:space="preserve">BCP (Business Continuity Plan)  Priority gets updated automatically based on Column P value
</t>
        </r>
      </text>
    </comment>
    <comment ref="R4" authorId="0" shapeId="0" xr:uid="{A6F7EC93-D41D-41D2-86FD-B24482F3A9CD}">
      <text>
        <r>
          <rPr>
            <sz val="9"/>
            <color indexed="81"/>
            <rFont val="Tahoma"/>
            <family val="2"/>
          </rPr>
          <t>Add any additional inputs in Remarks.</t>
        </r>
      </text>
    </comment>
    <comment ref="S4" authorId="0" shapeId="0" xr:uid="{7DD84E95-B1C7-40A8-924B-726D6EE1D817}">
      <text>
        <r>
          <rPr>
            <sz val="9"/>
            <color indexed="81"/>
            <rFont val="Tahoma"/>
            <family val="2"/>
          </rPr>
          <t xml:space="preserve"> S &amp; S # (Strategy and Solution ) # associated to this Risk.</t>
        </r>
      </text>
    </comment>
    <comment ref="T4" authorId="0" shapeId="0" xr:uid="{A9AB12FE-BFA5-461E-A332-123C6A73B2B6}">
      <text>
        <r>
          <rPr>
            <sz val="9"/>
            <color indexed="81"/>
            <rFont val="Tahoma"/>
            <family val="2"/>
          </rPr>
          <t>Response and Recovery (R &amp; R) ID's associated to this Risk ID.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B4" authorId="0" shapeId="0" xr:uid="{D65084EA-AD23-4B17-8CB6-BB43EBB8CE2D}">
      <text>
        <r>
          <rPr>
            <sz val="9"/>
            <color indexed="81"/>
            <rFont val="Tahoma"/>
            <family val="2"/>
          </rPr>
          <t>Risk ID to be selected from drop down list for which Strategies and Soluton to be identifeid. Risk ID's which have been already captured in ERM risk register shall not be considered for Strategies and Soluton exercise.</t>
        </r>
      </text>
    </comment>
    <comment ref="C4" authorId="0" shapeId="0" xr:uid="{967C09C4-4C57-4E2D-98FA-1758BE66672A}">
      <text>
        <r>
          <rPr>
            <sz val="9"/>
            <color indexed="81"/>
            <rFont val="Tahoma"/>
            <family val="2"/>
          </rPr>
          <t>S &amp; S (Strategies and Solutions) # gets created automatically when Risk ID is selected.</t>
        </r>
      </text>
    </comment>
    <comment ref="D4" authorId="0" shapeId="0" xr:uid="{1E4E3CBE-D3CE-4071-91FF-9D47232E9A97}">
      <text>
        <r>
          <rPr>
            <sz val="9"/>
            <color indexed="81"/>
            <rFont val="Tahoma"/>
            <family val="2"/>
          </rPr>
          <t>Dependency category gets updated based on Column c.</t>
        </r>
      </text>
    </comment>
    <comment ref="E4" authorId="0" shapeId="0" xr:uid="{5780F775-4D0A-492B-9B88-7E7E4DD1FA84}">
      <text>
        <r>
          <rPr>
            <sz val="9"/>
            <color indexed="81"/>
            <rFont val="Tahoma"/>
            <family val="2"/>
          </rPr>
          <t>Risk assumption gets updated based on Column C.</t>
        </r>
      </text>
    </comment>
    <comment ref="F4" authorId="0" shapeId="0" xr:uid="{A14AF4AB-B504-413B-A7EA-192E72D77C9C}">
      <text>
        <r>
          <rPr>
            <sz val="9"/>
            <color indexed="81"/>
            <rFont val="Tahoma"/>
            <family val="2"/>
          </rPr>
          <t>Business Disruption Scenario gets updated based on Column C.</t>
        </r>
      </text>
    </comment>
    <comment ref="G4" authorId="0" shapeId="0" xr:uid="{3436428D-C649-47E2-9333-34165252DE43}">
      <text>
        <r>
          <rPr>
            <sz val="9"/>
            <color indexed="81"/>
            <rFont val="Tahoma"/>
            <family val="2"/>
          </rPr>
          <t>Count of Product and Services associated to this Risk is updated based on column C.</t>
        </r>
      </text>
    </comment>
    <comment ref="H4" authorId="0" shapeId="0" xr:uid="{F1AB1D90-FB22-4AB4-84E7-D8AEAABA04F8}">
      <text>
        <r>
          <rPr>
            <sz val="9"/>
            <color indexed="81"/>
            <rFont val="Tahoma"/>
            <family val="2"/>
          </rPr>
          <t xml:space="preserve">For risks which are captured in ERM risk register select Do Nothing, as strategy to mitigate would have been identified already. For others choose strategy and continue.
</t>
        </r>
      </text>
    </comment>
    <comment ref="I4" authorId="0" shapeId="0" xr:uid="{49238DE5-F5FA-439F-BBE1-CB4B47B29B7E}">
      <text>
        <r>
          <rPr>
            <sz val="9"/>
            <color indexed="81"/>
            <rFont val="Tahoma"/>
            <family val="2"/>
          </rPr>
          <t>Provide details of Strategies and Solutions planned.</t>
        </r>
      </text>
    </comment>
    <comment ref="J4" authorId="0" shapeId="0" xr:uid="{67F43FA2-DF81-472D-8596-AB1E6D53F4EF}">
      <text>
        <r>
          <rPr>
            <sz val="9"/>
            <color indexed="81"/>
            <rFont val="Tahoma"/>
            <family val="2"/>
          </rPr>
          <t>Choose which all requirements are applicable for supporting the Strategy and Solution.</t>
        </r>
      </text>
    </comment>
    <comment ref="P4" authorId="0" shapeId="0" xr:uid="{C9CCA01D-D9B4-4812-AE26-3BE247D9C268}">
      <text>
        <r>
          <rPr>
            <sz val="9"/>
            <color indexed="81"/>
            <rFont val="Tahoma"/>
            <family val="2"/>
          </rPr>
          <t>Capture the Business title of the person in charge of implementing this strategy and soluton.</t>
        </r>
      </text>
    </comment>
    <comment ref="Q4" authorId="0" shapeId="0" xr:uid="{43145758-613C-45A9-93E1-873571512C15}">
      <text>
        <r>
          <rPr>
            <sz val="9"/>
            <color indexed="81"/>
            <rFont val="Tahoma"/>
            <family val="2"/>
          </rPr>
          <t>Capture the planned start date of the solution implementation.</t>
        </r>
      </text>
    </comment>
    <comment ref="S4" authorId="0" shapeId="0" xr:uid="{996E3397-EB33-4769-B1F9-56D5EE9A5AC0}">
      <text>
        <r>
          <rPr>
            <sz val="9"/>
            <color indexed="81"/>
            <rFont val="Tahoma"/>
            <family val="2"/>
          </rPr>
          <t>Capture the planned completion date of the solution implementation.</t>
        </r>
      </text>
    </comment>
    <comment ref="T4" authorId="0" shapeId="0" xr:uid="{0C7E07F9-35AA-4484-B151-76C00974AE23}">
      <text>
        <r>
          <rPr>
            <sz val="9"/>
            <color indexed="81"/>
            <rFont val="Tahoma"/>
            <family val="2"/>
          </rPr>
          <t>Staus of the implementation is captured automatically based on Due date and completion date.</t>
        </r>
      </text>
    </comment>
    <comment ref="U4" authorId="0" shapeId="0" xr:uid="{327C8A86-AA0F-4E1E-B719-67094A9B240C}">
      <text>
        <r>
          <rPr>
            <sz val="9"/>
            <color indexed="81"/>
            <rFont val="Tahoma"/>
            <family val="2"/>
          </rPr>
          <t>Integerity check (One is to One) check to ensure that Strategy and solution is not prepared for the same risk ID twice.</t>
        </r>
      </text>
    </comment>
    <comment ref="V4" authorId="0" shapeId="0" xr:uid="{F63A9A68-99B6-4EC7-BB62-306105D5094F}">
      <text>
        <r>
          <rPr>
            <sz val="9"/>
            <color indexed="81"/>
            <rFont val="Tahoma"/>
            <family val="2"/>
          </rPr>
          <t>Recovery and response ID's gets updated automatically.</t>
        </r>
      </text>
    </comment>
    <comment ref="W4" authorId="0" shapeId="0" xr:uid="{1908AAFD-9A0D-44B0-95C8-4AE8140472E8}">
      <text>
        <r>
          <rPr>
            <sz val="9"/>
            <color indexed="81"/>
            <rFont val="Tahoma"/>
            <family val="2"/>
          </rPr>
          <t>Add any additional inputs required.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B4" authorId="0" shapeId="0" xr:uid="{BA106456-1F0D-430E-9C7F-C3004CA97A0D}">
      <text>
        <r>
          <rPr>
            <sz val="9"/>
            <color indexed="81"/>
            <rFont val="Tahoma"/>
            <family val="2"/>
          </rPr>
          <t>Requirements ID gets created when Column F is updated.</t>
        </r>
      </text>
    </comment>
    <comment ref="C4" authorId="0" shapeId="0" xr:uid="{34B8FCD3-AEFF-4EC6-A083-93FD7F25ECF7}">
      <text>
        <r>
          <rPr>
            <sz val="9"/>
            <color indexed="81"/>
            <rFont val="Tahoma"/>
            <family val="2"/>
          </rPr>
          <t>Select Strategies and Solutions (S &amp; S) # for which rewquirements should be updated.</t>
        </r>
      </text>
    </comment>
    <comment ref="D4" authorId="0" shapeId="0" xr:uid="{5C7BC01A-A79B-4440-8C8E-6D68CAEE22B8}">
      <text>
        <r>
          <rPr>
            <sz val="9"/>
            <color indexed="81"/>
            <rFont val="Tahoma"/>
            <family val="2"/>
          </rPr>
          <t>Risk ID gets updaetd based on Column C automatically</t>
        </r>
      </text>
    </comment>
    <comment ref="E4" authorId="0" shapeId="0" xr:uid="{7713592C-694B-4CC8-A9FA-0CB4408717F2}">
      <text>
        <r>
          <rPr>
            <sz val="9"/>
            <color indexed="81"/>
            <rFont val="Tahoma"/>
            <family val="2"/>
          </rPr>
          <t>Select the requirements identied in column J to O of Sheet 5. Add one row for each of the requirement.</t>
        </r>
      </text>
    </comment>
    <comment ref="F4" authorId="0" shapeId="0" xr:uid="{19254416-6637-4D64-B212-1114E22390F4}">
      <text>
        <r>
          <rPr>
            <sz val="9"/>
            <color indexed="81"/>
            <rFont val="Tahoma"/>
            <family val="2"/>
          </rPr>
          <t>Capture brief description of the requirement</t>
        </r>
      </text>
    </comment>
    <comment ref="G4" authorId="0" shapeId="0" xr:uid="{65B18BF1-4EDC-4FD6-BEB6-E233CC2D5DBB}">
      <text>
        <r>
          <rPr>
            <sz val="9"/>
            <color indexed="81"/>
            <rFont val="Tahoma"/>
            <family val="2"/>
          </rPr>
          <t>Provide Details/ Specifications of the requirement mentioned in Column F.</t>
        </r>
      </text>
    </comment>
    <comment ref="H4" authorId="0" shapeId="0" xr:uid="{FD763FF4-2804-4330-982A-B13626444EDC}">
      <text>
        <r>
          <rPr>
            <sz val="9"/>
            <color indexed="81"/>
            <rFont val="Tahoma"/>
            <family val="2"/>
          </rPr>
          <t>Capture the resources required to deliver the MBCO (Minimum Business Continuity Objective)</t>
        </r>
      </text>
    </comment>
    <comment ref="I4" authorId="0" shapeId="0" xr:uid="{8C62ADFF-0D56-4230-8DBB-275A75F73DB4}">
      <text>
        <r>
          <rPr>
            <sz val="9"/>
            <color indexed="81"/>
            <rFont val="Tahoma"/>
            <family val="2"/>
          </rPr>
          <t>Mention the Primary location where this requirement shall be delivered.</t>
        </r>
      </text>
    </comment>
    <comment ref="J4" authorId="0" shapeId="0" xr:uid="{464D1D11-2E54-452D-A7D7-64152B40F9F9}">
      <text>
        <r>
          <rPr>
            <sz val="9"/>
            <color indexed="81"/>
            <rFont val="Tahoma"/>
            <family val="2"/>
          </rPr>
          <t>Mention the Alternate location where this requirement shall be delivered.</t>
        </r>
      </text>
    </comment>
    <comment ref="K4" authorId="0" shapeId="0" xr:uid="{0783B8CE-1F91-406E-84A7-DA2AB04BFD40}">
      <text>
        <r>
          <rPr>
            <sz val="9"/>
            <color indexed="81"/>
            <rFont val="Tahoma"/>
            <family val="2"/>
          </rPr>
          <t xml:space="preserve">Capture the contract reference number or Document reference in which this required is captured.
</t>
        </r>
      </text>
    </comment>
    <comment ref="L4" authorId="0" shapeId="0" xr:uid="{B3C8DC48-6EFC-4B96-9F16-952BC530B4C4}">
      <text>
        <r>
          <rPr>
            <sz val="9"/>
            <color indexed="81"/>
            <rFont val="Tahoma"/>
            <family val="2"/>
          </rPr>
          <t>Capture the business title of the person who is responsible to fulfil this requirement.</t>
        </r>
      </text>
    </comment>
    <comment ref="M4" authorId="0" shapeId="0" xr:uid="{FB76DA4A-2ADA-4748-A726-FF4F2CE362AB}">
      <text>
        <r>
          <rPr>
            <sz val="9"/>
            <color indexed="81"/>
            <rFont val="Tahoma"/>
            <family val="2"/>
          </rPr>
          <t>Add any additional inputs if required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B4" authorId="0" shapeId="0" xr:uid="{21FB0068-AC37-45AF-BDB6-A57931BA7D65}">
      <text>
        <r>
          <rPr>
            <sz val="9"/>
            <color indexed="81"/>
            <rFont val="Tahoma"/>
            <family val="2"/>
          </rPr>
          <t xml:space="preserve">Disaser recovery (DR) ID </t>
        </r>
      </text>
    </comment>
    <comment ref="C4" authorId="0" shapeId="0" xr:uid="{D5890A53-E34F-44DC-8211-C8573B60605B}">
      <text>
        <r>
          <rPr>
            <sz val="9"/>
            <color indexed="81"/>
            <rFont val="Tahoma"/>
            <family val="2"/>
          </rPr>
          <t xml:space="preserve">Dependency category dropdown list for ICT </t>
        </r>
      </text>
    </comment>
    <comment ref="D4" authorId="0" shapeId="0" xr:uid="{6BBAA122-1C40-4A57-849B-10ADDCB9E2E3}">
      <text>
        <r>
          <rPr>
            <sz val="9"/>
            <color indexed="81"/>
            <rFont val="Tahoma"/>
            <family val="2"/>
          </rPr>
          <t>Dependency area associated to ICT/ Equipment</t>
        </r>
      </text>
    </comment>
    <comment ref="E4" authorId="0" shapeId="0" xr:uid="{B30A3230-8173-49A5-935F-56C042312E38}">
      <text>
        <r>
          <rPr>
            <sz val="9"/>
            <color indexed="81"/>
            <rFont val="Tahoma"/>
            <family val="2"/>
          </rPr>
          <t>Application/ Service/ Equipment considered for DR.</t>
        </r>
      </text>
    </comment>
    <comment ref="F4" authorId="0" shapeId="0" xr:uid="{D78FC3E5-1A42-4210-A86F-D45D236CE847}">
      <text>
        <r>
          <rPr>
            <sz val="9"/>
            <color indexed="81"/>
            <rFont val="Tahoma"/>
            <family val="2"/>
          </rPr>
          <t>Capture the Product / Service (P &amp; S) for which this DR is applicable.</t>
        </r>
      </text>
    </comment>
    <comment ref="G4" authorId="0" shapeId="0" xr:uid="{35EF3C04-62FB-454D-AC11-DB47F75E3AC6}">
      <text>
        <r>
          <rPr>
            <sz val="9"/>
            <color indexed="81"/>
            <rFont val="Tahoma"/>
            <family val="2"/>
          </rPr>
          <t>Capture the Recovery Time Objective (RTO) for this dependency.</t>
        </r>
      </text>
    </comment>
    <comment ref="J4" authorId="0" shapeId="0" xr:uid="{AD3ABE05-78E2-423F-BD07-8AE49B0B8EEB}">
      <text>
        <r>
          <rPr>
            <sz val="9"/>
            <color indexed="81"/>
            <rFont val="Tahoma"/>
            <family val="2"/>
          </rPr>
          <t>Capture the Recovery Point e Objective (RTO) for this dependency.</t>
        </r>
      </text>
    </comment>
    <comment ref="K4" authorId="0" shapeId="0" xr:uid="{F4472BA0-6C97-490B-BA06-1BEDF1F50B54}">
      <text>
        <r>
          <rPr>
            <sz val="9"/>
            <color indexed="81"/>
            <rFont val="Tahoma"/>
            <family val="2"/>
          </rPr>
          <t>Capture the Disaster recovery strategy in place for recovery from dropdown list.</t>
        </r>
      </text>
    </comment>
    <comment ref="L4" authorId="0" shapeId="0" xr:uid="{A16D5924-7AE1-4417-8D41-7EEE5F0300E0}">
      <text>
        <r>
          <rPr>
            <sz val="9"/>
            <color indexed="81"/>
            <rFont val="Tahoma"/>
            <family val="2"/>
          </rPr>
          <t xml:space="preserve">Capture the Disaster recovery site details (if DR site is available) 
</t>
        </r>
      </text>
    </comment>
    <comment ref="M4" authorId="0" shapeId="0" xr:uid="{AE0FCC7D-8A63-4A95-B1AA-E3DC8BE7CC48}">
      <text>
        <r>
          <rPr>
            <sz val="9"/>
            <color indexed="81"/>
            <rFont val="Tahoma"/>
            <family val="2"/>
          </rPr>
          <t>Capture the last on which Disaster recovery test was done.</t>
        </r>
      </text>
    </comment>
    <comment ref="O4" authorId="0" shapeId="0" xr:uid="{7ADA6603-A37D-4E85-804E-1D79D1418C73}">
      <text>
        <r>
          <rPr>
            <sz val="9"/>
            <color indexed="81"/>
            <rFont val="Tahoma"/>
            <family val="2"/>
          </rPr>
          <t>Capture the test result from the dropdownl ist.</t>
        </r>
      </text>
    </comment>
    <comment ref="P4" authorId="0" shapeId="0" xr:uid="{8B900953-5371-401E-A33F-5A3D6876E47E}">
      <text>
        <r>
          <rPr>
            <sz val="9"/>
            <color indexed="81"/>
            <rFont val="Tahoma"/>
            <family val="2"/>
          </rPr>
          <t>Next test date is aut updated for annual frequency</t>
        </r>
      </text>
    </comment>
    <comment ref="Q4" authorId="0" shapeId="0" xr:uid="{298978B2-0434-4197-84C1-A92511D6CCF7}">
      <text>
        <r>
          <rPr>
            <sz val="9"/>
            <color indexed="81"/>
            <rFont val="Tahoma"/>
            <family val="2"/>
          </rPr>
          <t>Status of DR strategy availability, status of testing and test status is captured.</t>
        </r>
      </text>
    </comment>
    <comment ref="R4" authorId="0" shapeId="0" xr:uid="{9F0ACCC0-CA55-463C-861D-169939DEF014}">
      <text>
        <r>
          <rPr>
            <sz val="9"/>
            <color indexed="81"/>
            <rFont val="Tahoma"/>
            <family val="2"/>
          </rPr>
          <t>Add any applicable remarks.</t>
        </r>
      </text>
    </comment>
    <comment ref="S4" authorId="0" shapeId="0" xr:uid="{86771C37-0871-41AE-B07A-46236DCB1656}">
      <text>
        <r>
          <rPr>
            <sz val="9"/>
            <color indexed="81"/>
            <rFont val="Tahoma"/>
            <family val="2"/>
          </rPr>
          <t>Recovery Time Objective (RTO) compliance is calculated automatically based on values in columns G and I</t>
        </r>
      </text>
    </comment>
    <comment ref="T4" authorId="0" shapeId="0" xr:uid="{5DD8E5E4-8556-4145-BE93-9C6845322BF1}">
      <text>
        <r>
          <rPr>
            <sz val="9"/>
            <color indexed="81"/>
            <rFont val="Tahoma"/>
            <family val="2"/>
          </rPr>
          <t>Recovery Point Objective (RPO) compliance is calculated automatically based on values in columns H and J</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B5" authorId="0" shapeId="0" xr:uid="{05D2F0E2-B36E-43F0-B017-FAEF1D2C3040}">
      <text>
        <r>
          <rPr>
            <sz val="9"/>
            <color indexed="81"/>
            <rFont val="Tahoma"/>
            <family val="2"/>
          </rPr>
          <t>Response and Recover ) R&amp;R) ID is created automatically based on Column B</t>
        </r>
      </text>
    </comment>
    <comment ref="C5" authorId="0" shapeId="0" xr:uid="{EF3DCEC5-7C16-4CCE-8137-0F12FCE70E5A}">
      <text>
        <r>
          <rPr>
            <sz val="9"/>
            <color indexed="81"/>
            <rFont val="Tahoma"/>
            <family val="2"/>
          </rPr>
          <t>Strategies and Solutions # for which Response and Recovery plan is prepared shall be selected from dropdown list.</t>
        </r>
      </text>
    </comment>
    <comment ref="D5" authorId="0" shapeId="0" xr:uid="{D4326FA4-1192-4BC7-B85B-9EEF86AA2BC3}">
      <text>
        <r>
          <rPr>
            <sz val="9"/>
            <color indexed="81"/>
            <rFont val="Tahoma"/>
            <family val="2"/>
          </rPr>
          <t>Product/ Service associated to the BIA # (Business Impact analysis) is updaed automatically.</t>
        </r>
      </text>
    </comment>
    <comment ref="E5" authorId="0" shapeId="0" xr:uid="{BD19CDF1-D753-4C06-89EB-7D004B67C5CE}">
      <text>
        <r>
          <rPr>
            <sz val="9"/>
            <color indexed="81"/>
            <rFont val="Tahoma"/>
            <family val="2"/>
          </rPr>
          <t>Capture the details of response and recovery actions.</t>
        </r>
      </text>
    </comment>
    <comment ref="F5" authorId="0" shapeId="0" xr:uid="{1F396873-E57E-409D-BA10-D4D45632ED5F}">
      <text>
        <r>
          <rPr>
            <sz val="9"/>
            <color indexed="81"/>
            <rFont val="Tahoma"/>
            <family val="2"/>
          </rPr>
          <t>Capture the details of the plans, procedure, documents where these actions are detailed.</t>
        </r>
      </text>
    </comment>
    <comment ref="G5" authorId="0" shapeId="0" xr:uid="{C8E2B1E7-18F1-4D5F-8242-E455D151F1B2}">
      <text>
        <r>
          <rPr>
            <sz val="9"/>
            <color indexed="81"/>
            <rFont val="Tahoma"/>
            <family val="2"/>
          </rPr>
          <t>Dependency category gets updated automaticallly based on S &amp; S # in Column B.</t>
        </r>
      </text>
    </comment>
    <comment ref="H5" authorId="0" shapeId="0" xr:uid="{47A15701-9998-4399-9EF0-C283D789E180}">
      <text>
        <r>
          <rPr>
            <sz val="9"/>
            <color indexed="81"/>
            <rFont val="Tahoma"/>
            <family val="2"/>
          </rPr>
          <t>Risk assumption is updated based on Column B automatically.</t>
        </r>
      </text>
    </comment>
    <comment ref="I5" authorId="0" shapeId="0" xr:uid="{AAFBB65F-A3E7-4F8F-89A5-914629D1BC9A}">
      <text>
        <r>
          <rPr>
            <sz val="9"/>
            <color indexed="81"/>
            <rFont val="Tahoma"/>
            <family val="2"/>
          </rPr>
          <t>Business disruption scenarion is updated based on Column B automatically.</t>
        </r>
      </text>
    </comment>
    <comment ref="J5" authorId="0" shapeId="0" xr:uid="{1973AE97-69EA-48E3-ADE3-5E1B034BDE4F}">
      <text>
        <r>
          <rPr>
            <sz val="9"/>
            <color indexed="81"/>
            <rFont val="Tahoma"/>
            <family val="2"/>
          </rPr>
          <t>Strategy gets updated based on Coliumn B.</t>
        </r>
      </text>
    </comment>
    <comment ref="K5" authorId="0" shapeId="0" xr:uid="{1B0A24AC-CEB1-4E3F-8513-17FB6B9ADEFA}">
      <text>
        <r>
          <rPr>
            <sz val="9"/>
            <color indexed="81"/>
            <rFont val="Tahoma"/>
            <family val="2"/>
          </rPr>
          <t>Solution details gets updated based on Coliumn B.</t>
        </r>
      </text>
    </comment>
    <comment ref="L5" authorId="0" shapeId="0" xr:uid="{77B2DA8D-49A5-4E2A-B4DC-EA365AA5743F}">
      <text>
        <r>
          <rPr>
            <sz val="9"/>
            <color indexed="81"/>
            <rFont val="Tahoma"/>
            <family val="2"/>
          </rPr>
          <t xml:space="preserve">Capture date on which business continuity exercises are planned.
</t>
        </r>
      </text>
    </comment>
    <comment ref="M5" authorId="0" shapeId="0" xr:uid="{320705C1-01C3-4519-B28D-93BFE808C6B9}">
      <text>
        <r>
          <rPr>
            <sz val="9"/>
            <color indexed="81"/>
            <rFont val="Tahoma"/>
            <family val="2"/>
          </rPr>
          <t xml:space="preserve">Capture date on which business continuity exercises are completed
</t>
        </r>
      </text>
    </comment>
    <comment ref="N5" authorId="0" shapeId="0" xr:uid="{414023E8-B11B-465C-86D5-F09627E35F27}">
      <text>
        <r>
          <rPr>
            <sz val="9"/>
            <color indexed="81"/>
            <rFont val="Tahoma"/>
            <family val="2"/>
          </rPr>
          <t>Status of exerciise completion is captured based on current date and completion date on Column T.</t>
        </r>
      </text>
    </comment>
    <comment ref="P5" authorId="0" shapeId="0" xr:uid="{B7B896B8-401B-4061-9746-A4137236DFAD}">
      <text>
        <r>
          <rPr>
            <sz val="9"/>
            <color indexed="81"/>
            <rFont val="Tahoma"/>
            <family val="2"/>
          </rPr>
          <t>Add any addional inputs required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BCM Toolkit</author>
  </authors>
  <commentList>
    <comment ref="A5" authorId="0" shapeId="0" xr:uid="{E78599DA-873F-4853-9905-4B63903BC39E}">
      <text>
        <r>
          <rPr>
            <sz val="9"/>
            <color indexed="81"/>
            <rFont val="Tahoma"/>
            <family val="2"/>
          </rPr>
          <t>Risk ID's get updated automatically.</t>
        </r>
      </text>
    </comment>
    <comment ref="B5" authorId="0" shapeId="0" xr:uid="{B7BC7086-39A0-4123-A568-D148E021CF55}">
      <text>
        <r>
          <rPr>
            <sz val="9"/>
            <color indexed="81"/>
            <rFont val="Tahoma"/>
            <family val="2"/>
          </rPr>
          <t>Risk assumptions  get updated automatically.</t>
        </r>
      </text>
    </comment>
    <comment ref="C5" authorId="0" shapeId="0" xr:uid="{7E414F7F-DC82-4E7C-B142-BCA680EA2417}">
      <text>
        <r>
          <rPr>
            <sz val="9"/>
            <color indexed="81"/>
            <rFont val="Tahoma"/>
            <family val="2"/>
          </rPr>
          <t>Disruption scenarios get updated automatically.</t>
        </r>
      </text>
    </comment>
    <comment ref="D5" authorId="0" shapeId="0" xr:uid="{B0D8911A-9903-44DE-B3F5-B88421D7C064}">
      <text>
        <r>
          <rPr>
            <sz val="9"/>
            <color indexed="81"/>
            <rFont val="Tahoma"/>
            <family val="2"/>
          </rPr>
          <t>Dependencies associated to Risks get updated automatically.</t>
        </r>
      </text>
    </comment>
    <comment ref="E5" authorId="0" shapeId="0" xr:uid="{E9F10CAC-4A0C-4D8A-8958-E2F688C90586}">
      <text>
        <r>
          <rPr>
            <sz val="9"/>
            <color indexed="81"/>
            <rFont val="Tahoma"/>
            <family val="2"/>
          </rPr>
          <t>Risk likelihood gets updated automatically.</t>
        </r>
      </text>
    </comment>
    <comment ref="F5" authorId="0" shapeId="0" xr:uid="{36BA0A79-670B-48FD-94FF-B06FB516B236}">
      <text>
        <r>
          <rPr>
            <sz val="9"/>
            <color indexed="81"/>
            <rFont val="Tahoma"/>
            <family val="2"/>
          </rPr>
          <t>Impact of risks  gets updated automatically.</t>
        </r>
      </text>
    </comment>
    <comment ref="G5" authorId="0" shapeId="0" xr:uid="{C95475D8-41C4-4B00-86D7-6953347636F4}">
      <text>
        <r>
          <rPr>
            <sz val="9"/>
            <color indexed="81"/>
            <rFont val="Tahoma"/>
            <family val="2"/>
          </rPr>
          <t>Associated rating gets updated automatically</t>
        </r>
      </text>
    </comment>
    <comment ref="H5" authorId="0" shapeId="0" xr:uid="{1758966E-0AE3-4FD4-BBA6-F137FE144C0A}">
      <text>
        <r>
          <rPr>
            <sz val="9"/>
            <color indexed="81"/>
            <rFont val="Tahoma"/>
            <family val="2"/>
          </rPr>
          <t>BCP (Business Continuity Plan) priority  gets updated automatically.</t>
        </r>
      </text>
    </comment>
    <comment ref="I5" authorId="0" shapeId="0" xr:uid="{E0E82571-2A7D-44C1-91AF-AE26FA5C38FC}">
      <text>
        <r>
          <rPr>
            <sz val="9"/>
            <color indexed="81"/>
            <rFont val="Tahoma"/>
            <family val="2"/>
          </rPr>
          <t>Associated BIA (Business Impact Analysis) #s  get updated automatically.</t>
        </r>
      </text>
    </comment>
    <comment ref="J5" authorId="0" shapeId="0" xr:uid="{F36FDD6E-A75A-4514-A16D-D9C39A005475}">
      <text>
        <r>
          <rPr>
            <sz val="9"/>
            <color indexed="81"/>
            <rFont val="Tahoma"/>
            <family val="2"/>
          </rPr>
          <t>Product and Service names are listed based on the BIA # captured in Column I from Sheet 3 BIA.</t>
        </r>
      </text>
    </comment>
    <comment ref="K5" authorId="0" shapeId="0" xr:uid="{8B50FD6C-C7DB-4AA4-BDB1-72EAEDF9CFFA}">
      <text>
        <r>
          <rPr>
            <sz val="9"/>
            <color indexed="81"/>
            <rFont val="Tahoma"/>
            <family val="2"/>
          </rPr>
          <t>Response and Recovery # is captured from Sheet 6 based on values in Column L.</t>
        </r>
      </text>
    </comment>
    <comment ref="L5" authorId="0" shapeId="0" xr:uid="{5DFD4D5E-E042-44F2-8D52-BB9334F614D9}">
      <text>
        <r>
          <rPr>
            <sz val="9"/>
            <color indexed="81"/>
            <rFont val="Tahoma"/>
            <family val="2"/>
          </rPr>
          <t>S &amp; S (Strategy &amp; Solution) #  gets updated automatically.</t>
        </r>
      </text>
    </comment>
    <comment ref="M5" authorId="0" shapeId="0" xr:uid="{8D5669DB-A589-4D1E-8D21-7D53D070889C}">
      <text>
        <r>
          <rPr>
            <sz val="9"/>
            <color indexed="81"/>
            <rFont val="Tahoma"/>
            <family val="2"/>
          </rPr>
          <t>Status of Strategy and Soluton (S &amp; S) implementation  gets updated automatically.</t>
        </r>
      </text>
    </comment>
    <comment ref="N5" authorId="0" shapeId="0" xr:uid="{0F113465-F401-4B7D-AC90-E13D29D57E2C}">
      <text>
        <r>
          <rPr>
            <sz val="9"/>
            <color indexed="81"/>
            <rFont val="Tahoma"/>
            <family val="2"/>
          </rPr>
          <t>Due date gets updated automatically.</t>
        </r>
      </text>
    </comment>
    <comment ref="O5" authorId="0" shapeId="0" xr:uid="{F368FD17-EF66-4B73-8022-75E21C62DCC6}">
      <text>
        <r>
          <rPr>
            <sz val="9"/>
            <color indexed="81"/>
            <rFont val="Tahoma"/>
            <family val="2"/>
          </rPr>
          <t>Response and Recovery (R &amp;R) exercise status gets updated automatically.</t>
        </r>
      </text>
    </comment>
    <comment ref="P5" authorId="0" shapeId="0" xr:uid="{64892B96-F183-47C2-AF83-90F606F1FEA0}">
      <text>
        <r>
          <rPr>
            <sz val="9"/>
            <color indexed="81"/>
            <rFont val="Tahoma"/>
            <family val="2"/>
          </rPr>
          <t>Add any additional inputs in Remarks column.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<sst xmlns="http://schemas.openxmlformats.org/spreadsheetml/2006/main" count="1841" uniqueCount="964">
  <si>
    <t>ISO 22301:2019 - Full Clause Map</t>
  </si>
  <si>
    <t>Where each clause lives in this toolkit or which external document satisfies it - auto status pulls from PDCA where wired  |  ISO 22301: Whole standard - clauses 4 to 10</t>
  </si>
  <si>
    <t>Clause</t>
  </si>
  <si>
    <t>Requirement (summary)</t>
  </si>
  <si>
    <t>Where it lives</t>
  </si>
  <si>
    <t>Status</t>
  </si>
  <si>
    <t>Owner</t>
  </si>
  <si>
    <t>Evidence / Document</t>
  </si>
  <si>
    <t>Notes / Gap Action</t>
  </si>
  <si>
    <t>4 Context of the organization</t>
  </si>
  <si>
    <t>4.1</t>
  </si>
  <si>
    <t>Determine external and internal issues relevant to the BCMS purpose</t>
  </si>
  <si>
    <t>Head of BCM</t>
  </si>
  <si>
    <t>This workbook - see Where it lives</t>
  </si>
  <si>
    <t>Maintained via toolkit</t>
  </si>
  <si>
    <t>4.2</t>
  </si>
  <si>
    <t>Determine interested parties, their requirements, and legal/regulatory requirements</t>
  </si>
  <si>
    <t>4.3</t>
  </si>
  <si>
    <t>Determine BCMS scope with justification for exclusions</t>
  </si>
  <si>
    <t>4.4</t>
  </si>
  <si>
    <t>Establish, implement, maintain and continually improve the BCMS</t>
  </si>
  <si>
    <t>5 Leadership</t>
  </si>
  <si>
    <t>5.1</t>
  </si>
  <si>
    <t>Top management demonstrates leadership and commitment to the BCMS</t>
  </si>
  <si>
    <t>In Place</t>
  </si>
  <si>
    <t>Committee ToR</t>
  </si>
  <si>
    <t>5.2</t>
  </si>
  <si>
    <t>Establish, communicate and maintain a business continuity policy</t>
  </si>
  <si>
    <t>BCM Policy (CEO-signed)</t>
  </si>
  <si>
    <t>5.3</t>
  </si>
  <si>
    <t>Assign and communicate roles, responsibilities and authorities</t>
  </si>
  <si>
    <t>Partial</t>
  </si>
  <si>
    <t>RACI / role letters</t>
  </si>
  <si>
    <t>6 Planning</t>
  </si>
  <si>
    <t>6.1</t>
  </si>
  <si>
    <t>Address risks and opportunities to the BCMS itself</t>
  </si>
  <si>
    <t>BCMS risk entries</t>
  </si>
  <si>
    <t>6.2</t>
  </si>
  <si>
    <t>Set measurable BC objectives and plans to achieve them</t>
  </si>
  <si>
    <t>KPI definitions</t>
  </si>
  <si>
    <t>6.3</t>
  </si>
  <si>
    <t>Plan changes to the BCMS in a controlled way</t>
  </si>
  <si>
    <t>Change log</t>
  </si>
  <si>
    <t>7 Support</t>
  </si>
  <si>
    <t>7.1</t>
  </si>
  <si>
    <t>Provide resources needed for the BCMS</t>
  </si>
  <si>
    <t>7.2</t>
  </si>
  <si>
    <t>Ensure competence of persons doing BCMS work</t>
  </si>
  <si>
    <t>Training matrix</t>
  </si>
  <si>
    <t>7.3</t>
  </si>
  <si>
    <t>Ensure awareness of policy and roles</t>
  </si>
  <si>
    <t>Awareness evidence</t>
  </si>
  <si>
    <t>7.4</t>
  </si>
  <si>
    <t>Determine internal &amp; external BCMS communications</t>
  </si>
  <si>
    <t>Comms plan</t>
  </si>
  <si>
    <t>7.5</t>
  </si>
  <si>
    <t>Control documented information</t>
  </si>
  <si>
    <t>This workbook</t>
  </si>
  <si>
    <t>8 Operation</t>
  </si>
  <si>
    <t>8.1</t>
  </si>
  <si>
    <t>Plan, implement and control BCMS processes</t>
  </si>
  <si>
    <t>8.2.1</t>
  </si>
  <si>
    <t>Establish processes for BIA and risk assessment</t>
  </si>
  <si>
    <t>8.2.2</t>
  </si>
  <si>
    <t>Business impact analysis: impacts over time, priorities, MTPD/RTO/RPO, dependencies</t>
  </si>
  <si>
    <t>8.2.3</t>
  </si>
  <si>
    <t>Risk assessment of disruption to prioritised activities</t>
  </si>
  <si>
    <t>8.3</t>
  </si>
  <si>
    <t>Identify and select business continuity strategies and solutions incl. resources</t>
  </si>
  <si>
    <t>8.4.1</t>
  </si>
  <si>
    <t>Implement response structures and plans</t>
  </si>
  <si>
    <t>8.4.2</t>
  </si>
  <si>
    <t>Response structure: teams, competence, escalation</t>
  </si>
  <si>
    <t>CM framework</t>
  </si>
  <si>
    <t>8.4.3</t>
  </si>
  <si>
    <t>Warning and communication procedures</t>
  </si>
  <si>
    <t>Contact tree</t>
  </si>
  <si>
    <t>8.4.4</t>
  </si>
  <si>
    <t>Business continuity plans: activation, actions, resources, information flow</t>
  </si>
  <si>
    <t>8.4.5</t>
  </si>
  <si>
    <t>Recovery: restore and return from temporary measures</t>
  </si>
  <si>
    <t>8.5</t>
  </si>
  <si>
    <t>Exercise programme validating strategies and plans over time</t>
  </si>
  <si>
    <t>8.6</t>
  </si>
  <si>
    <t>Evaluate BC documentation and capabilities (incl. post-incident)</t>
  </si>
  <si>
    <t>9 Performance evaluation</t>
  </si>
  <si>
    <t>9.1</t>
  </si>
  <si>
    <t>Monitoring, measurement, analysis and evaluation</t>
  </si>
  <si>
    <t>9.2</t>
  </si>
  <si>
    <t>Internal audit at planned intervals</t>
  </si>
  <si>
    <t>Audit reports</t>
  </si>
  <si>
    <t>9.3</t>
  </si>
  <si>
    <t>Management review with defined inputs/outputs</t>
  </si>
  <si>
    <t>MR minutes</t>
  </si>
  <si>
    <t>10 Improvement</t>
  </si>
  <si>
    <t>10.1</t>
  </si>
  <si>
    <t>Nonconformity and corrective action</t>
  </si>
  <si>
    <t>10.2</t>
  </si>
  <si>
    <t>Continual improvement of the BCMS</t>
  </si>
  <si>
    <t>Division</t>
  </si>
  <si>
    <t>Not Started</t>
  </si>
  <si>
    <t>Completed</t>
  </si>
  <si>
    <t>BCM Implementation Toolkit</t>
  </si>
  <si>
    <t>CONFIDENTIAL | ISO 22301: 7.5 Documented information</t>
  </si>
  <si>
    <t>Document Control</t>
  </si>
  <si>
    <t>Version Number</t>
  </si>
  <si>
    <t>Release Date</t>
  </si>
  <si>
    <t>Review Date</t>
  </si>
  <si>
    <t>Custodian</t>
  </si>
  <si>
    <t>Prepared by:</t>
  </si>
  <si>
    <t>Position / Title</t>
  </si>
  <si>
    <t>Name</t>
  </si>
  <si>
    <t>Date</t>
  </si>
  <si>
    <t>Signature</t>
  </si>
  <si>
    <t>Reviewed by:</t>
  </si>
  <si>
    <t>Approved by:</t>
  </si>
  <si>
    <t>Business Unit Profile - BCM Implementation Scope (ISO 22301 Clause 4)</t>
  </si>
  <si>
    <t>CONFIDENTIAL - Understanding the organization's context, interested parties, and BCMS scope</t>
  </si>
  <si>
    <t>Section 1 - Organization Identity (ISO 22301 Clause 4.1)</t>
  </si>
  <si>
    <t>Organization Legal Name</t>
  </si>
  <si>
    <t>Business Unit Name</t>
  </si>
  <si>
    <t>Business Unit Code / ID</t>
  </si>
  <si>
    <t>Parent Division</t>
  </si>
  <si>
    <t>Headquarters Location</t>
  </si>
  <si>
    <t>Operating Locations (list)</t>
  </si>
  <si>
    <t>Date Established</t>
  </si>
  <si>
    <t>Number of Employees (BU)</t>
  </si>
  <si>
    <t>Industry Sector</t>
  </si>
  <si>
    <t>Primary Business Activities</t>
  </si>
  <si>
    <t>Section 2 - Leadership &amp; Governance (ISO 22301 Clause 5)</t>
  </si>
  <si>
    <t>Field</t>
  </si>
  <si>
    <t>Title</t>
  </si>
  <si>
    <t>Contact</t>
  </si>
  <si>
    <t>Section 3 - Internal Context (ISO 22301 Clause 4.1)</t>
  </si>
  <si>
    <t>Mission Statement</t>
  </si>
  <si>
    <t>Vision Statement</t>
  </si>
  <si>
    <t>Strategic Objectives (BU)</t>
  </si>
  <si>
    <t>Key Products / Services</t>
  </si>
  <si>
    <t>Annual Revenue (local currency)</t>
  </si>
  <si>
    <t>Operating Hours</t>
  </si>
  <si>
    <t>Peak Seasons / Periods</t>
  </si>
  <si>
    <t>Organizational Structure</t>
  </si>
  <si>
    <t>Section 4 - External Context (ISO 22301 Clause 4.1)</t>
  </si>
  <si>
    <t>Primary Regulators</t>
  </si>
  <si>
    <t>Market Position</t>
  </si>
  <si>
    <t>Key Competitors</t>
  </si>
  <si>
    <t>Geographic Markets Served</t>
  </si>
  <si>
    <t>Economic Factors</t>
  </si>
  <si>
    <t>Political / Legal Factors</t>
  </si>
  <si>
    <t>Technology Trends</t>
  </si>
  <si>
    <t>Environmental Factors</t>
  </si>
  <si>
    <t>Social / Cultural Factors</t>
  </si>
  <si>
    <t>Section 5 - Interested Parties &amp; Requirements (ISO 22301 Clause 4.2)</t>
  </si>
  <si>
    <t>Interested Party</t>
  </si>
  <si>
    <t>Requirements / Expectations</t>
  </si>
  <si>
    <t>How Addressed</t>
  </si>
  <si>
    <t>Priority</t>
  </si>
  <si>
    <t>Shareholders / Board</t>
  </si>
  <si>
    <t>High</t>
  </si>
  <si>
    <t>Customers (B2B)</t>
  </si>
  <si>
    <t>Consumers (End Users)</t>
  </si>
  <si>
    <t>Employees</t>
  </si>
  <si>
    <t>Suppliers / Vendors</t>
  </si>
  <si>
    <t>Medium</t>
  </si>
  <si>
    <t>Regulatory Authorities</t>
  </si>
  <si>
    <t>Government Agencies</t>
  </si>
  <si>
    <t>Local Communities</t>
  </si>
  <si>
    <t>Insurance Providers</t>
  </si>
  <si>
    <t>Media / Public</t>
  </si>
  <si>
    <t>Banks / Financial Institutions</t>
  </si>
  <si>
    <t>Section 6 - BCMS Scope Definition (ISO 22301 Clause 4.3)</t>
  </si>
  <si>
    <t>In-Scope Products / Services</t>
  </si>
  <si>
    <t>In-Scope Locations / Sites</t>
  </si>
  <si>
    <t>In-Scope Departments / Functions</t>
  </si>
  <si>
    <t>Out-of-Scope Items (exclusions)</t>
  </si>
  <si>
    <t>Justification for Exclusions</t>
  </si>
  <si>
    <t>Interfaces with Other BUs</t>
  </si>
  <si>
    <t>Section 7 - Legal &amp; Regulatory Requirements (ISO 22301 Clause 4.2.2)</t>
  </si>
  <si>
    <t>Requirement Type</t>
  </si>
  <si>
    <t>Specific Requirement</t>
  </si>
  <si>
    <t>Compliance Status</t>
  </si>
  <si>
    <t>Section 8 - Critical Assets &amp; Resources Overview</t>
  </si>
  <si>
    <t>Critical Facilities / Sites</t>
  </si>
  <si>
    <t>Critical Equipment / Machinery</t>
  </si>
  <si>
    <t>Critical IT Systems</t>
  </si>
  <si>
    <t>Critical Data / Records</t>
  </si>
  <si>
    <t>Key Suppliers (Top 5)</t>
  </si>
  <si>
    <t>Key Customers (Top 5)</t>
  </si>
  <si>
    <t>Outsourced Functions</t>
  </si>
  <si>
    <t>Utility Dependencies</t>
  </si>
  <si>
    <t>Transportation / Logistics</t>
  </si>
  <si>
    <t>Specialized Skills / Roles</t>
  </si>
  <si>
    <t>Section 9 - Risk Appetite &amp; Tolerance (aligned with ERM)</t>
  </si>
  <si>
    <t>Risk Category</t>
  </si>
  <si>
    <t>Appetite Level</t>
  </si>
  <si>
    <t>Tolerance Threshold</t>
  </si>
  <si>
    <t>Rationale</t>
  </si>
  <si>
    <t>Financial</t>
  </si>
  <si>
    <t>Low</t>
  </si>
  <si>
    <t>Operational</t>
  </si>
  <si>
    <t>Product / Service Safety</t>
  </si>
  <si>
    <t>Zero</t>
  </si>
  <si>
    <t>Health, Safety &amp; Environment</t>
  </si>
  <si>
    <t>Regulatory &amp; Compliance</t>
  </si>
  <si>
    <t>Reputation</t>
  </si>
  <si>
    <t>Information Technology</t>
  </si>
  <si>
    <t>Customer Impact</t>
  </si>
  <si>
    <t>Section 10 - Profile Approval</t>
  </si>
  <si>
    <t>Profile Completed By:</t>
  </si>
  <si>
    <t>Profile Reviewed By:</t>
  </si>
  <si>
    <t>ERM - Business Continuity</t>
  </si>
  <si>
    <t>Profile Approved By:</t>
  </si>
  <si>
    <t>Completed Date:</t>
  </si>
  <si>
    <t>Next Review Date:</t>
  </si>
  <si>
    <t>How the Toolkit Works - Governance, Colours &amp; Flow (v6)</t>
  </si>
  <si>
    <t>CONFIDENTIAL: reveals critical organisational infrastructure - distribution restricted to the approved BCM list  |  ISO 22301: 7.5 Documented information (control &amp; use)</t>
  </si>
  <si>
    <t>Colour code</t>
  </si>
  <si>
    <t>WHITE cells</t>
  </si>
  <si>
    <t>You fill these. Everything the toolkit needs from a human is white.</t>
  </si>
  <si>
    <t>LIGHT BLUE cells</t>
  </si>
  <si>
    <t>Automatic - formulas. Do not type here; they read the toolkit and update themselves.</t>
  </si>
  <si>
    <t>Governance</t>
  </si>
  <si>
    <t>DATA STEWARD: only the Head of BCM (or a named delegate) issues P&amp;S IDs and unlocks '99. Engine'. 
REVIEW CYCLE: each BIA block carries Assessment Date / Valid Until - expiry flips the PDCA BIA step to Partial. IDs derive from the static No. column, so sorting or filtering never breaks identity.</t>
  </si>
  <si>
    <t>Grouping (+/-)</t>
  </si>
  <si>
    <t>Sheets use Excel grouping: BIA blocks and Risk Assessment associations collapse with the +/- buttons on the left margin;  the ISO map groups by clause. Collapse what you are not working on.</t>
  </si>
  <si>
    <t>Chain &amp; Logic</t>
  </si>
  <si>
    <t>1 P&amp;S &lt;-&gt; 1 BIA. 
Risk = assumption per dependency (1 BIA -&gt; many Risks; 1 Risk -&gt; many BIAs). 
1 Risk &lt;-&gt; 1 S&amp;S. 
1 S&amp;S -&gt; 1 BCP; 1 BCP -&gt; many S&amp;S. 
Requirements live one-row-each in 5b. 
Flow: 0a Profile -&gt; 2 Scope -&gt; 3 BIA -&gt; 3b Dependencies -&gt; 4 RA -&gt; 5 S&amp;S -&gt; 5b Requirements -&gt; 6 RR (BCP) -&gt; 7 Register -&gt; 8 Dashboard -&gt; 11 PDCA -&gt; 14 ISO Map. Docs Register (12) and IT DR (13) plug into the same chain.</t>
  </si>
  <si>
    <t>Impact Over Time</t>
  </si>
  <si>
    <t>Nine horizons (6h -&gt; &gt;1 month) with edges on the ERM Operational bands. Score each phase with the ERM rating carried if still down at the END of that phase, using the anchors in '9. Reference Data'. MTPD / RTO / criticality calculate automatically; the value chain overrides upstream with the worst downstream MTPD.</t>
  </si>
  <si>
    <t>Common Mistakes</t>
  </si>
  <si>
    <t>x RTO equal to MTPD (toolkit keeps a buffer). 
x Dependencies typed as long text in one cell - use 3b, one row each. 
x Requirement flag = Yes in Sheet 5 with no matching row in 5b (the flag turns red). 
x Deleting rows - clear contents instead. 
x Scoring without the Sheet 9 anchors.</t>
  </si>
  <si>
    <t>Growth Headroom</t>
  </si>
  <si>
    <t>Spare capacity: 45 scope rows, 40 BIA blocks, 28 risks, 60 S&amp;S, 100 BCP rows, 300 requirement rows, 200 dependencies, 30 DR systems. Formulas already cover the spare rows.</t>
  </si>
  <si>
    <t>Step 1 - Scope: Products &amp; Services + Corporate BIA + Value Chain</t>
  </si>
  <si>
    <t>Steward issues P&amp;S IDs | ISO 22301: 4.3 Scope; 8.2.2 Prioritised activities</t>
  </si>
  <si>
    <t>Corporate BIA (CEO-level first check)</t>
  </si>
  <si>
    <t>Calculated (auto)</t>
  </si>
  <si>
    <t>No.</t>
  </si>
  <si>
    <t>P&amp;S ID</t>
  </si>
  <si>
    <t>Business Unit</t>
  </si>
  <si>
    <t>Division / Site</t>
  </si>
  <si>
    <t>Product / Service</t>
  </si>
  <si>
    <t>Sub-Category</t>
  </si>
  <si>
    <t>EVP</t>
  </si>
  <si>
    <t>In Scope (Y/N)</t>
  </si>
  <si>
    <t>Corporate BIA Critical</t>
  </si>
  <si>
    <t>Corporate MBCO (if provided)</t>
  </si>
  <si>
    <t>BIA Order</t>
  </si>
  <si>
    <t>Yes</t>
  </si>
  <si>
    <t>Critical - cannot be removed or moved</t>
  </si>
  <si>
    <t>Important - can be substituted</t>
  </si>
  <si>
    <t>No</t>
  </si>
  <si>
    <t>Sl #</t>
  </si>
  <si>
    <t>_</t>
  </si>
  <si>
    <t>BIA MTPD</t>
  </si>
  <si>
    <t>Dependency RTO</t>
  </si>
  <si>
    <t>Dependency RPO</t>
  </si>
  <si>
    <t>Product Code</t>
  </si>
  <si>
    <t>Product &amp; Services</t>
  </si>
  <si>
    <t>Activities performed within the process</t>
  </si>
  <si>
    <t>Frequency of Activity</t>
  </si>
  <si>
    <t>Peak Period</t>
  </si>
  <si>
    <t>Rationale for Peak Period</t>
  </si>
  <si>
    <t>Current Staff to Perform Activity</t>
  </si>
  <si>
    <t>Activity Can be Performed Remotely?</t>
  </si>
  <si>
    <t>SPOF</t>
  </si>
  <si>
    <t>Step 2 - Business Impact Analysis (Product &amp; Service Level)</t>
  </si>
  <si>
    <t>ISO 22301: 8.2.2 Business impact analysis</t>
  </si>
  <si>
    <t>BIA #</t>
  </si>
  <si>
    <t>Product / Service
(auto - value-chain order)</t>
  </si>
  <si>
    <t>Product / Service ID</t>
  </si>
  <si>
    <t>Risk Identification</t>
  </si>
  <si>
    <t>Impact Type</t>
  </si>
  <si>
    <t>Process Unavailability Impact Over Time (1-5) - anchors in Sheet 9</t>
  </si>
  <si>
    <t>Criticality (Corporate cascade)</t>
  </si>
  <si>
    <t>MBCO &amp; Recovery Targets</t>
  </si>
  <si>
    <t>Linked Records (auto)</t>
  </si>
  <si>
    <t>Dependencies</t>
  </si>
  <si>
    <t>Will it interrupt the operation? (Y/N)</t>
  </si>
  <si>
    <t>Up to
6 Hours</t>
  </si>
  <si>
    <t>Up to
18 Hours</t>
  </si>
  <si>
    <t>Up to
36 Hours</t>
  </si>
  <si>
    <t>Up to
3 Days</t>
  </si>
  <si>
    <t>Up to
1 Week</t>
  </si>
  <si>
    <t>Up to
2 Weeks</t>
  </si>
  <si>
    <t>Up to
3 Weeks</t>
  </si>
  <si>
    <t>More than
1 Month</t>
  </si>
  <si>
    <t>Max Impact (auto)</t>
  </si>
  <si>
    <t>Max Impact Type (auto)</t>
  </si>
  <si>
    <t>Corporate Critical (auto)</t>
  </si>
  <si>
    <t>BU Critical (Y/N)</t>
  </si>
  <si>
    <t>Critical - Final (auto)</t>
  </si>
  <si>
    <t>MBCO - Corporate (auto)</t>
  </si>
  <si>
    <t>Rationale / Supporting Reasons</t>
  </si>
  <si>
    <t>CEO MTPD</t>
  </si>
  <si>
    <t>Assessment Date</t>
  </si>
  <si>
    <t>Valid Until (auto +12 mo)</t>
  </si>
  <si>
    <t>Risk IDs</t>
  </si>
  <si>
    <t>S&amp;S #</t>
  </si>
  <si>
    <t>R&amp;R IDs</t>
  </si>
  <si>
    <t>People</t>
  </si>
  <si>
    <t>ICT</t>
  </si>
  <si>
    <t>Data / Info</t>
  </si>
  <si>
    <t>3rd Party</t>
  </si>
  <si>
    <t>Equipment / Building / Utilities</t>
  </si>
  <si>
    <t>Pre-Service</t>
  </si>
  <si>
    <t>Post-Service</t>
  </si>
  <si>
    <t>Step 2b - Dependency Register</t>
  </si>
  <si>
    <t>one row per dependency  |  ISO 22301: 8.2.2 Dependencies &amp; supporting resources</t>
  </si>
  <si>
    <t>Dep ID</t>
  </si>
  <si>
    <t>BIA #
(select)</t>
  </si>
  <si>
    <t>Product / Service (auto)</t>
  </si>
  <si>
    <t>Category (select)</t>
  </si>
  <si>
    <t>Sub category (For ICT and Equipment)</t>
  </si>
  <si>
    <t>ICT/ Equipment details</t>
  </si>
  <si>
    <t>Dependency Name</t>
  </si>
  <si>
    <t>Description / Detail</t>
  </si>
  <si>
    <t>SPOF? (Y/N)</t>
  </si>
  <si>
    <t>Remarks</t>
  </si>
  <si>
    <t>Application</t>
  </si>
  <si>
    <t>Service</t>
  </si>
  <si>
    <t>Equipment</t>
  </si>
  <si>
    <t>Note:</t>
  </si>
  <si>
    <t>Here list of applications and services related to IT and equipment and applications related to OT to be captured by BU team.</t>
  </si>
  <si>
    <t>Step 3 - BCM Risk Assessment by Dependency</t>
  </si>
  <si>
    <t>per the organisation's ERM Framework |  ISO 22301: 8.2.3 Risk assessment</t>
  </si>
  <si>
    <t>Slot</t>
  </si>
  <si>
    <t>Dependency categories</t>
  </si>
  <si>
    <t>Risk ID # /
BIA # (assoc.)</t>
  </si>
  <si>
    <t>Risk Assumption (select or type) /
Associated Product / Service (auto)</t>
  </si>
  <si>
    <t>Business Disruption Scenario (auto)</t>
  </si>
  <si>
    <t>ERM / Site Risk Register Ref#</t>
  </si>
  <si>
    <t>Implemented Controls</t>
  </si>
  <si>
    <t>Residual Likelihood (1-5)</t>
  </si>
  <si>
    <t>Likelihood Rating (auto)</t>
  </si>
  <si>
    <t>Residual Impact (1-5)</t>
  </si>
  <si>
    <t>Impact Rating (auto)</t>
  </si>
  <si>
    <t>Risk Reference (auto - ERM)</t>
  </si>
  <si>
    <t>Risk Rating (auto)</t>
  </si>
  <si>
    <t>BCP Priority (auto)
1=Critical...4=Low</t>
  </si>
  <si>
    <t>Associated BIA #s (auto)</t>
  </si>
  <si>
    <t>S&amp;S # (auto)</t>
  </si>
  <si>
    <t>R&amp;R IDs (auto)</t>
  </si>
  <si>
    <t>Distribution network failure</t>
  </si>
  <si>
    <t>Step 4 - Continuity Strategies &amp; Solutions + MVO Operating Mode</t>
  </si>
  <si>
    <t>Requirement flags turn RED if Yes with no matching row in 5b |  ISO 22301: 8.3 BC strategies and solutions</t>
  </si>
  <si>
    <t>Risk Assumption (auto)</t>
  </si>
  <si>
    <t>Action Owner</t>
  </si>
  <si>
    <t>Start Date</t>
  </si>
  <si>
    <t>Due Date</t>
  </si>
  <si>
    <t>Completion Date</t>
  </si>
  <si>
    <t>Status (auto)</t>
  </si>
  <si>
    <t>1:1 Check</t>
  </si>
  <si>
    <t>Data Backup</t>
  </si>
  <si>
    <t>Fund</t>
  </si>
  <si>
    <t>Resource Redundancy (People/Equipment)</t>
  </si>
  <si>
    <t>Alternative Site / Relocation</t>
  </si>
  <si>
    <t>Manual / Alternative Process (Workaround)</t>
  </si>
  <si>
    <t>Dual / Multi-Sourcing</t>
  </si>
  <si>
    <t>Third-Party / Outsourcing Arrangement</t>
  </si>
  <si>
    <t>Stock Build / Buffer Inventory</t>
  </si>
  <si>
    <t xml:space="preserve">Step 4b - Requirements Register </t>
  </si>
  <si>
    <t>Req ID</t>
  </si>
  <si>
    <t>Risk ID (auto)</t>
  </si>
  <si>
    <t>Item / Resource / Role</t>
  </si>
  <si>
    <t>Detail / Specification</t>
  </si>
  <si>
    <t>MBCO resource requirement</t>
  </si>
  <si>
    <t>Required RTO</t>
  </si>
  <si>
    <t>Required RPO</t>
  </si>
  <si>
    <t>Primary Location</t>
  </si>
  <si>
    <t>Alternate Location(s)</t>
  </si>
  <si>
    <t xml:space="preserve">Step 5 - Recovery &amp; Response Plan </t>
  </si>
  <si>
    <t>ISO 22301: 8.4 Plans &amp; procedures; 8.5 Exercise programme</t>
  </si>
  <si>
    <t>Keys (S&amp;S -&gt; BCP -&gt; BIA)</t>
  </si>
  <si>
    <t>Immediate Response</t>
  </si>
  <si>
    <t>Risk Context (auto)</t>
  </si>
  <si>
    <t>Strategy &amp; Resources (auto)</t>
  </si>
  <si>
    <t>Risk Assumption</t>
  </si>
  <si>
    <t>RTO</t>
  </si>
  <si>
    <t>Strategy</t>
  </si>
  <si>
    <t>Solution Details</t>
  </si>
  <si>
    <t>Step 6 - Consolidated BCM Risk Register (auto view for ERM &amp; audit)</t>
  </si>
  <si>
    <t>ISO 22301: 9.1 Monitoring &amp; evaluation</t>
  </si>
  <si>
    <t>Risk ID</t>
  </si>
  <si>
    <t>Disruption Scenario (auto)</t>
  </si>
  <si>
    <t>Dependency (auto)</t>
  </si>
  <si>
    <t>Likelihood (auto)</t>
  </si>
  <si>
    <t>Impact (auto)</t>
  </si>
  <si>
    <t>Rating (auto)</t>
  </si>
  <si>
    <t>BCP Priority (auto)</t>
  </si>
  <si>
    <t>BCM Programme Dashboard - [Company]</t>
  </si>
  <si>
    <t>Live counters - review weekly - red items need action, not explanation  |  ISO 22301: 9.1 Monitoring, measurement, analysis, evaluation</t>
  </si>
  <si>
    <t>Coverage</t>
  </si>
  <si>
    <t>Risk &amp; Readiness</t>
  </si>
  <si>
    <t>Governance &amp; Compliance</t>
  </si>
  <si>
    <t>P&amp;S in scope</t>
  </si>
  <si>
    <t>Risks assessed</t>
  </si>
  <si>
    <t>BCP rows (RR plan)</t>
  </si>
  <si>
    <t>BIAs completed</t>
  </si>
  <si>
    <t>Critical / Significant risks</t>
  </si>
  <si>
    <t>Exercises done / overdue</t>
  </si>
  <si>
    <t>Critical P&amp;S (final)</t>
  </si>
  <si>
    <t>Priority 1-2 risks (BCP)</t>
  </si>
  <si>
    <t>DR systems / tested-current</t>
  </si>
  <si>
    <t>P&amp;S-risk associations</t>
  </si>
  <si>
    <t>Solutions defined / overdue</t>
  </si>
  <si>
    <t>Dependencies registered</t>
  </si>
  <si>
    <t>Requirement rows (5b)</t>
  </si>
  <si>
    <t>ISO clauses missing</t>
  </si>
  <si>
    <t>BIA reviews overdue</t>
  </si>
  <si>
    <t>Duplicate S&amp;S mappings</t>
  </si>
  <si>
    <t>PDCA snapshot</t>
  </si>
  <si>
    <t>Up to 6 Hours</t>
  </si>
  <si>
    <t>Up to 18 Hours</t>
  </si>
  <si>
    <t>Up to 36 Hours</t>
  </si>
  <si>
    <t>Up to 3 Days</t>
  </si>
  <si>
    <t>Up to 1 Week</t>
  </si>
  <si>
    <t>Up to 2 Weeks</t>
  </si>
  <si>
    <t>Up to 3 Weeks</t>
  </si>
  <si>
    <t>Up to 4 Weeks</t>
  </si>
  <si>
    <t>ISO 22301: 8.2.3 Risk criteria (per ERM framework) - ILLUSTRATIVE: replace with your organisation's approved ERM criteria</t>
  </si>
  <si>
    <t>Guidance on Risk Assessment</t>
  </si>
  <si>
    <t>Detailed Guideline</t>
  </si>
  <si>
    <t>[Company] has a Low Appetite for financial risks; it may take some financial risk to achieve its business objectives but will not accept risks that significantly impact its financial sustainability.</t>
  </si>
  <si>
    <t>[Company] aims to deliver its products and services reliably to its customers. It has a Low Appetite for any threat that impacts operations and business continuity.</t>
  </si>
  <si>
    <t>[Company] has Zero Appetite for product / service quality risks that may affect customer or public safety.</t>
  </si>
  <si>
    <t>Health, Safety &amp; Environment (HSE)</t>
  </si>
  <si>
    <t>[Company] is committed to preventing injuries, promoting safe operations and protecting the environment. Therefore it has Zero Appetite for Health, Safety &amp; Environment (HSE) incidents.</t>
  </si>
  <si>
    <t>[Company] has a Low Appetite for regulatory and compliance breaches that may expose it to legal or regulatory action.</t>
  </si>
  <si>
    <t>[Company] has Zero Appetite for reputation loss that may impact its market position and brand image.</t>
  </si>
  <si>
    <t>[Company] aims to have reliable and secure IT systems supporting operations and critical decision-making. It has a Low Appetite for IT incidents and downtime.</t>
  </si>
  <si>
    <t>Manual</t>
  </si>
  <si>
    <t xml:space="preserve">Control is performed manually, without making use of automated systems. </t>
  </si>
  <si>
    <t>Automated</t>
  </si>
  <si>
    <t>Control is performed by an automated system, without or limited interference.</t>
  </si>
  <si>
    <t>Preventive Controls</t>
  </si>
  <si>
    <t xml:space="preserve">Controls are proactively defined and enforced in advance before any error or risk materializes. </t>
  </si>
  <si>
    <t>Detective Controls</t>
  </si>
  <si>
    <t>Controls are designed to find errors or problems after a transaction has occurred.</t>
  </si>
  <si>
    <t>Inherent Risk</t>
  </si>
  <si>
    <t>Risk intrinsic to a business activity and arises from exposure to, and uncertainty from, possible future events, or changes in activities or economic conditions.</t>
  </si>
  <si>
    <t>Residual Risk</t>
  </si>
  <si>
    <t>Residual risk is the amount of risk associated with an action or event remaining after inherent risks have been reduced by implementing controls.</t>
  </si>
  <si>
    <t>Note:
In risk assessment, the organisation's management:
 • Considers both inherent and residual risk;
 • Applies risk assessment first to inherent risks; and
 • Considers residual risk after risk treatment/mitigation has been implemented for inherent risks.</t>
  </si>
  <si>
    <t>Likelihood</t>
  </si>
  <si>
    <t>Probability of occurrence of the potential risk that may lead to the assessed consequence(s).</t>
  </si>
  <si>
    <t>Impact</t>
  </si>
  <si>
    <t>The level of consequence that the potential risk can have on the achievement of business / functional objectives.</t>
  </si>
  <si>
    <t>Rating</t>
  </si>
  <si>
    <t>Score</t>
  </si>
  <si>
    <t>Rating Description</t>
  </si>
  <si>
    <t>Frequency</t>
  </si>
  <si>
    <t>Certainty</t>
  </si>
  <si>
    <t>Almost Certain</t>
  </si>
  <si>
    <t>Likely to occur many times (has occurred frequently)</t>
  </si>
  <si>
    <t>Expected to occur more than once per week</t>
  </si>
  <si>
    <t xml:space="preserve"> &lt; 90%</t>
  </si>
  <si>
    <t>Frequent</t>
  </si>
  <si>
    <t>Likely to occur sometimes (has occurred infrequently)</t>
  </si>
  <si>
    <t>Expected to occur about once every month</t>
  </si>
  <si>
    <t>&gt; 60% and ≤ 90%</t>
  </si>
  <si>
    <t>Occasional</t>
  </si>
  <si>
    <t>Unlikely to occur, but possible (has occurred rarely)</t>
  </si>
  <si>
    <t xml:space="preserve">Expected to occur about once every year </t>
  </si>
  <si>
    <t>&gt;30% and  ≤ 60%</t>
  </si>
  <si>
    <t>Infrequent</t>
  </si>
  <si>
    <t>Very unlikely to occur (not known to have occurred)</t>
  </si>
  <si>
    <t>Expected to occur between 1- 3 years</t>
  </si>
  <si>
    <t>&gt;10% and  ≤ 30%</t>
  </si>
  <si>
    <t>Rare</t>
  </si>
  <si>
    <t>Almost inconceivable that the event will occur</t>
  </si>
  <si>
    <t xml:space="preserve">Expected to occur after a period greater than 3 years </t>
  </si>
  <si>
    <t>≤ 10%</t>
  </si>
  <si>
    <t>Note: Likelihood depicts probability of risk occurrence in the organisation.</t>
  </si>
  <si>
    <t>Catastrophic</t>
  </si>
  <si>
    <t>Risk event that would affect the business continuity of the organisation and is fundamental to achieving goals and objectives, or will have critical impact on achieving desired outcomes, to the extent that one or more critical objectives will not be achieved.</t>
  </si>
  <si>
    <t>Critical</t>
  </si>
  <si>
    <t>Risk event which can have prolonged negative consequences with significant impact on achieving desired outcomes, to the extent that one or more stated objectives will fall below target but above acceptable levels.</t>
  </si>
  <si>
    <t>Risk event which can be mitigated through management action with moderate impact on achieving desired outcomes, to the extent that one or more stated objectives will fall just below target but well above acceptable levels.</t>
  </si>
  <si>
    <t>Minor</t>
  </si>
  <si>
    <t>Risk event which can be substantially mitigated through management action with low impact on achieving the organisation's desired outcomes and objectives.</t>
  </si>
  <si>
    <t>Negligible</t>
  </si>
  <si>
    <t>Risk event which has insignificant or no impact on achieving the organisation's desired outcomes and objectives.</t>
  </si>
  <si>
    <t xml:space="preserve">*Refer section below for Detailed Risk Impact Assessment Criteria  </t>
  </si>
  <si>
    <t xml:space="preserve">Risk rating is a function of likelihood and impact arrived for a range of risk reference to ensure risks are consistently accessed and communicated across the Company. </t>
  </si>
  <si>
    <t>Risk Heat Map</t>
  </si>
  <si>
    <t>Risk Rating</t>
  </si>
  <si>
    <t>Risk Reference</t>
  </si>
  <si>
    <t>20 – 25</t>
  </si>
  <si>
    <t>Significant</t>
  </si>
  <si>
    <t>12 – 19</t>
  </si>
  <si>
    <t>Moderate</t>
  </si>
  <si>
    <t>7 – 11</t>
  </si>
  <si>
    <t>1 – 6</t>
  </si>
  <si>
    <t>Impact Score</t>
  </si>
  <si>
    <t>Impact Rating</t>
  </si>
  <si>
    <t xml:space="preserve">Operational </t>
  </si>
  <si>
    <t xml:space="preserve">Health, Safety &amp; Environment </t>
  </si>
  <si>
    <t>Risk Appetite</t>
  </si>
  <si>
    <t>- Decrease in revenue by more than [5]% or more than [Currency] [X] million, whichever is lower
- Increase in cost of sales by more than [10]% or more than [Currency] [X] million, whichever is lower</t>
  </si>
  <si>
    <t>- Delay of product / service delivery to all customers &gt; 20 days
- Disruption in operations beyond the MTPD of a critical business unit (set per division, e.g. &gt; 72 hours)</t>
  </si>
  <si>
    <t>- Safety hazard present in multiple products / services
- Mislabelling or misinformation affecting multiple products
- Large-scale, long-term irrevocable impact on customer or public safety</t>
  </si>
  <si>
    <t>- Multiple fatality or permanent serious injury / disability
- Local or international irreversible / long term impact on environment
- Fire incidents resulting in business interruption for more than 12 hours
- Lost time injury (LTI) of more than 30 days</t>
  </si>
  <si>
    <t>- Suspension of trading of shares on the stock exchange (if listed)
- Multiple non-compliances with regulations affecting large-scale operations
- Major regulatory sanctions from national or international bodies</t>
  </si>
  <si>
    <t xml:space="preserve">- Repeated and sustained negative coverage in the national/ international media by more than 10 days 
- Significant and irreparable damage to reputation having significant impact on shareholders 
- Loss of confidence in professional integrity from large number of entities and the Board of Directors
- Trending negative social media coverage </t>
  </si>
  <si>
    <t>- Internal non-compliance with data security protocols results in virus/trojan contamination that incapacitates all IT systems and/or loss of large volumes of data to external party
- External cyber-attack results in paralysis of IT functionality and/or loss of large volumes of data to external party
- Application/System down time remaining unsolved for more than 6 hours (To be aligned with business continuity RTO)</t>
  </si>
  <si>
    <t>- Decrease in revenue by more than [4]% or [Currency] [X] million, whichever is lower
- Increase in cost of sales by more than [8]% or [Currency] [X] million, whichever is lower</t>
  </si>
  <si>
    <t>- Delay of product / service delivery to all customers between 15 - 20 days
- Disruption in operations between 50% and 100% of a critical business unit's MTPD</t>
  </si>
  <si>
    <t>- Safety hazard present in any product / service
- Mislabelling or misinformation affecting any product
- Small-scale, long-term irrevocable impact on customer or public safety</t>
  </si>
  <si>
    <t>- Single fatality or permanent serious injury/ disability
- Local medium-term impact on environment 
- Fire incidents resulting in business interruption between 6 to 12 hours
- Lost time injury (LTI) of more than 20 days</t>
  </si>
  <si>
    <t>- Single non-compliance to regulations from external bodies affecting large scale operations 
- Non-compliance resulting in minor regulatory sanctions from International regulatory bodies 
- Non–compliance of legal/ regulatory and any other statutory requirements resulting in financial implications or partial loss of operating licenses or temporary suspension of business
- Litigations raised leading to compensation and payouts by more than [Currency] 10 Million</t>
  </si>
  <si>
    <t>- National media reports / significant negative coverage in national media for more than 5 days
- High negative and significant impact on the organisation's reputation
- Could affect the organisation's ability to influence relevant stakeholders</t>
  </si>
  <si>
    <t>- Internal non-compliance with data security protocols results in virus/trojan contamination and/or loss of data to external party
- External cyber-attack results in loss of IT functionality for a significant period and loss of data to external party
- Application/System down time remaining unsolved between 4 hours - 6 hours</t>
  </si>
  <si>
    <t>- Decrease in revenue by more than [2.5]% or [Currency] [X] million, whichever is lower
- Increase in cost of sales by more than [6]% or [Currency] [X] million, whichever is lower</t>
  </si>
  <si>
    <t>- Delay of product / service delivery to all customers between 10 - 15 days
- Disruption in operations between 25% and 50% of a critical business unit's MTPD</t>
  </si>
  <si>
    <t>- Product / service delivered outside specification
- Product / service available to customers past its validity
- Short-term, recoverable impact on customer safety; no long-term effects</t>
  </si>
  <si>
    <t>- Multiple serious injuries requiring hospitalization 
- Fire incidents resulting in business interruption between 1 to 6 hours
- Local environment impact easily reversible and containable with management intervention.
- Lost time injury (LTI) of more than 10 days</t>
  </si>
  <si>
    <t>- Single/Multiple non-compliances to regulations from external bodies affecting small segment of operations 
Minor prosecution, moderate fines and legal notices from external bodies
Non-compliance with internal policies that have a major impact on business
Litigations raised leading to compensation and payouts by more than [Currency] 1 Million</t>
  </si>
  <si>
    <t>- Sustained local media reports / negative national media coverage for more than 2 days
- Considerable localised negative impact on the organisation's reputation
- Significant social media exposure</t>
  </si>
  <si>
    <t>- Internal non-compliance with data security protocols results in virus/trojan contamination and/or loss of data (internal only)
- External cyber-attack results in loss of IT functionality for an extended period but no loss of data
- Any instance of unauthorized access
- Application/System down time remaining unsolved between 2 hours - 4 hours</t>
  </si>
  <si>
    <t>- Decrease in revenue by more than [1]% or [Currency] [X] million, whichever is lower
- Increase in cost of sales by more than [3]% or [Currency] [X] million, whichever is lower</t>
  </si>
  <si>
    <t>- Delay of product / service delivery to all customers between 1 - 10 days
- Disruption in operations between 10% and 25% of a critical business unit's MTPD</t>
  </si>
  <si>
    <t>- Deficient packaging or presentation affecting product / service quality</t>
  </si>
  <si>
    <t>- Single serious injury requiring hospitalization 
- Fire incidents resulting in business interruption less than 1 hour
- Local environment impact easily reversible and containable without management intervention
- Lost time injury (LTI) of up to 10 days</t>
  </si>
  <si>
    <t>- Instances of non-compliance with regulations or internal policies
- Non-compliance with internal policies or contracts with insignificant impact on business
- Litigation leading to compensation and payouts up to [Currency] [X]</t>
  </si>
  <si>
    <t>- Minor reports in local media which may have a localised, low-level negative impact on the organisation's reputation
- Limited social media exposure</t>
  </si>
  <si>
    <t xml:space="preserve">- Internal non-compliance with data security protocols results in virus/trojan contamination but does not result in loss of data
- External cyber-attack results in loss of IT functionality for a short period but no loss of data
- Application/System down time remaining unsolved between 1 hours - 2 hours </t>
  </si>
  <si>
    <t>- Decrease in revenue by less than [1]% or up to [Currency] [X] million, whichever is lower
- Increase in cost of sales by less than [3]% or up to [Currency] [X] million, whichever is lower</t>
  </si>
  <si>
    <t>- Delay of product / service delivery to all customers &lt; 1 day
- Disruption in operations below 10% of a critical business unit's MTPD</t>
  </si>
  <si>
    <t>- Product / service nearing end of validity still available to customers</t>
  </si>
  <si>
    <t xml:space="preserve">- Injuries requiring first aid without hospitalization
- No reported fire incidents
- Zero or minimal environment impact 
- No reported lost time injury (LTI) </t>
  </si>
  <si>
    <t>- Non-compliance to guidance notes or recommended practices of regulations or internal policies
- Non-compliance with internal policies or contracts without any impact on business</t>
  </si>
  <si>
    <t>- No media coverage
- No negative impact on the organisation's reputation
- No measurable social media exposure</t>
  </si>
  <si>
    <t>- Internal non-compliance with data security protocols but does not result in loss of data
- External cyber attack is successfully defended
- Application/System down time remaining unsolved for less than 1 hour</t>
  </si>
  <si>
    <t>Terminate</t>
  </si>
  <si>
    <t>Eliminate risk by deciding not to start or continue business activity.</t>
  </si>
  <si>
    <t>Tolerate</t>
  </si>
  <si>
    <t>Maintain the risk at current level as it is acceptable without further actions.</t>
  </si>
  <si>
    <t>Treat</t>
  </si>
  <si>
    <t>Implement mitigation measures to lower the risk to an acceptable level.</t>
  </si>
  <si>
    <t>Transfer</t>
  </si>
  <si>
    <t>Transfer of risk to a counterparty through contractual arrangement.</t>
  </si>
  <si>
    <t xml:space="preserve">BCMS Progress - Plan / Do / Check / Act </t>
  </si>
  <si>
    <t>ISO 22301: 4.4 BCMS; 10.2 Continual improvement</t>
  </si>
  <si>
    <t>Phase</t>
  </si>
  <si>
    <t>Step</t>
  </si>
  <si>
    <t>BCMS Element</t>
  </si>
  <si>
    <t>Auto Status</t>
  </si>
  <si>
    <t>Manual Override</t>
  </si>
  <si>
    <t>Final</t>
  </si>
  <si>
    <t>What it means / evidence</t>
  </si>
  <si>
    <t>Owner &amp; Next Action</t>
  </si>
  <si>
    <t>PLAN</t>
  </si>
  <si>
    <t>Scope &amp; Context (0a Profile + P&amp;S)</t>
  </si>
  <si>
    <t>0a Profile signed + P&amp;S register populated</t>
  </si>
  <si>
    <t>Leadership &amp; Policy (BCM Policy approved)</t>
  </si>
  <si>
    <t>BCM Policy signed by CEO - manual</t>
  </si>
  <si>
    <t>Corporate BIA (CEO-level criticality)</t>
  </si>
  <si>
    <t>Corporate critical P&amp;S identified</t>
  </si>
  <si>
    <t>DO</t>
  </si>
  <si>
    <t>Business Impact Analysis (+ review currency)</t>
  </si>
  <si>
    <t>All in-scope P&amp;S assessed AND no expired BIA</t>
  </si>
  <si>
    <t>Dependency Register</t>
  </si>
  <si>
    <t>One row per dependency</t>
  </si>
  <si>
    <t>Risk Assessment (all assumptions rated)</t>
  </si>
  <si>
    <t>Every populated assumption rated</t>
  </si>
  <si>
    <t>Strategies &amp; Solutions (every risk covered)</t>
  </si>
  <si>
    <t>1:1 risk-to-solution</t>
  </si>
  <si>
    <t>Requirements captured (5b)</t>
  </si>
  <si>
    <t>At least one requirement row per S&amp;S (guide)</t>
  </si>
  <si>
    <t>BCP Development (every S&amp;S in a BCP)</t>
  </si>
  <si>
    <t>Every S&amp;S carries a BCP #</t>
  </si>
  <si>
    <t>IT DR &amp; Cyber Resilience (ISO 22301 8.3 ICT)</t>
  </si>
  <si>
    <t>All registered systems tested &amp; current</t>
  </si>
  <si>
    <t>CHECK</t>
  </si>
  <si>
    <t>Exercising &amp; Testing</t>
  </si>
  <si>
    <t>Exercise status per RR row</t>
  </si>
  <si>
    <t>Performance Evaluation (KPIs to Board)</t>
  </si>
  <si>
    <t>Board KPI pack issued - manual</t>
  </si>
  <si>
    <t>Internal Audit of BCMS</t>
  </si>
  <si>
    <t>ISO 22301 internal audit - manual</t>
  </si>
  <si>
    <t>ACT</t>
  </si>
  <si>
    <t>Management Review</t>
  </si>
  <si>
    <t>Management review minutes - manual</t>
  </si>
  <si>
    <t>Continual Improvement</t>
  </si>
  <si>
    <t>ISO 22301 - Documents &amp; Records the Toolkit Does Not Generate</t>
  </si>
  <si>
    <t>The certification gap register: external documents (Layer 1) and time-based records (Layer 2) - ISO 22301: 5.2, 6.1-6.2, 7.2-7.4, 8.4.2-8.4.5, 8.5-8.6, 9.1-9.3, 10.1</t>
  </si>
  <si>
    <t>Ref</t>
  </si>
  <si>
    <t>ISO Clause</t>
  </si>
  <si>
    <t>Document / Record</t>
  </si>
  <si>
    <t>What it must contain</t>
  </si>
  <si>
    <t>Target Date</t>
  </si>
  <si>
    <t>Location / Link</t>
  </si>
  <si>
    <t>EXT-01</t>
  </si>
  <si>
    <t>Business Continuity Policy</t>
  </si>
  <si>
    <t>Purpose, commitment, framework for objectives; CEO-signed; communicated org-wide</t>
  </si>
  <si>
    <t>Once + annual review</t>
  </si>
  <si>
    <t>EXT-02</t>
  </si>
  <si>
    <t>BC Objectives &amp; plans to achieve them</t>
  </si>
  <si>
    <t>Measurable objectives; who, what, when, resources, evaluation method</t>
  </si>
  <si>
    <t>Annual</t>
  </si>
  <si>
    <t>EXT-03</t>
  </si>
  <si>
    <t>BCMS-level risk &amp; opportunity register</t>
  </si>
  <si>
    <t>Risks to the management system itself (resourcing, sponsorship, coordinator turnover)</t>
  </si>
  <si>
    <t>EXT-04</t>
  </si>
  <si>
    <t>BCMS change control record</t>
  </si>
  <si>
    <t>Planned changes to the BCMS and how integrity is kept</t>
  </si>
  <si>
    <t>Per change</t>
  </si>
  <si>
    <t>EXT-05</t>
  </si>
  <si>
    <t>Competence &amp; training records</t>
  </si>
  <si>
    <t>Training matrix, facilitator qualifications, gap closure evidence</t>
  </si>
  <si>
    <t>Missing</t>
  </si>
  <si>
    <t>Continuous</t>
  </si>
  <si>
    <t>EXT-06</t>
  </si>
  <si>
    <t>Awareness programme evidence</t>
  </si>
  <si>
    <t>Comms, sessions, attendance - policy &amp; role awareness</t>
  </si>
  <si>
    <t>EXT-07</t>
  </si>
  <si>
    <t>BCMS Communication Plan</t>
  </si>
  <si>
    <t>What, when, whom, who, how - internal &amp; external, BAU &amp; disruption</t>
  </si>
  <si>
    <t>Once + review</t>
  </si>
  <si>
    <t>EXT-08</t>
  </si>
  <si>
    <t>BIA &amp; RA methodology note</t>
  </si>
  <si>
    <t>EXT-09</t>
  </si>
  <si>
    <t>Response structure ToR (CCMT / SCC)</t>
  </si>
  <si>
    <t>Teams, activation authority, thresholds, role competence, alternates</t>
  </si>
  <si>
    <t>EXT-10</t>
  </si>
  <si>
    <t>Warning &amp; Communication procedure</t>
  </si>
  <si>
    <t>Notification tree, escalation, media/regulator comms, national warning interface</t>
  </si>
  <si>
    <t>EXT-11</t>
  </si>
  <si>
    <t>BCP activation &amp; stand-down criteria</t>
  </si>
  <si>
    <t>EXT-12</t>
  </si>
  <si>
    <t>Return-to-normal procedure</t>
  </si>
  <si>
    <t>EXT-13</t>
  </si>
  <si>
    <t>Exercise reports (executed)</t>
  </si>
  <si>
    <t>Scenario, participants, results vs objectives, corrective actions</t>
  </si>
  <si>
    <t>Per exercise</t>
  </si>
  <si>
    <t>EXT-14</t>
  </si>
  <si>
    <t>Post-incident / post-exercise evaluation</t>
  </si>
  <si>
    <t>Did documentation &amp; capability actually work; changes required</t>
  </si>
  <si>
    <t>Per event</t>
  </si>
  <si>
    <t>EXT-15</t>
  </si>
  <si>
    <t>Monitoring &amp; measurement records</t>
  </si>
  <si>
    <t>Retained KPI results over consecutive periods</t>
  </si>
  <si>
    <t>Quarterly</t>
  </si>
  <si>
    <t>EXT-16</t>
  </si>
  <si>
    <t>Internal audit programme + reports</t>
  </si>
  <si>
    <t>Risk-based schedule, auditor independence, criteria, findings</t>
  </si>
  <si>
    <t>EXT-17</t>
  </si>
  <si>
    <t>Management review minutes</t>
  </si>
  <si>
    <t>Prescribed inputs/outputs per clause 9.3.2-9.3.3; decisions &amp; resources</t>
  </si>
  <si>
    <t>Annual + per cycle</t>
  </si>
  <si>
    <t>EXT-18</t>
  </si>
  <si>
    <t>Nonconformity &amp; corrective action log (CAPA)</t>
  </si>
  <si>
    <t>Finding, root cause, action, closure evidence</t>
  </si>
  <si>
    <t>EXT-19</t>
  </si>
  <si>
    <t>4.2.2</t>
  </si>
  <si>
    <t>Legal &amp; regulatory compliance evaluation</t>
  </si>
  <si>
    <t>EXT-20</t>
  </si>
  <si>
    <t>Outsourced BCMS process control</t>
  </si>
  <si>
    <t>How the external ISO provider's work is specified, supervised and accepted</t>
  </si>
  <si>
    <t>One row per critical system - compare Required vs DR-capable RTO/RPO - test evidence drives the PDCA DR step  |  ISO 22301: 8.3.2 ICT readiness (ref. ISO/IEC 27031)</t>
  </si>
  <si>
    <t>DR ID</t>
  </si>
  <si>
    <t>DR RTO (capable)</t>
  </si>
  <si>
    <t>DR RPO (capable)</t>
  </si>
  <si>
    <t>DR Strategy</t>
  </si>
  <si>
    <t>DR Site / Location</t>
  </si>
  <si>
    <t>Last DR Test</t>
  </si>
  <si>
    <t>Result</t>
  </si>
  <si>
    <t>Next Test Due</t>
  </si>
  <si>
    <t>Gaps / Remarks</t>
  </si>
  <si>
    <t>RTO Compliance</t>
  </si>
  <si>
    <t>RPO Compliance</t>
  </si>
  <si>
    <t>Active-Passive (Hot)</t>
  </si>
  <si>
    <t>Pass</t>
  </si>
  <si>
    <t>Active-Active</t>
  </si>
  <si>
    <t>Cloud DR</t>
  </si>
  <si>
    <t>Backup &amp; Restore</t>
  </si>
  <si>
    <t>Warm Standby</t>
  </si>
  <si>
    <t>None (gap)</t>
  </si>
  <si>
    <t>ENGINE - all dropdown lists, maps and helper formulas. Hide &amp; protect; do not edit.</t>
  </si>
  <si>
    <t>YN</t>
  </si>
  <si>
    <t>YPN</t>
  </si>
  <si>
    <t>DepCat</t>
  </si>
  <si>
    <t>CorpCrit</t>
  </si>
  <si>
    <t>ChainCrit</t>
  </si>
  <si>
    <t>TestResult</t>
  </si>
  <si>
    <t>DRStrategy</t>
  </si>
  <si>
    <t>ReqCat</t>
  </si>
  <si>
    <t>ISOStatus</t>
  </si>
  <si>
    <t>MTPD hrs</t>
  </si>
  <si>
    <t>Label</t>
  </si>
  <si>
    <t>Category</t>
  </si>
  <si>
    <t>Dependency category</t>
  </si>
  <si>
    <t>In Progress</t>
  </si>
  <si>
    <t>Under Evaluation</t>
  </si>
  <si>
    <t>Supporting - can be deferred</t>
  </si>
  <si>
    <t>Overdue</t>
  </si>
  <si>
    <t>Fail</t>
  </si>
  <si>
    <t>Can be ignored (out of chain)</t>
  </si>
  <si>
    <t>External Document</t>
  </si>
  <si>
    <t>N/A</t>
  </si>
  <si>
    <t>&gt; 1 Month</t>
  </si>
  <si>
    <t>Do Nothing / Accept (justify)</t>
  </si>
  <si>
    <t xml:space="preserve">Rating </t>
  </si>
  <si>
    <t>IT dependencies</t>
  </si>
  <si>
    <t>Sub dependencies</t>
  </si>
  <si>
    <t>Dependency area</t>
  </si>
  <si>
    <t>RPO
(fill if Data/ICT = Yes) in hours</t>
  </si>
  <si>
    <t>MTPD (auto) hours</t>
  </si>
  <si>
    <t>Corporate MTPD (if provided)</t>
  </si>
  <si>
    <t>RTO (auto) in hours</t>
  </si>
  <si>
    <t>BlA level MTPD in hours</t>
  </si>
  <si>
    <t>BIA Level RTO in hours</t>
  </si>
  <si>
    <t>BU</t>
  </si>
  <si>
    <t>Dependent System / Application</t>
  </si>
  <si>
    <t>Up to
1 month</t>
  </si>
  <si>
    <t>MBCO - BU</t>
  </si>
  <si>
    <t>Applicable BIA #s</t>
  </si>
  <si>
    <t>Associated R &amp; R #</t>
  </si>
  <si>
    <t>Associated P &amp; S Name</t>
  </si>
  <si>
    <t>Business P&amp;S supported</t>
  </si>
  <si>
    <t>Pass with finding</t>
  </si>
  <si>
    <t>Active-Active, Active-Passive (Hot), Warm Standby, Backup &amp; Restore, Cloud DR, None (gap)</t>
  </si>
  <si>
    <t>BusinessUnits</t>
  </si>
  <si>
    <t>DivisionSite</t>
  </si>
  <si>
    <t>Step 3c.  Application equip list</t>
  </si>
  <si>
    <t>Mass staff absence</t>
  </si>
  <si>
    <t>Cyberattack</t>
  </si>
  <si>
    <t>Critical data loss</t>
  </si>
  <si>
    <t>Critical supplier failure</t>
  </si>
  <si>
    <t>Critical site loss</t>
  </si>
  <si>
    <t>Critical material shortage</t>
  </si>
  <si>
    <t>Key person loss</t>
  </si>
  <si>
    <t>Core application outage</t>
  </si>
  <si>
    <t>Traceability records unavailable</t>
  </si>
  <si>
    <t>Import route disruption</t>
  </si>
  <si>
    <t>Production line failure</t>
  </si>
  <si>
    <t>Raw material or input shortage</t>
  </si>
  <si>
    <t>Warehouse or depot loss</t>
  </si>
  <si>
    <t>Skilled operator shortage</t>
  </si>
  <si>
    <t>Data centre or cloud outage</t>
  </si>
  <si>
    <t>Quality / compliance records unavailable</t>
  </si>
  <si>
    <t>Logistics provider failure</t>
  </si>
  <si>
    <t>Process utility outage</t>
  </si>
  <si>
    <t>Packaging shortage</t>
  </si>
  <si>
    <t>Fleet, fuel, or route disruption</t>
  </si>
  <si>
    <t>Staff unable to access site</t>
  </si>
  <si>
    <t>Network or communications outage</t>
  </si>
  <si>
    <t>Inventory or master-data failure</t>
  </si>
  <si>
    <t>External utility outage</t>
  </si>
  <si>
    <t>Critical process equipment failure</t>
  </si>
  <si>
    <t>Incoming material rejection</t>
  </si>
  <si>
    <t>Finished-goods storage or transport failure</t>
  </si>
  <si>
    <t>Workforce evacuation</t>
  </si>
  <si>
    <t>Backup or recovery failure</t>
  </si>
  <si>
    <t>Regulatory records unavailable</t>
  </si>
  <si>
    <t>Outsourced service failure</t>
  </si>
  <si>
    <t>Maintenance or spare-parts shortage</t>
  </si>
  <si>
    <t>Material stock-out</t>
  </si>
  <si>
    <t>Customer channel or demand disruption</t>
  </si>
  <si>
    <t>S&amp;S ID</t>
  </si>
  <si>
    <t>Dependency</t>
  </si>
  <si>
    <t>Disruption Scenario</t>
  </si>
  <si>
    <t>Products / Services</t>
  </si>
  <si>
    <t>Duplicate Check</t>
  </si>
  <si>
    <t>One row per continuity requirement | ISO 22301: 8.3 Business continuity strategies and solutions</t>
  </si>
  <si>
    <t>Supporting Documents</t>
  </si>
  <si>
    <t>Readiness (auto)</t>
  </si>
  <si>
    <t>Test Scenario</t>
  </si>
  <si>
    <t>R&amp;R ID</t>
  </si>
  <si>
    <t>Response &amp; Recovery Actions</t>
  </si>
  <si>
    <t>Supporting Plans / Procedures</t>
  </si>
  <si>
    <t>Planned Exercise Date</t>
  </si>
  <si>
    <t>Actual Exercise Date</t>
  </si>
  <si>
    <t>Exercise Result</t>
  </si>
  <si>
    <t>Next Exercise Due</t>
  </si>
  <si>
    <t>Exercise Status</t>
  </si>
  <si>
    <t>S&amp;S Status - Worst Linked (auto)</t>
  </si>
  <si>
    <t>Earliest Outstanding Due Date (auto)</t>
  </si>
  <si>
    <t>Exercise Status - Worst Linked R&amp;R (auto)</t>
  </si>
  <si>
    <t>Treatment Health (auto)</t>
  </si>
  <si>
    <t>Review / Escalation (auto)</t>
  </si>
  <si>
    <t>Remarks (auto)</t>
  </si>
  <si>
    <t>Corporate MTPD (hours)</t>
  </si>
  <si>
    <t>BU BIA MTPD</t>
  </si>
  <si>
    <t>Remark</t>
  </si>
  <si>
    <t>Column1</t>
  </si>
  <si>
    <t>Strategy Details / Do nothing Justification</t>
  </si>
  <si>
    <t>Corrective Action &amp; Continual Improvement Register</t>
  </si>
  <si>
    <t>ISO 22301 clause 10.1 | Findings, root cause, corrective action, verification and effectiveness</t>
  </si>
  <si>
    <t>Open findings from risks, exercises, IT DR, audits and documented-information gaps are tracked here through verified closure. Red and overdue items require action; closure requires evidence and an effectiveness decision.</t>
  </si>
  <si>
    <t>CAPA ID</t>
  </si>
  <si>
    <t>Source Type</t>
  </si>
  <si>
    <t>Source Ref</t>
  </si>
  <si>
    <t>Finding Date</t>
  </si>
  <si>
    <t>Finding</t>
  </si>
  <si>
    <t>Severity</t>
  </si>
  <si>
    <t>Immediate Correction</t>
  </si>
  <si>
    <t>Root Cause</t>
  </si>
  <si>
    <t>Corrective Action</t>
  </si>
  <si>
    <t>Evidence Ref</t>
  </si>
  <si>
    <t>Verification Owner</t>
  </si>
  <si>
    <t>Verification Date</t>
  </si>
  <si>
    <t>Effectiveness</t>
  </si>
  <si>
    <t>Closure Date</t>
  </si>
  <si>
    <t>Days Open</t>
  </si>
  <si>
    <t>Corrective Action &amp; Improvement</t>
  </si>
  <si>
    <t>Open CAPAs</t>
  </si>
  <si>
    <t>Overdue CAPAs</t>
  </si>
  <si>
    <t>Effectiveness pending</t>
  </si>
  <si>
    <t>Critical / High open</t>
  </si>
  <si>
    <t>CAPA register: verified closure and effectiveness</t>
  </si>
  <si>
    <t>Close findings with evidence and effectiveness review</t>
  </si>
  <si>
    <t>Documented BIA/RA method, impact horizons, criteria and review cadence used in `01. Instructions`, `09. Risk Assumption Map` and `10. Risk Assessment`</t>
  </si>
  <si>
    <t>Defined activation, invocation, escalation and stand-down criteria for each recovery plan in `14. Recovery &amp; Response`</t>
  </si>
  <si>
    <t>Defined restoration, exit and return-to-normal criteria for each recovery plan in `14. Recovery &amp; Response`</t>
  </si>
  <si>
    <t>Periodic evaluation of the legal and regulatory register in `03. Business Unit Profile` — not only confirmation that the register exists</t>
  </si>
  <si>
    <t>03. Business Unit Profile — Section 6; in-scope products/services in 04. Products &amp; Services</t>
  </si>
  <si>
    <t>17. BCMS Progress (PDCA) supported by the complete implementation toolkit</t>
  </si>
  <si>
    <t>03. Business Unit Profile — governance roles; leadership evidence tracked in 18. ISO Docs &amp; Records</t>
  </si>
  <si>
    <t>18. ISO Docs &amp; Records — EXT-01 Business Continuity Policy</t>
  </si>
  <si>
    <t>03. Business Unit Profile — roles and approvals; owner fields across operational registers; RACI/role evidence in 18. ISO Docs &amp; Records</t>
  </si>
  <si>
    <t>18. ISO Docs &amp; Records — EXT-03 BCMS-level risk and opportunity register</t>
  </si>
  <si>
    <t>02. Dashboard; objectives and achievement plans tracked in 18. ISO Docs &amp; Records — EXT-02</t>
  </si>
  <si>
    <t>00. Document Control; change-control evidence tracked in 18. ISO Docs &amp; Records — EXT-04</t>
  </si>
  <si>
    <t>12. Requirements Register and resource fields in 11. Strategies &amp; Solutions</t>
  </si>
  <si>
    <t>18. ISO Docs &amp; Records — EXT-05 competence and training records</t>
  </si>
  <si>
    <t>18. ISO Docs &amp; Records — EXT-06 awareness programme evidence</t>
  </si>
  <si>
    <t>18. ISO Docs &amp; Records — EXT-07 communication plan and EXT-10 warning/communication procedure</t>
  </si>
  <si>
    <t>00. Document Control, 01. Instructions, and controlled external records tracked in 18. ISO Docs &amp; Records</t>
  </si>
  <si>
    <t>01. Instructions, 09. Risk Assumption Map, 10. Risk Assessment; methodology evidence tracked in 18. ISO Docs &amp; Records — EXT-08</t>
  </si>
  <si>
    <t>14. Recovery &amp; Response; response-structure evidence tracked in 18. ISO Docs &amp; Records — EXT-09</t>
  </si>
  <si>
    <t>14. Recovery &amp; Response; response structure/competence evidence tracked in 18. ISO Docs &amp; Records — EXT-09</t>
  </si>
  <si>
    <t>18. ISO Docs &amp; Records — EXT-10 warning and communication procedure</t>
  </si>
  <si>
    <t>14. Recovery &amp; Response; activation/stand-down evidence tracked in 18. ISO Docs &amp; Records — EXT-11</t>
  </si>
  <si>
    <t>14. Recovery &amp; Response; return-to-normal evidence tracked in 18. ISO Docs &amp; Records — EXT-12</t>
  </si>
  <si>
    <t>14. Recovery &amp; Response; executed exercise reports tracked in 18. ISO Docs &amp; Records — EXT-13</t>
  </si>
  <si>
    <t>17. BCMS Progress (PDCA) and 02. Dashboard; evaluation records tracked in 18. ISO Docs &amp; Records — EXT-14</t>
  </si>
  <si>
    <t>02. Dashboard, 17. BCMS Progress (PDCA), and retained monitoring evidence in 18. ISO Docs &amp; Records — EXT-15</t>
  </si>
  <si>
    <t>18. ISO Docs &amp; Records — EXT-16 internal audit programme and reports</t>
  </si>
  <si>
    <t>18. ISO Docs &amp; Records — EXT-17 management review minutes</t>
  </si>
  <si>
    <t>16. CAPA Register; supporting CAPA evidence tracked in 18. ISO Docs &amp; Records — EXT-18</t>
  </si>
  <si>
    <t>17. BCMS Progress (PDCA), 16. CAPA Register, and 00. Document Control version history</t>
  </si>
  <si>
    <t>03. Business Unit Profile</t>
  </si>
  <si>
    <t>17. BCMS Progress (PDCA)</t>
  </si>
  <si>
    <t>18. ISO Docs &amp; Records — EXT-01</t>
  </si>
  <si>
    <t>18. ISO Docs &amp; Records — EXT-03</t>
  </si>
  <si>
    <t>12. Requirements Register</t>
  </si>
  <si>
    <t>18. ISO Docs &amp; Records — EXT-05</t>
  </si>
  <si>
    <t>18. ISO Docs &amp; Records — EXT-06</t>
  </si>
  <si>
    <t>18. ISO Docs &amp; Records — EXT-07 &amp; EXT-10</t>
  </si>
  <si>
    <t>00. Document Control</t>
  </si>
  <si>
    <t>07. BIA</t>
  </si>
  <si>
    <t>10. Risk Assessment</t>
  </si>
  <si>
    <t>11. Strategies &amp; Solutions</t>
  </si>
  <si>
    <t>14. Recovery &amp; Response</t>
  </si>
  <si>
    <t>18. ISO Docs &amp; Records — EXT-09</t>
  </si>
  <si>
    <t>18. ISO Docs &amp; Records — EXT-10</t>
  </si>
  <si>
    <t>18. ISO Docs &amp; Records — EXT-16</t>
  </si>
  <si>
    <t>18. ISO Docs &amp; Records — EXT-17</t>
  </si>
  <si>
    <t>BCP activation and stand-down criteria (EXT-11)</t>
  </si>
  <si>
    <t>Return-to-normal procedure (EXT-12)</t>
  </si>
  <si>
    <t>Executed exercise reports (EXT-13)</t>
  </si>
  <si>
    <t>Post-event evaluation records (EXT-14)</t>
  </si>
  <si>
    <t>Monitoring and measurement records (EXT-15)</t>
  </si>
  <si>
    <t>Gap - produce named external document before the external audit</t>
  </si>
  <si>
    <t>Strengthen evidence before evidence verification</t>
  </si>
  <si>
    <t>17. BCMS Progress (PDCA) and operational controls across 04. Products &amp; Services through 16. CAPA Register; outsourced-process control tracked in 18. ISO Docs &amp; Records — EXT-20</t>
  </si>
  <si>
    <t>Operational controls and outsourced BCMS process control (EXT-20)</t>
  </si>
  <si>
    <t>If no BCMS process is outsourced, set EXT-20 to Not Applicable; otherwise file retrievable control evidence.</t>
  </si>
  <si>
    <t>17. BCMS Progress (PDCA) / 18. ISO Docs &amp; Records — EXT-20</t>
  </si>
  <si>
    <t>02. Dashboard / 18. ISO Docs &amp; Records — EXT-02</t>
  </si>
  <si>
    <t>00. Document Control / 18. ISO Docs &amp; Records — EXT-04</t>
  </si>
  <si>
    <t>01. Instructions / 18. ISO Docs &amp; Records — EXT-08</t>
  </si>
  <si>
    <t>14. Recovery &amp; Response / 18. ISO Docs &amp; Records — EXT-11</t>
  </si>
  <si>
    <t>14. Recovery &amp; Response / 18. ISO Docs &amp; Records — EXT-12</t>
  </si>
  <si>
    <t>14. Recovery &amp; Response / 18. ISO Docs &amp; Records — EXT-13</t>
  </si>
  <si>
    <t>17. BCMS Progress (PDCA) / 18. ISO Docs &amp; Records — EXT-14</t>
  </si>
  <si>
    <t>02. Dashboard / 18. ISO Docs &amp; Records — EXT-15</t>
  </si>
  <si>
    <t>16. CAPA Register / 18. ISO Docs &amp; Records — EXT-18</t>
  </si>
  <si>
    <t>CAPA Register</t>
  </si>
  <si>
    <t>Navigate to</t>
  </si>
  <si>
    <t>Document Version</t>
  </si>
  <si>
    <t>Approval Date</t>
  </si>
  <si>
    <t>Review / Next Review Date</t>
  </si>
  <si>
    <t>Approver</t>
  </si>
  <si>
    <t>Controlled Repository Reference</t>
  </si>
  <si>
    <t>Evidence Verification Owner</t>
  </si>
  <si>
    <t>Evidence Verification Date</t>
  </si>
  <si>
    <t>Confidentiality / Access Classification</t>
  </si>
  <si>
    <t>Expiry / Next-Review Alert</t>
  </si>
  <si>
    <t>External evidence not evidenced</t>
  </si>
  <si>
    <t>Risk Owner</t>
  </si>
  <si>
    <t>Evidence Reference</t>
  </si>
  <si>
    <t>Completion Check</t>
  </si>
  <si>
    <t>Objective Completion Criterion</t>
  </si>
  <si>
    <t>Internal Evidence ID(s)</t>
  </si>
  <si>
    <t>External Evidence ID(s)</t>
  </si>
  <si>
    <t>Last Verified Date</t>
  </si>
  <si>
    <t>Assessor</t>
  </si>
  <si>
    <t>Manual-Override Justification</t>
  </si>
  <si>
    <t>Linked Finding / CAPA</t>
  </si>
  <si>
    <t>03. Business Unit Profile; 04. Products &amp; Services</t>
  </si>
  <si>
    <t>03. Business Unit Profile; 11. Strategies &amp; Solutions</t>
  </si>
  <si>
    <t>02. Dashboard</t>
  </si>
  <si>
    <t>11. Strategies &amp; Solutions; 12. Requirements Register</t>
  </si>
  <si>
    <t>17. BCMS Progress (PDCA); 04–16 operational registers</t>
  </si>
  <si>
    <t>01. Instructions; 09. Risk Assumption Map; 10. Risk Assessment</t>
  </si>
  <si>
    <t>07. BIA; 08. Dependency Register</t>
  </si>
  <si>
    <t>09. Risk Assumption Map; 10. Risk Assessment; 20. ERM RA Guidance</t>
  </si>
  <si>
    <t>02. Dashboard; 17. BCMS Progress (PDCA)</t>
  </si>
  <si>
    <t>16. CAPA Register</t>
  </si>
  <si>
    <t>00. Document Control; 16. CAPA Register; 17. BCMS Progress (PDCA)</t>
  </si>
  <si>
    <t>EXT-07; EXT-10</t>
  </si>
  <si>
    <t>Climate prompt</t>
  </si>
  <si>
    <t>Assessment / response</t>
  </si>
  <si>
    <t>Is climate change a relevant external or internal issue for the BCMS? Record the rationale.</t>
  </si>
  <si>
    <t>Which interested parties have climate-related requirements or expectations relevant to continuity?</t>
  </si>
  <si>
    <t>Which products, sites, utilities, logistics routes, suppliers or ICT services have climate-sensitive dependencies?</t>
  </si>
  <si>
    <t>Which acute or chronic climate-related disruption scenarios should be assessed?</t>
  </si>
  <si>
    <t>Which continuity strategies or actions address material climate-related risks and dependencies?</t>
  </si>
  <si>
    <t>Climate Relevance</t>
  </si>
  <si>
    <t>Climate-Related Disruption Scenario</t>
  </si>
  <si>
    <t>Climate-Sensitive Dependency / Interested Party</t>
  </si>
  <si>
    <t>03. Business Unit Profile — explicitly assess climate relevance as an external/internal context issue.</t>
  </si>
  <si>
    <t>Confirm climate relevance, rationale, owner and evidence under context review.</t>
  </si>
  <si>
    <t>Complete when climate relevance is assessed and the rationale is approved, current and retrievable.</t>
  </si>
  <si>
    <t>03. Business Unit Profile — capture climate-related requirements and expectations of interested parties.</t>
  </si>
  <si>
    <t>Identify relevant regulator, customer, insurer, supplier, community and workforce climate expectations.</t>
  </si>
  <si>
    <t>Complete when relevant interested-party climate requirements are recorded, owned and evidenced.</t>
  </si>
  <si>
    <t>07. BIA and 08. Dependency Register — identify climate-sensitive operational dependencies.</t>
  </si>
  <si>
    <t>Assess climate sensitivity of sites, utilities, water, logistics, suppliers, ICT cooling and other applicable dependencies.</t>
  </si>
  <si>
    <t>Complete when material climate-sensitive dependencies are identified and reflected in BIA priorities.</t>
  </si>
  <si>
    <t>10. Risk Assessment — assess relevant acute and chronic climate disruption scenarios.</t>
  </si>
  <si>
    <t>Rate applicable climate-related scenarios using the approved likelihood and impact criteria.</t>
  </si>
  <si>
    <t>Complete when relevant climate disruption scenarios are assessed, owned, dated and evidenced.</t>
  </si>
  <si>
    <t>11. Strategies &amp; Solutions — select continuity strategies for material climate-related risks.</t>
  </si>
  <si>
    <t>Link climate-related risks and dependencies to practical continuity strategies, owners and due dates.</t>
  </si>
  <si>
    <t>Complete when material climate risks have approved, resourced and traceable strategies.</t>
  </si>
  <si>
    <t>Section 11 - Climate Relevance for BCMS Context and Interested Parties</t>
  </si>
  <si>
    <t>Risk Owner (auto)</t>
  </si>
  <si>
    <t>Assessment Date (auto)</t>
  </si>
  <si>
    <t>Review Date (auto)</t>
  </si>
  <si>
    <t>Approver (auto)</t>
  </si>
  <si>
    <t>Evidence Reference (auto)</t>
  </si>
  <si>
    <t>Source Completion (auto)</t>
  </si>
  <si>
    <t>Draft- under review</t>
  </si>
  <si>
    <t>BCM Function</t>
  </si>
  <si>
    <t>Version Control History</t>
  </si>
  <si>
    <t>Version</t>
  </si>
  <si>
    <t>Effective Date</t>
  </si>
  <si>
    <t>Change Description</t>
  </si>
  <si>
    <t>Approved By</t>
  </si>
  <si>
    <t>Current controlled version</t>
  </si>
  <si>
    <t>ss</t>
  </si>
  <si>
    <t>hr</t>
  </si>
  <si>
    <t>cb</t>
  </si>
  <si>
    <t>PS-001</t>
  </si>
  <si>
    <t>7 days</t>
  </si>
  <si>
    <t>BIA-001</t>
  </si>
  <si>
    <t>RA-001</t>
  </si>
  <si>
    <t>SS-030</t>
  </si>
  <si>
    <t>Ready</t>
  </si>
  <si>
    <t>fill this with the MBCO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</si>
</sst>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0.0"/>
  </numFmts>
  <fonts count="64" x14ac:knownFonts="1">
    <font>
      <sz val="11"/>
      <color theme="1"/>
      <name val="Calibri"/>
      <family val="2"/>
      <charset val="1"/>
    </font>
    <font>
      <sz val="10"/>
      <name val="Arial"/>
      <family val="2"/>
      <charset val="1"/>
    </font>
    <font>
      <sz val="12"/>
      <color theme="1"/>
      <name val="Calibri"/>
      <family val="2"/>
      <charset val="1"/>
    </font>
    <font>
      <b/>
      <sz val="9"/>
      <color rgb="FF000000"/>
      <name val="Calibri"/>
      <charset val="1"/>
    </font>
    <font>
      <sz val="9"/>
      <color rgb="FF000000"/>
      <name val="Calibri"/>
      <charset val="1"/>
    </font>
    <font>
      <sz val="8"/>
      <color rgb="FF000000"/>
      <name val="Calibri"/>
      <charset val="1"/>
    </font>
    <font>
      <b/>
      <sz val="8"/>
      <color rgb="FF000000"/>
      <name val="Calibri"/>
      <charset val="1"/>
    </font>
    <font>
      <b/>
      <sz val="8"/>
      <color rgb="FF004687"/>
      <name val="Calibri"/>
      <charset val="1"/>
    </font>
    <font>
      <b/>
      <sz val="8"/>
      <color rgb="FFFFFFFF"/>
      <name val="Calibri"/>
      <charset val="1"/>
    </font>
    <font>
      <b/>
      <sz val="14"/>
      <color rgb="FFFFFFFF"/>
      <name val="Calibri"/>
      <charset val="1"/>
    </font>
    <font>
      <sz val="10"/>
      <color rgb="FFFFFFFF"/>
      <name val="Calibri"/>
      <charset val="1"/>
    </font>
    <font>
      <b/>
      <sz val="12"/>
      <color rgb="FF004687"/>
      <name val="Calibri"/>
      <charset val="1"/>
    </font>
    <font>
      <b/>
      <sz val="10"/>
      <color rgb="FF000000"/>
      <name val="Calibri"/>
      <charset val="1"/>
    </font>
    <font>
      <sz val="10"/>
      <color rgb="FF000000"/>
      <name val="Calibri"/>
      <charset val="1"/>
    </font>
    <font>
      <b/>
      <sz val="11"/>
      <color rgb="FF004687"/>
      <name val="Calibri"/>
      <charset val="1"/>
    </font>
    <font>
      <b/>
      <sz val="10"/>
      <color rgb="FFFFFFFF"/>
      <name val="Calibri"/>
      <charset val="1"/>
    </font>
    <font>
      <b/>
      <sz val="14"/>
      <color rgb="FFFFFFFF"/>
      <name val="Calibri"/>
      <family val="2"/>
      <charset val="1"/>
    </font>
    <font>
      <i/>
      <sz val="10"/>
      <color theme="1"/>
      <name val="Calibri"/>
      <family val="2"/>
      <charset val="1"/>
    </font>
    <font>
      <b/>
      <sz val="11"/>
      <color rgb="FFFFFFFF"/>
      <name val="Calibri"/>
      <family val="2"/>
      <charset val="1"/>
    </font>
    <font>
      <b/>
      <sz val="11"/>
      <color theme="1"/>
      <name val="Calibri"/>
      <family val="2"/>
      <charset val="1"/>
    </font>
    <font>
      <b/>
      <sz val="9"/>
      <color rgb="FF004687"/>
      <name val="Calibri"/>
      <charset val="1"/>
    </font>
    <font>
      <b/>
      <sz val="9"/>
      <color rgb="FF192882"/>
      <name val="Calibri"/>
      <charset val="1"/>
    </font>
    <font>
      <b/>
      <sz val="9"/>
      <color rgb="FFFFFFFF"/>
      <name val="Calibri"/>
      <charset val="1"/>
    </font>
    <font>
      <i/>
      <sz val="9"/>
      <color rgb="FF808080"/>
      <name val="Calibri"/>
      <charset val="1"/>
    </font>
    <font>
      <b/>
      <sz val="8"/>
      <color rgb="FF009137"/>
      <name val="Calibri"/>
      <charset val="1"/>
    </font>
    <font>
      <b/>
      <sz val="12"/>
      <color rgb="FF192882"/>
      <name val="Calibri"/>
      <charset val="1"/>
    </font>
    <font>
      <b/>
      <sz val="8"/>
      <color rgb="FF808080"/>
      <name val="Calibri"/>
      <charset val="1"/>
    </font>
    <font>
      <b/>
      <sz val="24"/>
      <color theme="1"/>
      <name val="Calibri"/>
      <family val="2"/>
      <charset val="1"/>
    </font>
    <font>
      <b/>
      <sz val="18"/>
      <color theme="0"/>
      <name val="Calibri"/>
      <family val="2"/>
      <charset val="1"/>
    </font>
    <font>
      <sz val="11"/>
      <color rgb="FFFF0000"/>
      <name val="Calibri"/>
      <family val="2"/>
      <charset val="1"/>
    </font>
    <font>
      <b/>
      <sz val="11"/>
      <color theme="0"/>
      <name val="Calibri"/>
      <family val="2"/>
      <charset val="1"/>
    </font>
    <font>
      <sz val="11"/>
      <name val="Calibri"/>
      <family val="2"/>
      <charset val="1"/>
    </font>
    <font>
      <sz val="11"/>
      <color theme="0"/>
      <name val="Calibri"/>
      <family val="2"/>
      <charset val="1"/>
    </font>
    <font>
      <b/>
      <sz val="11"/>
      <color rgb="FF3C3D3E"/>
      <name val="Calibri"/>
      <family val="2"/>
      <charset val="1"/>
    </font>
    <font>
      <b/>
      <i/>
      <sz val="10"/>
      <color theme="1"/>
      <name val="Calibri"/>
      <family val="2"/>
      <charset val="1"/>
    </font>
    <font>
      <sz val="11"/>
      <color theme="1" tint="4.9897762993255407E-2"/>
      <name val="Calibri"/>
      <family val="2"/>
      <charset val="1"/>
    </font>
    <font>
      <b/>
      <sz val="11"/>
      <name val="Calibri"/>
      <family val="2"/>
      <charset val="1"/>
    </font>
    <font>
      <sz val="11"/>
      <color rgb="FFFFFFFF"/>
      <name val="Calibri"/>
      <family val="2"/>
      <charset val="1"/>
    </font>
    <font>
      <sz val="11"/>
      <color rgb="FF3C3D3E"/>
      <name val="Calibri"/>
      <family val="2"/>
      <charset val="1"/>
    </font>
    <font>
      <sz val="11"/>
      <color rgb="FF000000"/>
      <name val="Calibri"/>
      <family val="2"/>
      <charset val="1"/>
    </font>
    <font>
      <b/>
      <sz val="11"/>
      <color rgb="FFC00000"/>
      <name val="Calibri"/>
      <charset val="1"/>
    </font>
    <font>
      <sz val="11"/>
      <color theme="1"/>
      <name val="Calibri"/>
      <family val="2"/>
      <charset val="1"/>
    </font>
    <font>
      <u/>
      <sz val="11"/>
      <color theme="10"/>
      <name val="Calibri"/>
      <family val="2"/>
      <charset val="1"/>
    </font>
    <font>
      <sz val="11"/>
      <color rgb="FF242424"/>
      <name val="Aptos Narrow"/>
      <family val="2"/>
    </font>
    <font>
      <b/>
      <sz val="9"/>
      <color theme="0"/>
      <name val="Calibri"/>
    </font>
    <font>
      <sz val="11"/>
      <color theme="1"/>
      <name val="Calibri"/>
      <family val="2"/>
      <scheme val="minor"/>
    </font>
    <font>
      <sz val="10"/>
      <color theme="1"/>
      <name val="Calibri"/>
      <family val="2"/>
    </font>
    <font>
      <sz val="10"/>
      <color rgb="FF000000"/>
      <name val="Calibri"/>
      <family val="2"/>
    </font>
    <font>
      <b/>
      <sz val="8"/>
      <name val="Calibri"/>
      <charset val="1"/>
    </font>
    <font>
      <sz val="11"/>
      <name val="Calibri"/>
    </font>
    <font>
      <b/>
      <sz val="8"/>
      <color theme="0"/>
      <name val="Calibri"/>
      <charset val="1"/>
    </font>
    <font>
      <b/>
      <sz val="11"/>
      <color theme="0"/>
      <name val="Calibri"/>
      <family val="2"/>
    </font>
    <font>
      <sz val="8"/>
      <name val="Calibri"/>
      <family val="2"/>
      <charset val="1"/>
    </font>
    <font>
      <sz val="9"/>
      <color indexed="81"/>
      <name val="Tahoma"/>
      <family val="2"/>
    </font>
    <font>
      <b/>
      <sz val="9"/>
      <color rgb="FF192882"/>
      <name val="Calibri"/>
    </font>
    <font>
      <sz val="9"/>
      <color rgb="FF000000"/>
      <name val="Calibri"/>
    </font>
    <font>
      <sz val="8"/>
      <color rgb="FF000000"/>
      <name val="Calibri"/>
    </font>
    <font>
      <b/>
      <sz val="18"/>
      <color rgb="FFFFFFFF"/>
      <name val="Calibri"/>
      <family val="2"/>
      <charset val="1"/>
    </font>
    <font>
      <i/>
      <sz val="10"/>
      <color rgb="FF666666"/>
      <name val="Calibri"/>
      <family val="2"/>
      <charset val="1"/>
    </font>
    <font>
      <sz val="11"/>
      <color rgb="FF1F1F1F"/>
      <name val="Calibri"/>
      <family val="2"/>
      <charset val="1"/>
    </font>
    <font>
      <b/>
      <u/>
      <sz val="9"/>
      <color rgb="FF0563C1"/>
      <name val="Calibri"/>
      <charset val="1"/>
    </font>
    <font>
      <sz val="10"/>
      <color rgb="FF555555"/>
      <name val="Calibri"/>
      <charset val="1"/>
    </font>
    <font>
      <b/>
      <sz val="12"/>
      <color rgb="FFFFFFFF"/>
      <name val="Calibri"/>
      <charset val="1"/>
    </font>
    <font>
      <sz val="9"/>
      <color rgb="FF000000"/>
      <name val="Calibri"/>
      <family val="2"/>
      <charset val="1"/>
    </font>
  </fonts>
  <fills count="47">
    <fill>
      <patternFill patternType="none"/>
    </fill>
    <fill>
      <patternFill patternType="gray125"/>
    </fill>
    <fill>
      <patternFill patternType="solid">
        <fgColor rgb="FFE7EEF7"/>
        <bgColor rgb="FFE3ECF8"/>
      </patternFill>
    </fill>
    <fill>
      <patternFill patternType="solid">
        <fgColor rgb="FF00A0E1"/>
        <bgColor rgb="FF4BACC6"/>
      </patternFill>
    </fill>
    <fill>
      <patternFill patternType="solid">
        <fgColor rgb="FFC00000"/>
        <bgColor rgb="FFFF0000"/>
      </patternFill>
    </fill>
    <fill>
      <patternFill patternType="solid">
        <fgColor rgb="FF192882"/>
        <bgColor rgb="FF191E8C"/>
      </patternFill>
    </fill>
    <fill>
      <patternFill patternType="solid">
        <fgColor rgb="FF004687"/>
        <bgColor rgb="FF1F4E79"/>
      </patternFill>
    </fill>
    <fill>
      <patternFill patternType="solid">
        <fgColor rgb="FFD9E6F2"/>
        <bgColor rgb="FFDEEBF7"/>
      </patternFill>
    </fill>
    <fill>
      <patternFill patternType="solid">
        <fgColor rgb="FFFFF6DC"/>
        <bgColor rgb="FFFDEADA"/>
      </patternFill>
    </fill>
    <fill>
      <patternFill patternType="solid">
        <fgColor theme="0"/>
        <bgColor rgb="FFF2F2F2"/>
      </patternFill>
    </fill>
    <fill>
      <patternFill patternType="solid">
        <fgColor rgb="FF1F4E79"/>
        <bgColor rgb="FF004687"/>
      </patternFill>
    </fill>
    <fill>
      <patternFill patternType="solid">
        <fgColor rgb="FFD6DCE5"/>
        <bgColor rgb="FFD9D9D9"/>
      </patternFill>
    </fill>
    <fill>
      <patternFill patternType="solid">
        <fgColor rgb="FF2E75B6"/>
        <bgColor rgb="FF3072C2"/>
      </patternFill>
    </fill>
    <fill>
      <patternFill patternType="solid">
        <fgColor rgb="FFF2F2F2"/>
        <bgColor rgb="FFE7EEF7"/>
      </patternFill>
    </fill>
    <fill>
      <patternFill patternType="solid">
        <fgColor rgb="FFBDD7EE"/>
        <bgColor rgb="FFD6DCE5"/>
      </patternFill>
    </fill>
    <fill>
      <patternFill patternType="solid">
        <fgColor rgb="FF009137"/>
        <bgColor rgb="FF00B050"/>
      </patternFill>
    </fill>
    <fill>
      <patternFill patternType="solid">
        <fgColor rgb="FF191E8C"/>
        <bgColor rgb="FF192882"/>
      </patternFill>
    </fill>
    <fill>
      <patternFill patternType="solid">
        <fgColor rgb="FFFF0000"/>
        <bgColor rgb="FFC00000"/>
      </patternFill>
    </fill>
    <fill>
      <patternFill patternType="solid">
        <fgColor rgb="FFFF9900"/>
        <bgColor rgb="FFF2A900"/>
      </patternFill>
    </fill>
    <fill>
      <patternFill patternType="solid">
        <fgColor rgb="FFFFFF00"/>
        <bgColor rgb="FFFFD966"/>
      </patternFill>
    </fill>
    <fill>
      <patternFill patternType="solid">
        <fgColor rgb="FF00B050"/>
        <bgColor rgb="FF009137"/>
      </patternFill>
    </fill>
    <fill>
      <patternFill patternType="solid">
        <fgColor rgb="FFDEEBF7"/>
        <bgColor rgb="FFE3ECF8"/>
      </patternFill>
    </fill>
    <fill>
      <patternFill patternType="solid">
        <fgColor rgb="FFFFC000"/>
        <bgColor rgb="FFF2A900"/>
      </patternFill>
    </fill>
    <fill>
      <patternFill patternType="solid">
        <fgColor rgb="FF92D050"/>
        <bgColor rgb="FF9BBB59"/>
      </patternFill>
    </fill>
    <fill>
      <patternFill patternType="solid">
        <fgColor rgb="FF00468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EEFE2"/>
        <bgColor indexed="64"/>
      </patternFill>
    </fill>
    <fill>
      <patternFill patternType="solid">
        <fgColor rgb="FFFEEFE2"/>
        <bgColor rgb="FFFDEADA"/>
      </patternFill>
    </fill>
    <fill>
      <patternFill patternType="solid">
        <fgColor theme="9" tint="0.79998168889431442"/>
        <bgColor rgb="FFE3ECF8"/>
      </patternFill>
    </fill>
    <fill>
      <patternFill patternType="solid">
        <fgColor theme="9" tint="0.79998168889431442"/>
        <bgColor rgb="FFFDEADA"/>
      </patternFill>
    </fill>
    <fill>
      <patternFill patternType="solid">
        <fgColor theme="4" tint="0.79998168889431442"/>
        <bgColor rgb="FFE3ECF8"/>
      </patternFill>
    </fill>
    <fill>
      <patternFill patternType="solid">
        <fgColor theme="4" tint="0.79998168889431442"/>
        <bgColor rgb="FFF2F2F2"/>
      </patternFill>
    </fill>
    <fill>
      <patternFill patternType="solid">
        <fgColor theme="4"/>
        <bgColor theme="4"/>
      </patternFill>
    </fill>
    <fill>
      <patternFill patternType="solid">
        <fgColor rgb="FF1F4E78"/>
        <bgColor indexed="64"/>
      </patternFill>
    </fill>
    <fill>
      <patternFill patternType="solid">
        <fgColor rgb="FFE7EEF7"/>
        <bgColor indexed="64"/>
      </patternFill>
    </fill>
    <fill>
      <patternFill patternType="solid">
        <fgColor rgb="FFD9EAF7"/>
        <bgColor indexed="64"/>
      </patternFill>
    </fill>
    <fill>
      <patternFill patternType="solid">
        <fgColor rgb="FF4472C4"/>
        <bgColor indexed="64"/>
      </patternFill>
    </fill>
    <fill>
      <patternFill patternType="solid">
        <fgColor rgb="FFE2F0D9"/>
        <bgColor indexed="64"/>
      </patternFill>
    </fill>
    <fill>
      <patternFill patternType="solid">
        <fgColor rgb="FF192882"/>
        <bgColor indexed="64"/>
      </patternFill>
    </fill>
    <fill>
      <patternFill patternType="solid">
        <fgColor rgb="FFFDE9D9"/>
        <bgColor indexed="64"/>
      </patternFill>
    </fill>
    <fill>
      <patternFill patternType="solid">
        <fgColor rgb="FFFDE9D9"/>
        <bgColor rgb="FF191E8C"/>
      </patternFill>
    </fill>
    <fill>
      <patternFill patternType="solid">
        <fgColor rgb="FFFDE9D9"/>
        <bgColor rgb="FFE3ECF8"/>
      </patternFill>
    </fill>
    <fill>
      <patternFill patternType="solid">
        <fgColor rgb="FFE7EEF7"/>
        <bgColor rgb="FFFDEADA"/>
      </patternFill>
    </fill>
    <fill>
      <patternFill patternType="solid">
        <fgColor rgb="FFE7EEF7"/>
        <bgColor rgb="FFF2F2F2"/>
      </patternFill>
    </fill>
    <fill>
      <patternFill patternType="solid">
        <fgColor rgb="FF2E75B6"/>
        <bgColor indexed="64"/>
      </patternFill>
    </fill>
    <fill>
      <patternFill patternType="solid">
        <fgColor rgb="FFBDD7EE"/>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B0B0B0"/>
      </left>
      <right style="thin">
        <color rgb="FFB0B0B0"/>
      </right>
      <top style="thin">
        <color rgb="FFB0B0B0"/>
      </top>
      <bottom/>
      <diagonal/>
    </border>
    <border>
      <left style="thin">
        <color rgb="FFB0B0B0"/>
      </left>
      <right/>
      <top style="thin">
        <color rgb="FFB0B0B0"/>
      </top>
      <bottom style="thin">
        <color rgb="FFB0B0B0"/>
      </bottom>
      <diagonal/>
    </border>
    <border>
      <left style="hair">
        <color auto="1"/>
      </left>
      <right style="hair">
        <color auto="1"/>
      </right>
      <top style="hair">
        <color auto="1"/>
      </top>
      <bottom style="hair">
        <color auto="1"/>
      </bottom>
      <diagonal/>
    </border>
    <border>
      <left style="hair">
        <color auto="1"/>
      </left>
      <right/>
      <top/>
      <bottom/>
      <diagonal/>
    </border>
    <border>
      <left style="hair">
        <color auto="1"/>
      </left>
      <right/>
      <top style="hair">
        <color auto="1"/>
      </top>
      <bottom style="hair">
        <color auto="1"/>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auto="1"/>
      </left>
      <right style="thin">
        <color auto="1"/>
      </right>
      <top style="thin">
        <color auto="1"/>
      </top>
      <bottom/>
      <diagonal/>
    </border>
    <border>
      <left style="thin">
        <color theme="0"/>
      </left>
      <right style="thin">
        <color rgb="FFB0B0B0"/>
      </right>
      <top style="thin">
        <color rgb="FFB0B0B0"/>
      </top>
      <bottom style="thin">
        <color rgb="FFB0B0B0"/>
      </bottom>
      <diagonal/>
    </border>
    <border>
      <left/>
      <right style="thin">
        <color auto="1"/>
      </right>
      <top style="thin">
        <color auto="1"/>
      </top>
      <bottom style="thin">
        <color auto="1"/>
      </bottom>
      <diagonal/>
    </border>
    <border>
      <left/>
      <right/>
      <top style="thin">
        <color auto="1"/>
      </top>
      <bottom style="thin">
        <color rgb="FFD9D9D9"/>
      </bottom>
      <diagonal/>
    </border>
    <border>
      <left/>
      <right style="thin">
        <color rgb="FFD9D9D9"/>
      </right>
      <top style="thin">
        <color auto="1"/>
      </top>
      <bottom style="thin">
        <color rgb="FFD9D9D9"/>
      </bottom>
      <diagonal/>
    </border>
    <border>
      <left/>
      <right/>
      <top style="thin">
        <color rgb="FFD9D9D9"/>
      </top>
      <bottom style="thin">
        <color rgb="FFD9D9D9"/>
      </bottom>
      <diagonal/>
    </border>
    <border>
      <left/>
      <right style="thin">
        <color auto="1"/>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0B0B0"/>
      </left>
      <right style="thin">
        <color rgb="FFB0B0B0"/>
      </right>
      <top/>
      <bottom style="thin">
        <color rgb="FFB0B0B0"/>
      </bottom>
      <diagonal/>
    </border>
    <border>
      <left/>
      <right/>
      <top style="hair">
        <color auto="1"/>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right style="thin">
        <color rgb="FFB0B0B0"/>
      </right>
      <top/>
      <bottom style="thin">
        <color rgb="FFB0B0B0"/>
      </bottom>
      <diagonal/>
    </border>
    <border>
      <left style="thin">
        <color rgb="FFB0B0B0"/>
      </left>
      <right/>
      <top/>
      <bottom style="thin">
        <color rgb="FFB0B0B0"/>
      </bottom>
      <diagonal/>
    </border>
    <border>
      <left/>
      <right style="thin">
        <color rgb="FFB0B0B0"/>
      </right>
      <top style="thin">
        <color rgb="FFB0B0B0"/>
      </top>
      <bottom/>
      <diagonal/>
    </border>
    <border>
      <left style="thin">
        <color rgb="FFB0B0B0"/>
      </left>
      <right/>
      <top style="thin">
        <color rgb="FFB0B0B0"/>
      </top>
      <bottom/>
      <diagonal/>
    </border>
    <border>
      <left style="thin">
        <color rgb="FFB0B0B0"/>
      </left>
      <right/>
      <top/>
      <bottom/>
      <diagonal/>
    </border>
    <border>
      <left/>
      <right/>
      <top style="thin">
        <color rgb="FFB0B0B0"/>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s>
  <cellStyleXfs count="7">
    <xf numFmtId="0" fontId="0" fillId="0" borderId="0"/>
    <xf numFmtId="0" fontId="42" fillId="0" borderId="0"/>
    <xf numFmtId="0" fontId="1" fillId="0" borderId="0"/>
    <xf numFmtId="0" fontId="41" fillId="0" borderId="0"/>
    <xf numFmtId="0" fontId="1" fillId="0" borderId="0"/>
    <xf numFmtId="0" fontId="2" fillId="0" borderId="0"/>
    <xf numFmtId="0" fontId="45" fillId="0" borderId="0"/>
  </cellStyleXfs>
  <cellXfs count="433">
    <xf numFmtId="0" fontId="0" fillId="0" borderId="0" xfId="0"/>
    <xf numFmtId="0" fontId="5" fillId="0" borderId="1" xfId="0" applyFont="1" applyBorder="1" applyAlignment="1">
      <alignment horizontal="center" vertical="center" wrapText="1"/>
    </xf>
    <xf numFmtId="0" fontId="8" fillId="5" borderId="2" xfId="0" applyFont="1" applyFill="1" applyBorder="1" applyAlignment="1">
      <alignment horizontal="center" vertical="center" wrapText="1"/>
    </xf>
    <xf numFmtId="0" fontId="11" fillId="0" borderId="0" xfId="0" applyFont="1"/>
    <xf numFmtId="0" fontId="12" fillId="7" borderId="2" xfId="0" applyFont="1" applyFill="1" applyBorder="1"/>
    <xf numFmtId="0" fontId="14" fillId="0" borderId="0" xfId="0" applyFont="1"/>
    <xf numFmtId="0" fontId="15" fillId="6" borderId="2" xfId="0" applyFont="1" applyFill="1" applyBorder="1" applyAlignment="1">
      <alignment horizontal="center" vertical="center" wrapText="1"/>
    </xf>
    <xf numFmtId="0" fontId="0" fillId="0" borderId="0" xfId="0" applyAlignment="1">
      <alignment wrapText="1"/>
    </xf>
    <xf numFmtId="0" fontId="4" fillId="0" borderId="2" xfId="0" applyFont="1" applyBorder="1" applyAlignment="1">
      <alignment horizontal="center" vertical="center" wrapText="1"/>
    </xf>
    <xf numFmtId="0" fontId="20" fillId="2" borderId="2" xfId="0" applyFont="1" applyFill="1" applyBorder="1" applyAlignment="1">
      <alignment horizontal="center" vertical="center" wrapText="1"/>
    </xf>
    <xf numFmtId="0" fontId="4" fillId="8" borderId="2"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4" fillId="0" borderId="2" xfId="0" applyFont="1" applyBorder="1" applyAlignment="1">
      <alignment horizontal="left" vertical="center" wrapText="1"/>
    </xf>
    <xf numFmtId="0" fontId="22" fillId="6" borderId="2"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8" borderId="2" xfId="0" applyFont="1" applyFill="1" applyBorder="1" applyAlignment="1">
      <alignment horizontal="center" vertical="center" wrapText="1"/>
    </xf>
    <xf numFmtId="0" fontId="23" fillId="0" borderId="0" xfId="0" applyFont="1"/>
    <xf numFmtId="0" fontId="25" fillId="0" borderId="0" xfId="0" applyFont="1"/>
    <xf numFmtId="0" fontId="12" fillId="2" borderId="2" xfId="0" applyFont="1" applyFill="1" applyBorder="1" applyAlignment="1">
      <alignment horizontal="left" vertical="center" wrapText="1"/>
    </xf>
    <xf numFmtId="0" fontId="11" fillId="0" borderId="2" xfId="0" applyFont="1" applyBorder="1" applyAlignment="1">
      <alignment horizontal="center" vertical="center" wrapText="1"/>
    </xf>
    <xf numFmtId="0" fontId="4" fillId="0" borderId="2" xfId="0" applyFont="1" applyBorder="1"/>
    <xf numFmtId="0" fontId="26" fillId="0" borderId="0" xfId="0" applyFont="1"/>
    <xf numFmtId="0" fontId="29" fillId="0" borderId="0" xfId="0" applyFont="1"/>
    <xf numFmtId="0" fontId="7" fillId="0" borderId="2" xfId="0" applyFont="1" applyBorder="1" applyAlignment="1">
      <alignment horizontal="center" vertical="center" wrapText="1"/>
    </xf>
    <xf numFmtId="0" fontId="5" fillId="0" borderId="2" xfId="0" applyFont="1" applyBorder="1" applyAlignment="1">
      <alignment vertical="center" wrapText="1"/>
    </xf>
    <xf numFmtId="0" fontId="5" fillId="8" borderId="2" xfId="0" applyFont="1" applyFill="1" applyBorder="1" applyAlignment="1">
      <alignment vertical="center" wrapText="1"/>
    </xf>
    <xf numFmtId="0" fontId="5" fillId="0" borderId="2" xfId="0" applyFont="1" applyBorder="1"/>
    <xf numFmtId="0" fontId="0" fillId="2" borderId="0" xfId="0" applyFill="1"/>
    <xf numFmtId="0" fontId="43" fillId="0" borderId="0" xfId="0" applyFont="1"/>
    <xf numFmtId="0" fontId="5" fillId="0" borderId="1" xfId="0" applyFont="1" applyBorder="1" applyAlignment="1">
      <alignment horizontal="left" vertical="center" wrapText="1"/>
    </xf>
    <xf numFmtId="0" fontId="0" fillId="26" borderId="1" xfId="0" applyFill="1" applyBorder="1"/>
    <xf numFmtId="0" fontId="15" fillId="6" borderId="16" xfId="0" applyFont="1" applyFill="1" applyBorder="1" applyAlignment="1">
      <alignment horizontal="center" vertical="center" wrapText="1"/>
    </xf>
    <xf numFmtId="0" fontId="7" fillId="29" borderId="1" xfId="0" applyFont="1" applyFill="1" applyBorder="1" applyAlignment="1">
      <alignment horizontal="center" vertical="center" wrapText="1"/>
    </xf>
    <xf numFmtId="0" fontId="7" fillId="29" borderId="1" xfId="0" quotePrefix="1" applyFont="1" applyFill="1" applyBorder="1" applyAlignment="1">
      <alignment horizontal="center" vertical="center" wrapText="1"/>
    </xf>
    <xf numFmtId="0" fontId="0" fillId="0" borderId="0" xfId="0" applyProtection="1">
      <protection locked="0"/>
    </xf>
    <xf numFmtId="0" fontId="11" fillId="0" borderId="0" xfId="0" applyFont="1" applyProtection="1">
      <protection locked="0"/>
    </xf>
    <xf numFmtId="0" fontId="12" fillId="9" borderId="2" xfId="0" applyFont="1" applyFill="1" applyBorder="1" applyAlignment="1" applyProtection="1">
      <alignment horizontal="center" vertical="center" wrapText="1"/>
      <protection locked="0"/>
    </xf>
    <xf numFmtId="0" fontId="13" fillId="0" borderId="2" xfId="0" applyFont="1" applyBorder="1" applyAlignment="1" applyProtection="1">
      <alignment horizontal="left" vertical="center" wrapText="1"/>
      <protection locked="0"/>
    </xf>
    <xf numFmtId="0" fontId="12" fillId="2" borderId="2" xfId="0" applyFont="1" applyFill="1" applyBorder="1" applyAlignment="1" applyProtection="1">
      <alignment horizontal="center" vertical="center" wrapText="1"/>
      <protection locked="0"/>
    </xf>
    <xf numFmtId="0" fontId="15" fillId="5" borderId="2" xfId="0" applyFont="1" applyFill="1" applyBorder="1" applyAlignment="1" applyProtection="1">
      <alignment horizontal="center" vertical="center" wrapText="1"/>
      <protection locked="0"/>
    </xf>
    <xf numFmtId="0" fontId="15" fillId="6" borderId="2" xfId="0" applyFont="1" applyFill="1" applyBorder="1" applyAlignment="1" applyProtection="1">
      <alignment horizontal="center" vertical="center" wrapText="1"/>
      <protection locked="0"/>
    </xf>
    <xf numFmtId="0" fontId="15" fillId="4" borderId="2" xfId="0" applyFont="1" applyFill="1" applyBorder="1" applyAlignment="1" applyProtection="1">
      <alignment horizontal="center" vertical="center" wrapText="1"/>
      <protection locked="0"/>
    </xf>
    <xf numFmtId="0" fontId="15" fillId="15" borderId="2" xfId="0" applyFont="1" applyFill="1" applyBorder="1" applyAlignment="1" applyProtection="1">
      <alignment horizontal="center" vertical="center" wrapText="1"/>
      <protection locked="0"/>
    </xf>
    <xf numFmtId="0" fontId="0" fillId="0" borderId="0" xfId="0" applyProtection="1">
      <protection hidden="1"/>
    </xf>
    <xf numFmtId="0" fontId="4" fillId="0" borderId="2" xfId="0" applyFont="1" applyBorder="1" applyAlignment="1" applyProtection="1">
      <alignment horizontal="left" vertical="center" wrapText="1"/>
      <protection locked="0"/>
    </xf>
    <xf numFmtId="0" fontId="29" fillId="0" borderId="0" xfId="0" applyFont="1" applyProtection="1">
      <protection locked="0"/>
    </xf>
    <xf numFmtId="0" fontId="21" fillId="2" borderId="2" xfId="0" applyFont="1" applyFill="1" applyBorder="1" applyAlignment="1">
      <alignment horizontal="center" vertical="center" wrapText="1"/>
    </xf>
    <xf numFmtId="0" fontId="0" fillId="0" borderId="6" xfId="0" applyBorder="1" applyAlignment="1" applyProtection="1">
      <alignment wrapText="1"/>
      <protection locked="0"/>
    </xf>
    <xf numFmtId="0" fontId="0" fillId="9" borderId="6" xfId="0" applyFill="1" applyBorder="1" applyAlignment="1" applyProtection="1">
      <alignment wrapText="1"/>
      <protection locked="0"/>
    </xf>
    <xf numFmtId="0" fontId="19" fillId="13" borderId="4" xfId="0" applyFont="1" applyFill="1" applyBorder="1"/>
    <xf numFmtId="0" fontId="0" fillId="0" borderId="4" xfId="0" applyBorder="1"/>
    <xf numFmtId="0" fontId="0" fillId="0" borderId="6" xfId="0" applyBorder="1" applyAlignment="1">
      <alignment wrapText="1"/>
    </xf>
    <xf numFmtId="0" fontId="0" fillId="0" borderId="5" xfId="0" applyBorder="1" applyAlignment="1">
      <alignment wrapText="1"/>
    </xf>
    <xf numFmtId="0" fontId="19" fillId="14" borderId="4" xfId="0" applyFont="1" applyFill="1" applyBorder="1"/>
    <xf numFmtId="0" fontId="19" fillId="14" borderId="6" xfId="0" applyFont="1" applyFill="1" applyBorder="1" applyAlignment="1">
      <alignment wrapText="1"/>
    </xf>
    <xf numFmtId="0" fontId="19" fillId="14" borderId="5" xfId="0" applyFont="1" applyFill="1" applyBorder="1" applyAlignment="1">
      <alignment wrapText="1"/>
    </xf>
    <xf numFmtId="0" fontId="19" fillId="0" borderId="4" xfId="0" applyFont="1" applyBorder="1"/>
    <xf numFmtId="0" fontId="19" fillId="13" borderId="7" xfId="0" applyFont="1" applyFill="1" applyBorder="1"/>
    <xf numFmtId="0" fontId="29" fillId="0" borderId="0" xfId="0" applyFont="1" applyAlignment="1">
      <alignment vertical="top" wrapText="1"/>
    </xf>
    <xf numFmtId="0" fontId="4" fillId="30"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0" fillId="0" borderId="1" xfId="0" applyBorder="1" applyAlignment="1" applyProtection="1">
      <alignment vertical="top"/>
      <protection locked="0"/>
    </xf>
    <xf numFmtId="0" fontId="0" fillId="26" borderId="1" xfId="0" applyFill="1" applyBorder="1" applyAlignment="1" applyProtection="1">
      <alignment vertical="top"/>
      <protection locked="0"/>
    </xf>
    <xf numFmtId="0" fontId="0" fillId="0" borderId="1" xfId="0" applyBorder="1" applyAlignment="1" applyProtection="1">
      <alignment vertical="top" wrapText="1"/>
      <protection locked="0"/>
    </xf>
    <xf numFmtId="0" fontId="46" fillId="0" borderId="1" xfId="6" applyFont="1" applyBorder="1" applyAlignment="1" applyProtection="1">
      <alignment vertical="top" wrapText="1"/>
      <protection locked="0"/>
    </xf>
    <xf numFmtId="0" fontId="0" fillId="26" borderId="1" xfId="0" applyFill="1" applyBorder="1" applyProtection="1">
      <protection locked="0"/>
    </xf>
    <xf numFmtId="0" fontId="0" fillId="0" borderId="1" xfId="0" applyBorder="1" applyAlignment="1" applyProtection="1">
      <alignment wrapText="1"/>
      <protection locked="0"/>
    </xf>
    <xf numFmtId="0" fontId="0" fillId="0" borderId="1" xfId="0" applyBorder="1" applyProtection="1">
      <protection locked="0"/>
    </xf>
    <xf numFmtId="0" fontId="0" fillId="25" borderId="1" xfId="0" applyFill="1" applyBorder="1" applyAlignment="1">
      <alignment vertical="top" wrapText="1"/>
    </xf>
    <xf numFmtId="0" fontId="0" fillId="25" borderId="1" xfId="0" applyFill="1" applyBorder="1" applyAlignment="1">
      <alignment wrapText="1"/>
    </xf>
    <xf numFmtId="0" fontId="0" fillId="0" borderId="0" xfId="0" applyAlignment="1">
      <alignment vertical="top"/>
    </xf>
    <xf numFmtId="0" fontId="12" fillId="2" borderId="2" xfId="0" applyFont="1" applyFill="1" applyBorder="1" applyAlignment="1">
      <alignment horizontal="center" vertical="center" wrapText="1"/>
    </xf>
    <xf numFmtId="0" fontId="0" fillId="0" borderId="0" xfId="0" quotePrefix="1"/>
    <xf numFmtId="0" fontId="4" fillId="26" borderId="2" xfId="0" applyFont="1" applyFill="1" applyBorder="1" applyAlignment="1" applyProtection="1">
      <alignment horizontal="center" vertical="center" wrapText="1"/>
      <protection locked="0"/>
    </xf>
    <xf numFmtId="0" fontId="4" fillId="28" borderId="2" xfId="0" applyFont="1" applyFill="1" applyBorder="1" applyAlignment="1" applyProtection="1">
      <alignment horizontal="center" vertical="center" wrapText="1"/>
      <protection locked="0"/>
    </xf>
    <xf numFmtId="0" fontId="0" fillId="27" borderId="10" xfId="0" applyFill="1" applyBorder="1" applyProtection="1">
      <protection locked="0"/>
    </xf>
    <xf numFmtId="0" fontId="4" fillId="28" borderId="10" xfId="0" applyFont="1" applyFill="1" applyBorder="1" applyAlignment="1" applyProtection="1">
      <alignment horizontal="center" vertical="center" wrapText="1"/>
      <protection locked="0"/>
    </xf>
    <xf numFmtId="0" fontId="4" fillId="27"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left" vertical="center"/>
      <protection locked="0"/>
    </xf>
    <xf numFmtId="0" fontId="47" fillId="0" borderId="18" xfId="3" applyFont="1" applyBorder="1" applyAlignment="1" applyProtection="1">
      <alignment horizontal="left"/>
      <protection locked="0"/>
    </xf>
    <xf numFmtId="0" fontId="51" fillId="24" borderId="0" xfId="0" applyFont="1" applyFill="1"/>
    <xf numFmtId="0" fontId="30" fillId="24" borderId="17" xfId="0" applyFont="1" applyFill="1" applyBorder="1"/>
    <xf numFmtId="0" fontId="0" fillId="24" borderId="0" xfId="0" applyFill="1"/>
    <xf numFmtId="0" fontId="30" fillId="24" borderId="1" xfId="0" applyFont="1" applyFill="1" applyBorder="1"/>
    <xf numFmtId="0" fontId="22" fillId="6" borderId="1" xfId="0" applyFont="1" applyFill="1" applyBorder="1" applyAlignment="1" applyProtection="1">
      <alignment horizontal="center" vertical="center" wrapText="1"/>
      <protection locked="0"/>
    </xf>
    <xf numFmtId="0" fontId="0" fillId="25" borderId="0" xfId="0" applyFill="1" applyProtection="1">
      <protection locked="0"/>
    </xf>
    <xf numFmtId="0" fontId="5" fillId="30" borderId="2" xfId="0" applyFont="1" applyFill="1" applyBorder="1" applyAlignment="1" applyProtection="1">
      <alignment horizontal="center" vertical="center" wrapText="1"/>
      <protection locked="0"/>
    </xf>
    <xf numFmtId="0" fontId="5" fillId="26" borderId="2" xfId="0" applyFont="1" applyFill="1" applyBorder="1" applyAlignment="1" applyProtection="1">
      <alignment horizontal="center" vertical="center" wrapText="1"/>
      <protection locked="0"/>
    </xf>
    <xf numFmtId="0" fontId="5" fillId="0" borderId="2" xfId="0" applyFont="1" applyBorder="1" applyAlignment="1" applyProtection="1">
      <alignment horizontal="left" vertical="center" wrapText="1"/>
      <protection locked="0"/>
    </xf>
    <xf numFmtId="0" fontId="5" fillId="0" borderId="2" xfId="0" applyFont="1" applyBorder="1" applyAlignment="1" applyProtection="1">
      <alignment horizontal="center" vertical="center" wrapText="1"/>
      <protection locked="0"/>
    </xf>
    <xf numFmtId="165" fontId="5" fillId="0" borderId="2" xfId="0" applyNumberFormat="1" applyFont="1" applyBorder="1" applyAlignment="1" applyProtection="1">
      <alignment horizontal="center" vertical="center" wrapText="1"/>
      <protection locked="0"/>
    </xf>
    <xf numFmtId="0" fontId="30" fillId="16" borderId="11" xfId="0" applyFont="1" applyFill="1" applyBorder="1" applyAlignment="1">
      <alignment horizontal="center" vertical="center" wrapText="1"/>
    </xf>
    <xf numFmtId="0" fontId="32" fillId="0" borderId="0" xfId="0" applyFont="1"/>
    <xf numFmtId="0" fontId="18" fillId="16" borderId="11" xfId="0" applyFont="1" applyFill="1" applyBorder="1" applyAlignment="1">
      <alignment horizontal="center" vertical="center" wrapText="1" readingOrder="1"/>
    </xf>
    <xf numFmtId="0" fontId="18" fillId="4" borderId="11" xfId="0" applyFont="1" applyFill="1" applyBorder="1" applyAlignment="1">
      <alignment horizontal="center" vertical="center" wrapText="1" readingOrder="1"/>
    </xf>
    <xf numFmtId="0" fontId="33" fillId="9" borderId="11" xfId="0" applyFont="1" applyFill="1" applyBorder="1" applyAlignment="1">
      <alignment horizontal="center" vertical="center" wrapText="1" readingOrder="1"/>
    </xf>
    <xf numFmtId="0" fontId="31" fillId="9" borderId="11" xfId="0" applyFont="1" applyFill="1" applyBorder="1" applyAlignment="1">
      <alignment horizontal="left" vertical="center" wrapText="1" indent="1" readingOrder="1"/>
    </xf>
    <xf numFmtId="0" fontId="31" fillId="9" borderId="11" xfId="0" applyFont="1" applyFill="1" applyBorder="1" applyAlignment="1">
      <alignment horizontal="center" vertical="top" wrapText="1" readingOrder="1"/>
    </xf>
    <xf numFmtId="0" fontId="18" fillId="17" borderId="11" xfId="0" applyFont="1" applyFill="1" applyBorder="1" applyAlignment="1">
      <alignment horizontal="center" vertical="center" wrapText="1" readingOrder="1"/>
    </xf>
    <xf numFmtId="0" fontId="18" fillId="18" borderId="11" xfId="0" applyFont="1" applyFill="1" applyBorder="1" applyAlignment="1">
      <alignment horizontal="center" vertical="center" wrapText="1" readingOrder="1"/>
    </xf>
    <xf numFmtId="0" fontId="33" fillId="19" borderId="11" xfId="0" applyFont="1" applyFill="1" applyBorder="1" applyAlignment="1">
      <alignment horizontal="center" vertical="center" wrapText="1" readingOrder="1"/>
    </xf>
    <xf numFmtId="0" fontId="18" fillId="20" borderId="11" xfId="0" applyFont="1" applyFill="1" applyBorder="1" applyAlignment="1">
      <alignment horizontal="center" vertical="center" wrapText="1" readingOrder="1"/>
    </xf>
    <xf numFmtId="0" fontId="31" fillId="0" borderId="0" xfId="0" applyFont="1"/>
    <xf numFmtId="0" fontId="19" fillId="9" borderId="11" xfId="0" applyFont="1" applyFill="1" applyBorder="1" applyAlignment="1">
      <alignment horizontal="center" vertical="center" wrapText="1" readingOrder="1"/>
    </xf>
    <xf numFmtId="0" fontId="18" fillId="17" borderId="11" xfId="0" applyFont="1" applyFill="1" applyBorder="1" applyAlignment="1">
      <alignment horizontal="center" vertical="center" wrapText="1" readingOrder="2"/>
    </xf>
    <xf numFmtId="0" fontId="18" fillId="18" borderId="11" xfId="0" applyFont="1" applyFill="1" applyBorder="1" applyAlignment="1">
      <alignment horizontal="center" vertical="center" wrapText="1" readingOrder="2"/>
    </xf>
    <xf numFmtId="0" fontId="18" fillId="20" borderId="11" xfId="0" applyFont="1" applyFill="1" applyBorder="1" applyAlignment="1">
      <alignment horizontal="center" vertical="center" wrapText="1" readingOrder="2"/>
    </xf>
    <xf numFmtId="0" fontId="34" fillId="0" borderId="0" xfId="0" applyFont="1" applyAlignment="1">
      <alignment horizontal="left" indent="1"/>
    </xf>
    <xf numFmtId="0" fontId="19" fillId="21" borderId="11" xfId="0" applyFont="1" applyFill="1" applyBorder="1" applyAlignment="1">
      <alignment horizontal="center" vertical="center" wrapText="1" readingOrder="1"/>
    </xf>
    <xf numFmtId="0" fontId="35" fillId="19" borderId="11" xfId="0" applyFont="1" applyFill="1" applyBorder="1" applyAlignment="1">
      <alignment horizontal="center" vertical="center" wrapText="1" readingOrder="1"/>
    </xf>
    <xf numFmtId="0" fontId="35" fillId="22" borderId="11" xfId="0" applyFont="1" applyFill="1" applyBorder="1" applyAlignment="1">
      <alignment horizontal="center" vertical="center" wrapText="1" readingOrder="1"/>
    </xf>
    <xf numFmtId="0" fontId="32" fillId="17" borderId="11" xfId="0" applyFont="1" applyFill="1" applyBorder="1" applyAlignment="1">
      <alignment horizontal="center" vertical="center" wrapText="1" readingOrder="1"/>
    </xf>
    <xf numFmtId="0" fontId="19" fillId="0" borderId="0" xfId="0" applyFont="1" applyAlignment="1">
      <alignment horizontal="center" vertical="center" wrapText="1" readingOrder="1"/>
    </xf>
    <xf numFmtId="0" fontId="35" fillId="23" borderId="11" xfId="0" applyFont="1" applyFill="1" applyBorder="1" applyAlignment="1">
      <alignment horizontal="center" vertical="center" wrapText="1" readingOrder="1"/>
    </xf>
    <xf numFmtId="0" fontId="18" fillId="0" borderId="0" xfId="0" applyFont="1" applyAlignment="1">
      <alignment horizontal="center" vertical="center" wrapText="1" readingOrder="1"/>
    </xf>
    <xf numFmtId="0" fontId="36" fillId="0" borderId="12" xfId="0" applyFont="1" applyBorder="1" applyAlignment="1">
      <alignment horizontal="center" vertical="center" wrapText="1" readingOrder="1"/>
    </xf>
    <xf numFmtId="0" fontId="38" fillId="9" borderId="13" xfId="0" applyFont="1" applyFill="1" applyBorder="1" applyAlignment="1">
      <alignment horizontal="center" vertical="center" wrapText="1" readingOrder="1"/>
    </xf>
    <xf numFmtId="0" fontId="31" fillId="0" borderId="12" xfId="0" applyFont="1" applyBorder="1" applyAlignment="1">
      <alignment horizontal="center" vertical="center" wrapText="1" readingOrder="1"/>
    </xf>
    <xf numFmtId="16" fontId="31" fillId="0" borderId="0" xfId="0" applyNumberFormat="1" applyFont="1" applyAlignment="1">
      <alignment horizontal="center" vertical="center" wrapText="1" readingOrder="1"/>
    </xf>
    <xf numFmtId="0" fontId="38" fillId="0" borderId="0" xfId="0" applyFont="1" applyAlignment="1">
      <alignment horizontal="center" vertical="center" wrapText="1" readingOrder="1"/>
    </xf>
    <xf numFmtId="0" fontId="38" fillId="9" borderId="11" xfId="0" applyFont="1" applyFill="1" applyBorder="1" applyAlignment="1">
      <alignment horizontal="center" vertical="center" wrapText="1" readingOrder="1"/>
    </xf>
    <xf numFmtId="0" fontId="31" fillId="0" borderId="0" xfId="0" applyFont="1" applyAlignment="1">
      <alignment horizontal="center" vertical="center" wrapText="1" readingOrder="1"/>
    </xf>
    <xf numFmtId="0" fontId="30" fillId="16" borderId="11" xfId="0" applyFont="1" applyFill="1" applyBorder="1" applyAlignment="1">
      <alignment horizontal="left" vertical="center" wrapText="1" indent="1"/>
    </xf>
    <xf numFmtId="0" fontId="30" fillId="16" borderId="11" xfId="0" applyFont="1" applyFill="1" applyBorder="1" applyAlignment="1">
      <alignment horizontal="center" vertical="center" wrapText="1" readingOrder="1"/>
    </xf>
    <xf numFmtId="0" fontId="20" fillId="0" borderId="2" xfId="0" applyFont="1" applyBorder="1" applyAlignment="1">
      <alignment horizontal="center" vertical="center" wrapText="1"/>
    </xf>
    <xf numFmtId="0" fontId="4" fillId="9" borderId="2" xfId="0" applyFont="1" applyFill="1" applyBorder="1" applyAlignment="1">
      <alignment horizontal="left" vertical="center" wrapText="1"/>
    </xf>
    <xf numFmtId="9" fontId="4" fillId="0" borderId="2" xfId="0" applyNumberFormat="1" applyFont="1" applyBorder="1" applyAlignment="1" applyProtection="1">
      <alignment horizontal="left" vertical="center" wrapText="1"/>
      <protection locked="0"/>
    </xf>
    <xf numFmtId="0" fontId="4" fillId="0" borderId="2" xfId="0" quotePrefix="1" applyFont="1" applyBorder="1" applyAlignment="1" applyProtection="1">
      <alignment horizontal="left" vertical="center" wrapText="1"/>
      <protection locked="0"/>
    </xf>
    <xf numFmtId="165" fontId="5" fillId="0" borderId="1" xfId="0" applyNumberFormat="1" applyFont="1" applyBorder="1" applyAlignment="1">
      <alignment horizontal="center" vertical="center" wrapText="1"/>
    </xf>
    <xf numFmtId="0" fontId="0" fillId="25" borderId="1" xfId="0" applyFill="1" applyBorder="1"/>
    <xf numFmtId="0" fontId="20" fillId="31" borderId="2" xfId="0" applyFont="1" applyFill="1" applyBorder="1" applyAlignment="1">
      <alignment horizontal="center" vertical="center" wrapText="1"/>
    </xf>
    <xf numFmtId="0" fontId="4" fillId="31" borderId="2" xfId="0" applyFont="1" applyFill="1" applyBorder="1" applyAlignment="1">
      <alignment horizontal="left" vertical="center" wrapText="1"/>
    </xf>
    <xf numFmtId="0" fontId="7" fillId="31" borderId="2" xfId="0" applyFont="1" applyFill="1" applyBorder="1" applyAlignment="1">
      <alignment horizontal="center" vertical="center" wrapText="1"/>
    </xf>
    <xf numFmtId="0" fontId="5" fillId="31" borderId="2" xfId="0" applyFont="1" applyFill="1" applyBorder="1" applyAlignment="1">
      <alignment horizontal="center" vertical="center" wrapText="1"/>
    </xf>
    <xf numFmtId="0" fontId="6" fillId="31" borderId="2" xfId="0" applyFont="1" applyFill="1" applyBorder="1" applyAlignment="1">
      <alignment horizontal="left" vertical="center" wrapText="1"/>
    </xf>
    <xf numFmtId="0" fontId="55" fillId="30" borderId="2" xfId="0" applyFont="1" applyFill="1" applyBorder="1" applyAlignment="1" applyProtection="1">
      <alignment horizontal="center" vertical="center" wrapText="1"/>
      <protection locked="0"/>
    </xf>
    <xf numFmtId="0" fontId="5" fillId="26" borderId="1" xfId="0" applyFont="1" applyFill="1" applyBorder="1" applyAlignment="1">
      <alignment horizontal="left" vertical="center" wrapText="1"/>
    </xf>
    <xf numFmtId="0" fontId="56" fillId="26" borderId="1" xfId="0" applyFont="1" applyFill="1" applyBorder="1" applyAlignment="1">
      <alignment horizontal="left" vertical="center" wrapText="1"/>
    </xf>
    <xf numFmtId="0" fontId="50" fillId="24" borderId="1" xfId="0" applyFont="1" applyFill="1" applyBorder="1"/>
    <xf numFmtId="0" fontId="20" fillId="2" borderId="1" xfId="0" applyFont="1" applyFill="1" applyBorder="1" applyAlignment="1">
      <alignment horizontal="center" vertical="center" wrapText="1"/>
    </xf>
    <xf numFmtId="0" fontId="56" fillId="2" borderId="1" xfId="0" applyFont="1" applyFill="1" applyBorder="1" applyAlignment="1">
      <alignment horizontal="left" vertical="center" wrapText="1"/>
    </xf>
    <xf numFmtId="0" fontId="3" fillId="31" borderId="1" xfId="0" applyFont="1" applyFill="1" applyBorder="1" applyAlignment="1">
      <alignment horizontal="left" vertical="center" wrapText="1"/>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3" fillId="31" borderId="1" xfId="0" applyFont="1" applyFill="1" applyBorder="1" applyAlignment="1">
      <alignment horizontal="center" vertical="center" wrapText="1"/>
    </xf>
    <xf numFmtId="0" fontId="48" fillId="31" borderId="1" xfId="0" applyFont="1" applyFill="1" applyBorder="1" applyAlignment="1">
      <alignment horizontal="center" vertical="center" wrapText="1"/>
    </xf>
    <xf numFmtId="0" fontId="20" fillId="31" borderId="1" xfId="0" applyFont="1" applyFill="1" applyBorder="1" applyAlignment="1">
      <alignment horizontal="center" vertical="center" wrapText="1"/>
    </xf>
    <xf numFmtId="166" fontId="0" fillId="25" borderId="1" xfId="0" applyNumberFormat="1" applyFill="1" applyBorder="1" applyAlignment="1">
      <alignment vertical="top"/>
    </xf>
    <xf numFmtId="0" fontId="4" fillId="30" borderId="39" xfId="0" applyFont="1" applyFill="1" applyBorder="1" applyAlignment="1">
      <alignment horizontal="center" vertical="center" wrapText="1"/>
    </xf>
    <xf numFmtId="0" fontId="20" fillId="31" borderId="39" xfId="0" applyFont="1" applyFill="1" applyBorder="1" applyAlignment="1">
      <alignment horizontal="center" vertical="center" wrapText="1"/>
    </xf>
    <xf numFmtId="0" fontId="4" fillId="31" borderId="39" xfId="0" applyFont="1" applyFill="1" applyBorder="1" applyAlignment="1">
      <alignment horizontal="center" vertical="center" wrapText="1"/>
    </xf>
    <xf numFmtId="0" fontId="4" fillId="31" borderId="39" xfId="0" applyFont="1" applyFill="1" applyBorder="1" applyAlignment="1">
      <alignment horizontal="left" vertical="center" wrapText="1"/>
    </xf>
    <xf numFmtId="0" fontId="4" fillId="30" borderId="39" xfId="0" applyFont="1" applyFill="1" applyBorder="1" applyAlignment="1">
      <alignment horizontal="left" vertical="center" wrapText="1"/>
    </xf>
    <xf numFmtId="0" fontId="8" fillId="31" borderId="39" xfId="0" applyFont="1" applyFill="1" applyBorder="1" applyAlignment="1">
      <alignment horizontal="center" vertical="center" wrapText="1"/>
    </xf>
    <xf numFmtId="0" fontId="4" fillId="26" borderId="39" xfId="0" applyFont="1" applyFill="1" applyBorder="1" applyAlignment="1">
      <alignment horizontal="center" vertical="center" wrapText="1"/>
    </xf>
    <xf numFmtId="0" fontId="4" fillId="26" borderId="39" xfId="0" applyFont="1" applyFill="1" applyBorder="1" applyAlignment="1">
      <alignment horizontal="left" vertical="center" wrapText="1"/>
    </xf>
    <xf numFmtId="0" fontId="4" fillId="25" borderId="41" xfId="0" applyFont="1" applyFill="1" applyBorder="1" applyAlignment="1">
      <alignment horizontal="center" vertical="center" wrapText="1"/>
    </xf>
    <xf numFmtId="0" fontId="22" fillId="6" borderId="40" xfId="0" applyFont="1" applyFill="1" applyBorder="1" applyAlignment="1">
      <alignment horizontal="center" vertical="center" wrapText="1"/>
    </xf>
    <xf numFmtId="0" fontId="22" fillId="6" borderId="0" xfId="0" applyFont="1" applyFill="1" applyAlignment="1">
      <alignment horizontal="center" vertical="center" wrapText="1"/>
    </xf>
    <xf numFmtId="0" fontId="22" fillId="5" borderId="40" xfId="0" applyFont="1" applyFill="1" applyBorder="1" applyAlignment="1">
      <alignment horizontal="center" vertical="center" wrapText="1"/>
    </xf>
    <xf numFmtId="0" fontId="22" fillId="15" borderId="40" xfId="0" applyFont="1" applyFill="1" applyBorder="1" applyAlignment="1">
      <alignment horizontal="center" vertical="center" wrapText="1"/>
    </xf>
    <xf numFmtId="0" fontId="4" fillId="0" borderId="39" xfId="0" applyFont="1" applyBorder="1" applyAlignment="1">
      <alignment horizontal="left" vertical="center" wrapText="1"/>
    </xf>
    <xf numFmtId="0" fontId="30" fillId="33" borderId="40" xfId="0" applyFont="1" applyFill="1" applyBorder="1" applyAlignment="1">
      <alignment horizontal="center" vertical="center" wrapText="1"/>
    </xf>
    <xf numFmtId="0" fontId="30" fillId="33" borderId="0" xfId="0" applyFont="1" applyFill="1" applyAlignment="1">
      <alignment horizontal="center" vertical="center" wrapText="1"/>
    </xf>
    <xf numFmtId="0" fontId="8" fillId="6" borderId="15" xfId="0" applyFont="1" applyFill="1" applyBorder="1" applyAlignment="1">
      <alignment horizontal="center" vertical="center" wrapText="1"/>
    </xf>
    <xf numFmtId="0" fontId="5" fillId="25" borderId="15" xfId="0" applyFont="1" applyFill="1" applyBorder="1" applyAlignment="1">
      <alignment horizontal="center" vertical="center" wrapText="1"/>
    </xf>
    <xf numFmtId="0" fontId="5" fillId="26" borderId="10" xfId="0" applyFont="1" applyFill="1" applyBorder="1" applyAlignment="1" applyProtection="1">
      <alignment horizontal="left" vertical="center" wrapText="1"/>
      <protection locked="0"/>
    </xf>
    <xf numFmtId="0" fontId="8" fillId="6" borderId="36"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8" fillId="6" borderId="37" xfId="0" applyFont="1" applyFill="1" applyBorder="1" applyAlignment="1">
      <alignment horizontal="center" vertical="center" wrapText="1"/>
    </xf>
    <xf numFmtId="0" fontId="5" fillId="25" borderId="38" xfId="0" applyFont="1" applyFill="1" applyBorder="1" applyAlignment="1">
      <alignment horizontal="center" vertical="center" wrapText="1"/>
    </xf>
    <xf numFmtId="0" fontId="7" fillId="31" borderId="9" xfId="0" applyFont="1" applyFill="1" applyBorder="1" applyAlignment="1">
      <alignment horizontal="center" vertical="center" wrapText="1"/>
    </xf>
    <xf numFmtId="0" fontId="5" fillId="26" borderId="9" xfId="0" applyFont="1" applyFill="1" applyBorder="1" applyAlignment="1" applyProtection="1">
      <alignment horizontal="center" vertical="center" wrapText="1"/>
      <protection locked="0"/>
    </xf>
    <xf numFmtId="0" fontId="5" fillId="31" borderId="9" xfId="0" applyFont="1" applyFill="1" applyBorder="1" applyAlignment="1">
      <alignment horizontal="center" vertical="center" wrapText="1"/>
    </xf>
    <xf numFmtId="0" fontId="5" fillId="0" borderId="9" xfId="0" applyFont="1" applyBorder="1" applyAlignment="1" applyProtection="1">
      <alignment horizontal="left" vertical="center" wrapText="1"/>
      <protection locked="0"/>
    </xf>
    <xf numFmtId="0" fontId="5" fillId="0" borderId="9" xfId="0" applyFont="1" applyBorder="1" applyAlignment="1" applyProtection="1">
      <alignment horizontal="center" vertical="center" wrapText="1"/>
      <protection locked="0"/>
    </xf>
    <xf numFmtId="0" fontId="5" fillId="26" borderId="39" xfId="0" applyFont="1" applyFill="1" applyBorder="1" applyAlignment="1" applyProtection="1">
      <alignment horizontal="left" vertical="center" wrapText="1"/>
      <protection locked="0"/>
    </xf>
    <xf numFmtId="0" fontId="8" fillId="6" borderId="43" xfId="0" applyFont="1" applyFill="1" applyBorder="1" applyAlignment="1">
      <alignment horizontal="center" vertical="center" wrapText="1"/>
    </xf>
    <xf numFmtId="0" fontId="8" fillId="6" borderId="44" xfId="0" applyFont="1" applyFill="1" applyBorder="1" applyAlignment="1">
      <alignment horizontal="center" vertical="center" wrapText="1"/>
    </xf>
    <xf numFmtId="0" fontId="8" fillId="6" borderId="45" xfId="0" applyFont="1" applyFill="1" applyBorder="1" applyAlignment="1">
      <alignment horizontal="center" vertical="center" wrapText="1"/>
    </xf>
    <xf numFmtId="0" fontId="7" fillId="29" borderId="17" xfId="0" applyFont="1" applyFill="1" applyBorder="1" applyAlignment="1">
      <alignment horizontal="center" vertical="center" wrapText="1"/>
    </xf>
    <xf numFmtId="0" fontId="0" fillId="26" borderId="17" xfId="0" applyFill="1" applyBorder="1"/>
    <xf numFmtId="0" fontId="7" fillId="29" borderId="17" xfId="0" quotePrefix="1" applyFont="1" applyFill="1" applyBorder="1" applyAlignment="1">
      <alignment horizontal="center" vertical="center" wrapText="1"/>
    </xf>
    <xf numFmtId="0" fontId="5" fillId="0" borderId="17" xfId="0" applyFont="1" applyBorder="1" applyAlignment="1">
      <alignment horizontal="left" vertical="center" wrapText="1"/>
    </xf>
    <xf numFmtId="0" fontId="5" fillId="0" borderId="17" xfId="0" applyFont="1" applyBorder="1" applyAlignment="1">
      <alignment horizontal="center" vertical="center" wrapText="1"/>
    </xf>
    <xf numFmtId="0" fontId="5" fillId="26" borderId="17" xfId="0" applyFont="1" applyFill="1" applyBorder="1" applyAlignment="1">
      <alignment horizontal="left" vertical="center" wrapText="1"/>
    </xf>
    <xf numFmtId="165" fontId="5" fillId="0" borderId="17" xfId="0" applyNumberFormat="1" applyFont="1" applyBorder="1" applyAlignment="1">
      <alignment horizontal="center" vertical="center" wrapText="1"/>
    </xf>
    <xf numFmtId="0" fontId="56" fillId="26" borderId="17" xfId="0" applyFont="1" applyFill="1" applyBorder="1" applyAlignment="1">
      <alignment horizontal="left" vertical="center" wrapText="1"/>
    </xf>
    <xf numFmtId="0" fontId="3" fillId="25" borderId="19" xfId="0" applyFont="1" applyFill="1" applyBorder="1" applyAlignment="1">
      <alignment horizontal="center" vertical="center" wrapText="1"/>
    </xf>
    <xf numFmtId="0" fontId="48" fillId="31" borderId="42" xfId="0" applyFont="1" applyFill="1" applyBorder="1" applyAlignment="1">
      <alignment horizontal="center" vertical="center" wrapText="1"/>
    </xf>
    <xf numFmtId="0" fontId="22" fillId="6" borderId="43" xfId="0" applyFont="1" applyFill="1" applyBorder="1" applyAlignment="1">
      <alignment horizontal="center" vertical="center" wrapText="1"/>
    </xf>
    <xf numFmtId="0" fontId="22" fillId="6" borderId="44" xfId="0" applyFont="1" applyFill="1" applyBorder="1" applyAlignment="1">
      <alignment horizontal="center" vertical="center" wrapText="1"/>
    </xf>
    <xf numFmtId="0" fontId="22" fillId="5" borderId="44" xfId="0" applyFont="1" applyFill="1" applyBorder="1" applyAlignment="1">
      <alignment horizontal="center" vertical="center" wrapText="1"/>
    </xf>
    <xf numFmtId="0" fontId="22" fillId="15" borderId="44" xfId="0" applyFont="1" applyFill="1" applyBorder="1" applyAlignment="1">
      <alignment horizontal="center" vertical="center" wrapText="1"/>
    </xf>
    <xf numFmtId="0" fontId="22" fillId="15" borderId="45" xfId="0" applyFont="1" applyFill="1" applyBorder="1" applyAlignment="1">
      <alignment horizontal="center" vertical="center" wrapText="1"/>
    </xf>
    <xf numFmtId="0" fontId="22" fillId="34" borderId="2" xfId="0" applyFont="1" applyFill="1" applyBorder="1" applyAlignment="1">
      <alignment horizontal="center" vertical="center" wrapText="1"/>
    </xf>
    <xf numFmtId="0" fontId="18" fillId="34" borderId="0" xfId="0" applyFont="1" applyFill="1" applyAlignment="1">
      <alignment horizontal="center" wrapText="1"/>
    </xf>
    <xf numFmtId="164" fontId="0" fillId="0" borderId="0" xfId="0" applyNumberFormat="1" applyAlignment="1">
      <alignment wrapText="1"/>
    </xf>
    <xf numFmtId="164" fontId="0" fillId="0" borderId="0" xfId="0" applyNumberFormat="1"/>
    <xf numFmtId="1" fontId="0" fillId="0" borderId="0" xfId="0" applyNumberFormat="1" applyAlignment="1">
      <alignment wrapText="1"/>
    </xf>
    <xf numFmtId="1" fontId="0" fillId="0" borderId="0" xfId="0" applyNumberFormat="1"/>
    <xf numFmtId="0" fontId="4" fillId="0" borderId="15" xfId="0" applyFont="1" applyBorder="1" applyAlignment="1">
      <alignment horizontal="center" vertical="center" wrapText="1"/>
    </xf>
    <xf numFmtId="0" fontId="21" fillId="2" borderId="1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15" fillId="6" borderId="25" xfId="0" applyFont="1" applyFill="1" applyBorder="1" applyAlignment="1">
      <alignment horizontal="center" vertical="center" wrapText="1"/>
    </xf>
    <xf numFmtId="0" fontId="15" fillId="6" borderId="37" xfId="0" applyFont="1" applyFill="1" applyBorder="1" applyAlignment="1">
      <alignment horizontal="center" vertical="center" wrapText="1"/>
    </xf>
    <xf numFmtId="0" fontId="4" fillId="0" borderId="38" xfId="0" applyFont="1" applyBorder="1" applyAlignment="1">
      <alignment horizontal="center" vertical="center" wrapText="1"/>
    </xf>
    <xf numFmtId="0" fontId="20" fillId="2" borderId="9" xfId="0" applyFont="1" applyFill="1" applyBorder="1" applyAlignment="1">
      <alignment horizontal="center" vertical="center" wrapText="1"/>
    </xf>
    <xf numFmtId="0" fontId="4" fillId="0" borderId="9" xfId="0" applyFont="1" applyBorder="1" applyAlignment="1" applyProtection="1">
      <alignment horizontal="left" vertical="center" wrapText="1"/>
      <protection locked="0"/>
    </xf>
    <xf numFmtId="0" fontId="4" fillId="30"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21" fillId="2" borderId="9" xfId="0" applyFont="1" applyFill="1" applyBorder="1" applyAlignment="1">
      <alignment horizontal="center" vertical="center" wrapText="1"/>
    </xf>
    <xf numFmtId="0" fontId="21" fillId="2" borderId="39" xfId="0" applyFont="1" applyFill="1" applyBorder="1" applyAlignment="1">
      <alignment horizontal="center" vertical="center" wrapText="1"/>
    </xf>
    <xf numFmtId="0" fontId="0" fillId="0" borderId="19" xfId="0" applyBorder="1" applyAlignment="1">
      <alignment vertical="top"/>
    </xf>
    <xf numFmtId="0" fontId="0" fillId="0" borderId="42" xfId="0" applyBorder="1" applyAlignment="1" applyProtection="1">
      <alignment vertical="top"/>
      <protection locked="0"/>
    </xf>
    <xf numFmtId="0" fontId="0" fillId="0" borderId="42" xfId="0" applyBorder="1" applyProtection="1">
      <protection locked="0"/>
    </xf>
    <xf numFmtId="0" fontId="44" fillId="24" borderId="43" xfId="0" applyFont="1" applyFill="1" applyBorder="1" applyAlignment="1">
      <alignment wrapText="1"/>
    </xf>
    <xf numFmtId="0" fontId="44" fillId="24" borderId="44" xfId="0" applyFont="1" applyFill="1" applyBorder="1" applyAlignment="1">
      <alignment wrapText="1"/>
    </xf>
    <xf numFmtId="0" fontId="44" fillId="24" borderId="45" xfId="0" applyFont="1" applyFill="1" applyBorder="1" applyAlignment="1">
      <alignment wrapText="1"/>
    </xf>
    <xf numFmtId="0" fontId="0" fillId="0" borderId="47" xfId="0" applyBorder="1" applyAlignment="1">
      <alignment vertical="top"/>
    </xf>
    <xf numFmtId="0" fontId="0" fillId="26" borderId="17" xfId="0" applyFill="1" applyBorder="1" applyProtection="1">
      <protection locked="0"/>
    </xf>
    <xf numFmtId="0" fontId="0" fillId="25" borderId="17" xfId="0" applyFill="1" applyBorder="1" applyAlignment="1">
      <alignment wrapText="1"/>
    </xf>
    <xf numFmtId="0" fontId="0" fillId="0" borderId="17" xfId="0" applyBorder="1" applyProtection="1">
      <protection locked="0"/>
    </xf>
    <xf numFmtId="166" fontId="0" fillId="25" borderId="17" xfId="0" applyNumberFormat="1" applyFill="1" applyBorder="1" applyAlignment="1">
      <alignment vertical="top"/>
    </xf>
    <xf numFmtId="0" fontId="0" fillId="0" borderId="46" xfId="0" applyBorder="1" applyProtection="1">
      <protection locked="0"/>
    </xf>
    <xf numFmtId="0" fontId="4" fillId="32" borderId="15" xfId="0" applyFont="1" applyFill="1" applyBorder="1" applyAlignment="1">
      <alignment horizontal="center" vertical="center" wrapText="1"/>
    </xf>
    <xf numFmtId="0" fontId="4" fillId="0" borderId="10" xfId="0" applyFont="1" applyBorder="1" applyAlignment="1" applyProtection="1">
      <alignment horizontal="left" vertical="center" wrapText="1"/>
      <protection locked="0"/>
    </xf>
    <xf numFmtId="0" fontId="22" fillId="6" borderId="36" xfId="0" applyFont="1" applyFill="1" applyBorder="1" applyAlignment="1">
      <alignment horizontal="center" vertical="center" wrapText="1"/>
    </xf>
    <xf numFmtId="0" fontId="22" fillId="6" borderId="25" xfId="0" applyFont="1" applyFill="1" applyBorder="1" applyAlignment="1">
      <alignment horizontal="center" vertical="center" wrapText="1"/>
    </xf>
    <xf numFmtId="0" fontId="22" fillId="6" borderId="25" xfId="0" applyFont="1" applyFill="1" applyBorder="1" applyAlignment="1">
      <alignment horizontal="center" vertical="center"/>
    </xf>
    <xf numFmtId="0" fontId="22" fillId="6" borderId="37" xfId="0" applyFont="1" applyFill="1" applyBorder="1" applyAlignment="1">
      <alignment horizontal="center" vertical="center" wrapText="1"/>
    </xf>
    <xf numFmtId="0" fontId="4" fillId="32" borderId="38" xfId="0" applyFont="1" applyFill="1" applyBorder="1" applyAlignment="1">
      <alignment horizontal="center" vertical="center" wrapText="1"/>
    </xf>
    <xf numFmtId="0" fontId="20" fillId="31" borderId="9" xfId="0" applyFont="1" applyFill="1" applyBorder="1" applyAlignment="1">
      <alignment horizontal="center" vertical="center" wrapText="1"/>
    </xf>
    <xf numFmtId="0" fontId="4" fillId="26" borderId="9" xfId="0" applyFont="1" applyFill="1" applyBorder="1" applyAlignment="1" applyProtection="1">
      <alignment horizontal="center" vertical="center" wrapText="1"/>
      <protection locked="0"/>
    </xf>
    <xf numFmtId="0" fontId="4" fillId="31" borderId="9" xfId="0" applyFont="1" applyFill="1" applyBorder="1" applyAlignment="1">
      <alignment horizontal="left" vertical="center" wrapText="1"/>
    </xf>
    <xf numFmtId="0" fontId="4" fillId="27" borderId="9" xfId="0" applyFont="1" applyFill="1" applyBorder="1" applyAlignment="1" applyProtection="1">
      <alignment horizontal="center" vertical="center" wrapText="1"/>
      <protection locked="0"/>
    </xf>
    <xf numFmtId="0" fontId="4" fillId="28"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left" vertical="center"/>
      <protection locked="0"/>
    </xf>
    <xf numFmtId="0" fontId="4" fillId="0" borderId="39" xfId="0" applyFont="1" applyBorder="1" applyAlignment="1" applyProtection="1">
      <alignment horizontal="left" vertical="center" wrapText="1"/>
      <protection locked="0"/>
    </xf>
    <xf numFmtId="0" fontId="30" fillId="24" borderId="42" xfId="0" applyFont="1" applyFill="1" applyBorder="1"/>
    <xf numFmtId="0" fontId="0" fillId="25" borderId="17" xfId="0" applyFill="1" applyBorder="1"/>
    <xf numFmtId="0" fontId="18" fillId="37" borderId="0" xfId="0" applyFont="1" applyFill="1" applyAlignment="1">
      <alignment wrapText="1"/>
    </xf>
    <xf numFmtId="0" fontId="4" fillId="0" borderId="2" xfId="0" quotePrefix="1" applyFont="1" applyBorder="1" applyAlignment="1">
      <alignment horizontal="left" vertical="center" wrapText="1"/>
    </xf>
    <xf numFmtId="164" fontId="5" fillId="0" borderId="2" xfId="0" applyNumberFormat="1" applyFont="1" applyBorder="1" applyAlignment="1">
      <alignment horizontal="center" vertical="center" wrapText="1"/>
    </xf>
    <xf numFmtId="0" fontId="22" fillId="38" borderId="2" xfId="0" applyFont="1" applyFill="1" applyBorder="1" applyAlignment="1">
      <alignment horizontal="center" vertical="center" wrapText="1"/>
    </xf>
    <xf numFmtId="0" fontId="60" fillId="38" borderId="2" xfId="0" applyFont="1" applyFill="1" applyBorder="1" applyAlignment="1">
      <alignment horizontal="center" vertical="center" wrapText="1"/>
    </xf>
    <xf numFmtId="0" fontId="4" fillId="38" borderId="2" xfId="0" applyFont="1" applyFill="1" applyBorder="1" applyAlignment="1">
      <alignment horizontal="left" vertical="center" wrapText="1"/>
    </xf>
    <xf numFmtId="0" fontId="19" fillId="14" borderId="4" xfId="0" applyFont="1" applyFill="1" applyBorder="1" applyAlignment="1">
      <alignment wrapText="1"/>
    </xf>
    <xf numFmtId="0" fontId="19" fillId="13" borderId="4" xfId="0" applyFont="1" applyFill="1" applyBorder="1" applyAlignment="1">
      <alignment wrapText="1"/>
    </xf>
    <xf numFmtId="164" fontId="5" fillId="0" borderId="2" xfId="0" applyNumberFormat="1" applyFont="1" applyBorder="1" applyAlignment="1">
      <alignment vertical="center" wrapText="1"/>
    </xf>
    <xf numFmtId="164" fontId="5" fillId="8" borderId="2" xfId="0" applyNumberFormat="1" applyFont="1" applyFill="1" applyBorder="1" applyAlignment="1">
      <alignment vertical="center" wrapText="1"/>
    </xf>
    <xf numFmtId="164" fontId="4" fillId="9" borderId="2" xfId="0" applyNumberFormat="1" applyFont="1" applyFill="1" applyBorder="1" applyAlignment="1">
      <alignment horizontal="left" vertical="center" wrapText="1"/>
    </xf>
    <xf numFmtId="164" fontId="3" fillId="0" borderId="1" xfId="0" applyNumberFormat="1" applyFont="1" applyBorder="1" applyAlignment="1" applyProtection="1">
      <alignment horizontal="left" vertical="center" wrapText="1"/>
      <protection locked="0"/>
    </xf>
    <xf numFmtId="0" fontId="0" fillId="31" borderId="39" xfId="0" applyFill="1" applyBorder="1" applyAlignment="1">
      <alignment horizontal="center" vertical="center" wrapText="1"/>
    </xf>
    <xf numFmtId="0" fontId="0" fillId="0" borderId="2" xfId="0" applyBorder="1" applyAlignment="1">
      <alignment horizontal="center" vertical="center" wrapText="1"/>
    </xf>
    <xf numFmtId="0" fontId="4" fillId="35" borderId="2" xfId="0" applyFont="1" applyFill="1" applyBorder="1" applyAlignment="1">
      <alignment horizontal="center" vertical="center" wrapText="1"/>
    </xf>
    <xf numFmtId="0" fontId="4" fillId="35" borderId="9" xfId="0" applyFont="1" applyFill="1" applyBorder="1" applyAlignment="1">
      <alignment horizontal="center" vertical="center" wrapText="1"/>
    </xf>
    <xf numFmtId="0" fontId="0" fillId="35" borderId="1" xfId="0" applyFill="1" applyBorder="1"/>
    <xf numFmtId="0" fontId="3" fillId="40" borderId="1" xfId="0" applyFont="1" applyFill="1" applyBorder="1" applyAlignment="1">
      <alignment horizontal="center" vertical="center" wrapText="1"/>
    </xf>
    <xf numFmtId="0" fontId="3" fillId="40" borderId="1" xfId="0" applyFont="1" applyFill="1" applyBorder="1" applyAlignment="1">
      <alignment horizontal="center" vertical="center"/>
    </xf>
    <xf numFmtId="0" fontId="49" fillId="41" borderId="1" xfId="0" applyFont="1" applyFill="1" applyBorder="1" applyAlignment="1" applyProtection="1">
      <alignment vertical="center" wrapText="1"/>
      <protection locked="0"/>
    </xf>
    <xf numFmtId="0" fontId="3" fillId="40" borderId="1" xfId="0" applyFont="1" applyFill="1" applyBorder="1" applyAlignment="1" applyProtection="1">
      <alignment horizontal="left" vertical="center" wrapText="1"/>
      <protection locked="0"/>
    </xf>
    <xf numFmtId="0" fontId="3" fillId="40" borderId="1" xfId="0" applyFont="1" applyFill="1" applyBorder="1" applyAlignment="1" applyProtection="1">
      <alignment horizontal="center" vertical="center" wrapText="1"/>
      <protection locked="0"/>
    </xf>
    <xf numFmtId="165" fontId="4" fillId="0" borderId="39" xfId="0" applyNumberFormat="1" applyFont="1" applyBorder="1" applyAlignment="1">
      <alignment horizontal="center" vertical="center" wrapText="1"/>
    </xf>
    <xf numFmtId="0" fontId="5" fillId="35" borderId="19" xfId="0" applyFont="1" applyFill="1" applyBorder="1" applyAlignment="1">
      <alignment horizontal="center" vertical="center" wrapText="1"/>
    </xf>
    <xf numFmtId="0" fontId="7" fillId="35" borderId="17" xfId="0" applyFont="1" applyFill="1" applyBorder="1" applyAlignment="1">
      <alignment horizontal="center" vertical="center" wrapText="1"/>
    </xf>
    <xf numFmtId="0" fontId="7" fillId="35" borderId="1" xfId="0" applyFont="1" applyFill="1" applyBorder="1" applyAlignment="1">
      <alignment horizontal="center" vertical="center" wrapText="1"/>
    </xf>
    <xf numFmtId="165" fontId="5" fillId="35" borderId="1" xfId="0" applyNumberFormat="1" applyFont="1" applyFill="1" applyBorder="1" applyAlignment="1">
      <alignment horizontal="center" vertical="center" wrapText="1"/>
    </xf>
    <xf numFmtId="0" fontId="5" fillId="35" borderId="1" xfId="0" applyFont="1" applyFill="1" applyBorder="1" applyAlignment="1">
      <alignment horizontal="center" vertical="center" wrapText="1"/>
    </xf>
    <xf numFmtId="165" fontId="5" fillId="35" borderId="17" xfId="0" applyNumberFormat="1" applyFont="1" applyFill="1" applyBorder="1" applyAlignment="1">
      <alignment horizontal="center" vertical="center" wrapText="1"/>
    </xf>
    <xf numFmtId="0" fontId="5" fillId="35" borderId="17" xfId="0" applyFont="1" applyFill="1" applyBorder="1" applyAlignment="1">
      <alignment horizontal="center" vertical="center" wrapText="1"/>
    </xf>
    <xf numFmtId="0" fontId="5" fillId="35" borderId="42" xfId="0" applyFont="1" applyFill="1" applyBorder="1" applyAlignment="1">
      <alignment horizontal="center" vertical="center" wrapText="1"/>
    </xf>
    <xf numFmtId="0" fontId="5" fillId="35" borderId="46" xfId="0" applyFont="1" applyFill="1" applyBorder="1" applyAlignment="1">
      <alignment horizontal="center" vertical="center" wrapText="1"/>
    </xf>
    <xf numFmtId="0" fontId="5" fillId="35" borderId="15" xfId="0" applyFont="1" applyFill="1" applyBorder="1" applyAlignment="1">
      <alignment horizontal="center" vertical="center" wrapText="1"/>
    </xf>
    <xf numFmtId="0" fontId="24" fillId="35" borderId="2" xfId="0" applyFont="1" applyFill="1" applyBorder="1" applyAlignment="1">
      <alignment horizontal="center" vertical="center" wrapText="1"/>
    </xf>
    <xf numFmtId="0" fontId="5" fillId="35" borderId="2" xfId="0" applyFont="1" applyFill="1" applyBorder="1" applyAlignment="1">
      <alignment horizontal="left" vertical="center" wrapText="1"/>
    </xf>
    <xf numFmtId="0" fontId="5" fillId="35" borderId="2" xfId="0" applyFont="1" applyFill="1" applyBorder="1" applyAlignment="1">
      <alignment horizontal="center" vertical="center" wrapText="1"/>
    </xf>
    <xf numFmtId="165" fontId="5" fillId="35" borderId="2" xfId="0" applyNumberFormat="1" applyFont="1" applyFill="1" applyBorder="1" applyAlignment="1">
      <alignment horizontal="center" vertical="center" wrapText="1"/>
    </xf>
    <xf numFmtId="0" fontId="5" fillId="35" borderId="2" xfId="0" applyFont="1" applyFill="1" applyBorder="1" applyAlignment="1" applyProtection="1">
      <alignment horizontal="left" vertical="center" wrapText="1"/>
      <protection locked="0"/>
    </xf>
    <xf numFmtId="0" fontId="5" fillId="4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1"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0" fontId="4" fillId="2" borderId="2" xfId="0" applyFont="1" applyFill="1" applyBorder="1" applyAlignment="1" applyProtection="1">
      <alignment horizontal="left" vertical="center" wrapText="1"/>
      <protection locked="0"/>
    </xf>
    <xf numFmtId="1" fontId="0" fillId="2" borderId="0" xfId="0" applyNumberFormat="1" applyFill="1"/>
    <xf numFmtId="0" fontId="0" fillId="40" borderId="0" xfId="0" applyFill="1"/>
    <xf numFmtId="0" fontId="13" fillId="43" borderId="2" xfId="0" applyFont="1" applyFill="1" applyBorder="1" applyAlignment="1" applyProtection="1">
      <alignment horizontal="center" vertical="center"/>
      <protection locked="0"/>
    </xf>
    <xf numFmtId="164" fontId="13" fillId="43" borderId="2" xfId="0" applyNumberFormat="1" applyFont="1" applyFill="1" applyBorder="1" applyAlignment="1" applyProtection="1">
      <alignment horizontal="center" vertical="center"/>
      <protection locked="0"/>
    </xf>
    <xf numFmtId="0" fontId="13" fillId="44" borderId="2" xfId="0" applyFont="1" applyFill="1" applyBorder="1" applyAlignment="1" applyProtection="1">
      <alignment horizontal="center" vertical="center"/>
      <protection locked="0"/>
    </xf>
    <xf numFmtId="0" fontId="12" fillId="46" borderId="2" xfId="0" applyFont="1" applyFill="1" applyBorder="1" applyAlignment="1">
      <alignment horizontal="center" vertical="center" wrapText="1"/>
    </xf>
    <xf numFmtId="0" fontId="62" fillId="45" borderId="0" xfId="0" applyFont="1" applyFill="1" applyAlignment="1">
      <alignment vertical="center" wrapText="1"/>
    </xf>
    <xf numFmtId="0" fontId="18" fillId="45" borderId="0" xfId="0" applyFont="1" applyFill="1" applyAlignment="1">
      <alignment vertical="center" wrapText="1"/>
    </xf>
    <xf numFmtId="0" fontId="0" fillId="35" borderId="2" xfId="0" applyFill="1" applyBorder="1" applyAlignment="1" applyProtection="1">
      <alignment horizontal="center" vertical="center" wrapText="1"/>
      <protection locked="0"/>
    </xf>
    <xf numFmtId="164" fontId="0" fillId="35" borderId="2" xfId="0" applyNumberFormat="1" applyFill="1" applyBorder="1" applyAlignment="1" applyProtection="1">
      <alignment horizontal="center" vertical="center" wrapText="1"/>
      <protection locked="0"/>
    </xf>
    <xf numFmtId="0" fontId="0" fillId="35" borderId="2" xfId="0" applyFill="1" applyBorder="1" applyAlignment="1">
      <alignment horizontal="center" vertical="center" wrapText="1"/>
    </xf>
    <xf numFmtId="0" fontId="0" fillId="0" borderId="2" xfId="0" applyBorder="1" applyProtection="1">
      <protection locked="0"/>
    </xf>
    <xf numFmtId="164" fontId="0" fillId="0" borderId="2" xfId="0" applyNumberFormat="1" applyBorder="1" applyProtection="1">
      <protection locked="0"/>
    </xf>
    <xf numFmtId="0" fontId="0" fillId="0" borderId="2" xfId="0" applyBorder="1"/>
    <xf numFmtId="0" fontId="0" fillId="0" borderId="5" xfId="0" applyBorder="1" applyAlignment="1" applyProtection="1">
      <alignment wrapText="1"/>
      <protection locked="0"/>
    </xf>
    <xf numFmtId="0" fontId="0" fillId="0" borderId="4" xfId="0" applyBorder="1" applyProtection="1">
      <protection locked="0"/>
    </xf>
    <xf numFmtId="164" fontId="0" fillId="0" borderId="6" xfId="0" applyNumberFormat="1" applyBorder="1" applyAlignment="1" applyProtection="1">
      <alignment wrapText="1"/>
      <protection locked="0"/>
    </xf>
    <xf numFmtId="164" fontId="0" fillId="0" borderId="8" xfId="0" applyNumberFormat="1" applyBorder="1" applyAlignment="1" applyProtection="1">
      <alignment wrapText="1"/>
      <protection locked="0"/>
    </xf>
    <xf numFmtId="164" fontId="0" fillId="44" borderId="8" xfId="0" applyNumberFormat="1" applyFill="1" applyBorder="1" applyAlignment="1">
      <alignment wrapText="1"/>
    </xf>
    <xf numFmtId="0" fontId="42" fillId="0" borderId="5" xfId="1" applyBorder="1" applyAlignment="1" applyProtection="1">
      <alignment wrapText="1"/>
      <protection locked="0"/>
    </xf>
    <xf numFmtId="0" fontId="0" fillId="35" borderId="1" xfId="0" applyFill="1" applyBorder="1" applyAlignment="1" applyProtection="1">
      <alignment vertical="top" wrapText="1"/>
      <protection locked="0"/>
    </xf>
    <xf numFmtId="0" fontId="0" fillId="35" borderId="0" xfId="0" applyFill="1" applyAlignment="1" applyProtection="1">
      <alignment vertical="top" wrapText="1"/>
      <protection locked="0"/>
    </xf>
    <xf numFmtId="0" fontId="0" fillId="35" borderId="0" xfId="0" quotePrefix="1" applyFill="1" applyAlignment="1" applyProtection="1">
      <alignment vertical="top" wrapText="1"/>
      <protection locked="0"/>
    </xf>
    <xf numFmtId="0" fontId="63" fillId="0" borderId="2" xfId="0" applyFont="1" applyBorder="1" applyAlignment="1" applyProtection="1">
      <alignment horizontal="left" vertical="center" wrapText="1"/>
      <protection locked="0"/>
    </xf>
    <xf numFmtId="0" fontId="9" fillId="6" borderId="0" xfId="0" applyFont="1" applyFill="1" applyAlignment="1">
      <alignment horizontal="left" vertical="center" wrapText="1"/>
    </xf>
    <xf numFmtId="0" fontId="0" fillId="0" borderId="0" xfId="0"/>
    <xf numFmtId="0" fontId="10" fillId="3" borderId="0" xfId="0" applyFont="1" applyFill="1" applyAlignment="1">
      <alignment horizontal="left" vertical="center" wrapText="1"/>
    </xf>
    <xf numFmtId="0" fontId="9" fillId="6" borderId="0" xfId="0" applyFont="1" applyFill="1" applyAlignment="1">
      <alignment horizontal="center" vertical="center" wrapText="1"/>
    </xf>
    <xf numFmtId="0" fontId="10" fillId="3" borderId="0" xfId="0" applyFont="1" applyFill="1" applyAlignment="1">
      <alignment horizontal="center" vertical="center" wrapText="1"/>
    </xf>
    <xf numFmtId="0" fontId="9" fillId="6" borderId="0" xfId="0" applyFont="1" applyFill="1" applyAlignment="1" applyProtection="1">
      <alignment horizontal="center" vertical="center" wrapText="1"/>
      <protection locked="0"/>
    </xf>
    <xf numFmtId="0" fontId="0" fillId="0" borderId="0" xfId="0" applyProtection="1">
      <protection locked="0"/>
    </xf>
    <xf numFmtId="0" fontId="10" fillId="3" borderId="0" xfId="0" applyFont="1" applyFill="1" applyAlignment="1" applyProtection="1">
      <alignment horizontal="center" vertical="center" wrapText="1"/>
      <protection locked="0"/>
    </xf>
    <xf numFmtId="0" fontId="18" fillId="37" borderId="0" xfId="0" applyFont="1" applyFill="1"/>
    <xf numFmtId="0" fontId="18" fillId="12" borderId="3" xfId="0" applyFont="1" applyFill="1" applyBorder="1"/>
    <xf numFmtId="0" fontId="0" fillId="0" borderId="20" xfId="0" applyBorder="1"/>
    <xf numFmtId="0" fontId="0" fillId="0" borderId="21" xfId="0" applyBorder="1"/>
    <xf numFmtId="0" fontId="0" fillId="0" borderId="5" xfId="0" applyBorder="1" applyAlignment="1" applyProtection="1">
      <alignment wrapText="1"/>
      <protection locked="0"/>
    </xf>
    <xf numFmtId="0" fontId="0" fillId="0" borderId="22" xfId="0" applyBorder="1" applyProtection="1">
      <protection locked="0"/>
    </xf>
    <xf numFmtId="0" fontId="0" fillId="0" borderId="23" xfId="0" applyBorder="1" applyProtection="1">
      <protection locked="0"/>
    </xf>
    <xf numFmtId="0" fontId="18" fillId="12" borderId="4" xfId="0" applyFont="1" applyFill="1" applyBorder="1"/>
    <xf numFmtId="0" fontId="0" fillId="0" borderId="22" xfId="0" applyBorder="1"/>
    <xf numFmtId="0" fontId="0" fillId="0" borderId="24" xfId="0" applyBorder="1"/>
    <xf numFmtId="0" fontId="16" fillId="10" borderId="0" xfId="0" applyFont="1" applyFill="1" applyAlignment="1">
      <alignment horizontal="center"/>
    </xf>
    <xf numFmtId="0" fontId="0" fillId="0" borderId="0" xfId="0" applyAlignment="1">
      <alignment wrapText="1"/>
    </xf>
    <xf numFmtId="0" fontId="17" fillId="11" borderId="0" xfId="0" applyFont="1" applyFill="1" applyAlignment="1">
      <alignment horizontal="center"/>
    </xf>
    <xf numFmtId="0" fontId="0" fillId="0" borderId="50" xfId="0" applyBorder="1" applyAlignment="1" applyProtection="1">
      <alignment horizontal="left" wrapText="1"/>
      <protection locked="0"/>
    </xf>
    <xf numFmtId="0" fontId="0" fillId="0" borderId="0" xfId="0" applyAlignment="1" applyProtection="1">
      <alignment horizontal="left" wrapText="1"/>
      <protection locked="0"/>
    </xf>
    <xf numFmtId="0" fontId="18" fillId="12" borderId="4" xfId="0" applyFont="1" applyFill="1" applyBorder="1" applyAlignment="1">
      <alignment wrapText="1"/>
    </xf>
    <xf numFmtId="0" fontId="0" fillId="0" borderId="22" xfId="0" applyBorder="1" applyAlignment="1">
      <alignment wrapText="1"/>
    </xf>
    <xf numFmtId="0" fontId="19" fillId="14" borderId="48" xfId="0" applyFont="1" applyFill="1" applyBorder="1" applyAlignment="1">
      <alignment horizontal="left" wrapText="1"/>
    </xf>
    <xf numFmtId="0" fontId="19" fillId="14" borderId="49" xfId="0" applyFont="1" applyFill="1" applyBorder="1" applyAlignment="1">
      <alignment horizontal="left" wrapText="1"/>
    </xf>
    <xf numFmtId="0" fontId="15" fillId="5" borderId="2" xfId="0" applyFont="1" applyFill="1" applyBorder="1" applyAlignment="1">
      <alignment horizontal="center" vertical="center" wrapText="1"/>
    </xf>
    <xf numFmtId="0" fontId="0" fillId="0" borderId="14" xfId="0" applyBorder="1"/>
    <xf numFmtId="0" fontId="15" fillId="15" borderId="10"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50" fillId="24" borderId="1" xfId="0" applyFont="1" applyFill="1" applyBorder="1" applyAlignment="1">
      <alignment horizontal="center"/>
    </xf>
    <xf numFmtId="0" fontId="0" fillId="0" borderId="19" xfId="0" applyBorder="1"/>
    <xf numFmtId="0" fontId="3" fillId="31" borderId="9" xfId="0" applyFont="1" applyFill="1" applyBorder="1" applyAlignment="1">
      <alignment horizontal="center" vertical="center" wrapText="1"/>
    </xf>
    <xf numFmtId="0" fontId="3" fillId="31" borderId="16" xfId="0" applyFont="1" applyFill="1" applyBorder="1" applyAlignment="1">
      <alignment horizontal="center" vertical="center" wrapText="1"/>
    </xf>
    <xf numFmtId="0" fontId="3" fillId="31" borderId="25"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0" fillId="0" borderId="25" xfId="0" applyBorder="1"/>
    <xf numFmtId="0" fontId="21" fillId="0" borderId="2" xfId="0" applyFont="1" applyBorder="1" applyAlignment="1">
      <alignment horizontal="center" vertical="center" wrapText="1"/>
    </xf>
    <xf numFmtId="0" fontId="0" fillId="0" borderId="16" xfId="0" applyBorder="1"/>
    <xf numFmtId="0" fontId="21" fillId="31" borderId="2" xfId="0" applyFont="1" applyFill="1" applyBorder="1" applyAlignment="1">
      <alignment horizontal="center" vertical="center" wrapText="1"/>
    </xf>
    <xf numFmtId="0" fontId="0" fillId="25" borderId="16" xfId="0" applyFill="1" applyBorder="1"/>
    <xf numFmtId="0" fontId="4" fillId="31" borderId="2" xfId="0" applyFont="1" applyFill="1" applyBorder="1" applyAlignment="1">
      <alignment horizontal="center" vertical="center" wrapText="1"/>
    </xf>
    <xf numFmtId="0" fontId="4" fillId="30" borderId="2" xfId="0" applyFont="1" applyFill="1" applyBorder="1" applyAlignment="1" applyProtection="1">
      <alignment horizontal="center" vertical="center" wrapText="1"/>
      <protection locked="0"/>
    </xf>
    <xf numFmtId="0" fontId="0" fillId="26" borderId="16" xfId="0" applyFill="1" applyBorder="1" applyProtection="1">
      <protection locked="0"/>
    </xf>
    <xf numFmtId="0" fontId="4" fillId="25" borderId="2" xfId="0" applyFont="1" applyFill="1" applyBorder="1" applyAlignment="1">
      <alignment horizontal="center" vertical="center" wrapText="1"/>
    </xf>
    <xf numFmtId="0" fontId="3" fillId="31" borderId="2" xfId="0" applyFont="1" applyFill="1" applyBorder="1" applyAlignment="1">
      <alignment horizontal="left" vertical="center" wrapText="1"/>
    </xf>
    <xf numFmtId="0" fontId="48" fillId="31" borderId="2" xfId="0" applyFont="1" applyFill="1" applyBorder="1" applyAlignment="1">
      <alignment horizontal="center" vertical="center" wrapText="1"/>
    </xf>
    <xf numFmtId="0" fontId="31" fillId="25" borderId="16" xfId="0" applyFont="1" applyFill="1" applyBorder="1"/>
    <xf numFmtId="165" fontId="4" fillId="31" borderId="2" xfId="0" applyNumberFormat="1" applyFont="1" applyFill="1" applyBorder="1" applyAlignment="1">
      <alignment horizontal="center" vertical="center" wrapText="1"/>
    </xf>
    <xf numFmtId="0" fontId="54" fillId="31" borderId="9" xfId="0" applyFont="1" applyFill="1" applyBorder="1" applyAlignment="1">
      <alignment horizontal="center" vertical="center" wrapText="1"/>
    </xf>
    <xf numFmtId="0" fontId="54" fillId="31" borderId="16" xfId="0" applyFont="1" applyFill="1" applyBorder="1" applyAlignment="1">
      <alignment horizontal="center" vertical="center" wrapText="1"/>
    </xf>
    <xf numFmtId="0" fontId="54" fillId="31" borderId="25" xfId="0" applyFont="1" applyFill="1" applyBorder="1" applyAlignment="1">
      <alignment horizontal="center" vertical="center" wrapText="1"/>
    </xf>
    <xf numFmtId="0" fontId="21" fillId="25" borderId="2" xfId="0" applyFont="1" applyFill="1" applyBorder="1" applyAlignment="1">
      <alignment horizontal="center" vertical="center" wrapText="1"/>
    </xf>
    <xf numFmtId="0" fontId="4" fillId="0" borderId="2" xfId="0" applyFont="1" applyBorder="1" applyAlignment="1" applyProtection="1">
      <alignment horizontal="center" vertical="center" wrapText="1"/>
      <protection locked="0"/>
    </xf>
    <xf numFmtId="0" fontId="0" fillId="0" borderId="16" xfId="0" applyBorder="1" applyProtection="1">
      <protection locked="0"/>
    </xf>
    <xf numFmtId="165" fontId="4" fillId="0" borderId="2" xfId="0" applyNumberFormat="1" applyFont="1" applyBorder="1" applyAlignment="1" applyProtection="1">
      <alignment horizontal="center" vertical="center" wrapText="1"/>
      <protection locked="0"/>
    </xf>
    <xf numFmtId="0" fontId="20" fillId="31"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22" fillId="3" borderId="10" xfId="0" applyFont="1" applyFill="1" applyBorder="1" applyAlignment="1">
      <alignment horizontal="center" vertical="center" wrapText="1"/>
    </xf>
    <xf numFmtId="0" fontId="22" fillId="3" borderId="14" xfId="0" applyFont="1" applyFill="1" applyBorder="1" applyAlignment="1">
      <alignment horizontal="center" vertical="center" wrapText="1"/>
    </xf>
    <xf numFmtId="0" fontId="22" fillId="3" borderId="15" xfId="0" applyFont="1" applyFill="1" applyBorder="1" applyAlignment="1">
      <alignment horizontal="center" vertical="center" wrapText="1"/>
    </xf>
    <xf numFmtId="0" fontId="4" fillId="0" borderId="2" xfId="0" applyFont="1" applyBorder="1" applyAlignment="1" applyProtection="1">
      <alignment horizontal="left" vertical="center" wrapText="1"/>
      <protection locked="0"/>
    </xf>
    <xf numFmtId="0" fontId="4" fillId="31" borderId="2" xfId="0" applyFont="1" applyFill="1" applyBorder="1" applyAlignment="1">
      <alignment horizontal="left" vertical="center" wrapText="1"/>
    </xf>
    <xf numFmtId="0" fontId="0" fillId="0" borderId="15" xfId="0" applyBorder="1"/>
    <xf numFmtId="0" fontId="22" fillId="15" borderId="2" xfId="0" applyFont="1" applyFill="1" applyBorder="1" applyAlignment="1">
      <alignment horizontal="center" vertical="center" wrapText="1"/>
    </xf>
    <xf numFmtId="0" fontId="10" fillId="3" borderId="0" xfId="0" applyFont="1" applyFill="1" applyAlignment="1" applyProtection="1">
      <alignment horizontal="left" vertical="center" wrapText="1"/>
      <protection locked="0"/>
    </xf>
    <xf numFmtId="0" fontId="9" fillId="6" borderId="0" xfId="0" applyFont="1" applyFill="1" applyAlignment="1" applyProtection="1">
      <alignment horizontal="left" vertical="center" wrapText="1"/>
      <protection locked="0"/>
    </xf>
    <xf numFmtId="0" fontId="15" fillId="3" borderId="10" xfId="0" applyFont="1" applyFill="1" applyBorder="1" applyAlignment="1">
      <alignment horizontal="center" vertical="center" wrapText="1"/>
    </xf>
    <xf numFmtId="0" fontId="15" fillId="3" borderId="14"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0" fillId="0" borderId="14" xfId="0" applyBorder="1" applyAlignment="1">
      <alignment horizontal="center"/>
    </xf>
    <xf numFmtId="0" fontId="57" fillId="34" borderId="0" xfId="0" applyFont="1" applyFill="1"/>
    <xf numFmtId="0" fontId="58" fillId="0" borderId="0" xfId="0" applyFont="1"/>
    <xf numFmtId="0" fontId="59" fillId="36" borderId="0" xfId="0" applyFont="1" applyFill="1" applyAlignment="1">
      <alignment wrapText="1"/>
    </xf>
    <xf numFmtId="0" fontId="15" fillId="15" borderId="9"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9" fillId="24" borderId="0" xfId="0" applyFont="1" applyFill="1" applyAlignment="1">
      <alignment horizontal="center" vertical="center" wrapText="1"/>
    </xf>
    <xf numFmtId="0" fontId="61" fillId="36" borderId="0" xfId="0" applyFont="1" applyFill="1" applyAlignment="1">
      <alignment horizontal="center" vertical="center" wrapText="1"/>
    </xf>
    <xf numFmtId="0" fontId="15" fillId="39" borderId="40" xfId="0" applyFont="1" applyFill="1" applyBorder="1" applyAlignment="1">
      <alignment vertical="center" wrapText="1"/>
    </xf>
    <xf numFmtId="0" fontId="15" fillId="39" borderId="0" xfId="0" applyFont="1" applyFill="1" applyAlignment="1">
      <alignment vertical="center" wrapText="1"/>
    </xf>
    <xf numFmtId="164" fontId="15" fillId="39" borderId="0" xfId="0" applyNumberFormat="1" applyFont="1" applyFill="1" applyAlignment="1">
      <alignment vertical="center" wrapText="1"/>
    </xf>
    <xf numFmtId="0" fontId="31" fillId="0" borderId="11" xfId="0" applyFont="1" applyBorder="1" applyAlignment="1">
      <alignment horizontal="left" vertical="center" wrapText="1" indent="1"/>
    </xf>
    <xf numFmtId="0" fontId="0" fillId="0" borderId="26" xfId="0" applyBorder="1"/>
    <xf numFmtId="0" fontId="0" fillId="0" borderId="27" xfId="0" applyBorder="1"/>
    <xf numFmtId="0" fontId="0" fillId="0" borderId="29" xfId="0" applyBorder="1"/>
    <xf numFmtId="0" fontId="0" fillId="0" borderId="31" xfId="0" applyBorder="1"/>
    <xf numFmtId="0" fontId="0" fillId="0" borderId="30" xfId="0" applyBorder="1"/>
    <xf numFmtId="0" fontId="30" fillId="16" borderId="11" xfId="0" applyFont="1" applyFill="1" applyBorder="1" applyAlignment="1">
      <alignment horizontal="center" vertical="center" wrapText="1"/>
    </xf>
    <xf numFmtId="0" fontId="27" fillId="0" borderId="0" xfId="0" applyFont="1" applyAlignment="1">
      <alignment horizontal="center" vertical="center"/>
    </xf>
    <xf numFmtId="0" fontId="30" fillId="16" borderId="11" xfId="0" applyFont="1" applyFill="1" applyBorder="1" applyAlignment="1">
      <alignment horizontal="center" vertical="center"/>
    </xf>
    <xf numFmtId="0" fontId="31" fillId="9" borderId="11" xfId="0" applyFont="1" applyFill="1" applyBorder="1" applyAlignment="1">
      <alignment horizontal="left" vertical="center" wrapText="1" indent="1" readingOrder="1"/>
    </xf>
    <xf numFmtId="0" fontId="0" fillId="0" borderId="32" xfId="0" applyBorder="1"/>
    <xf numFmtId="0" fontId="28" fillId="16" borderId="0" xfId="0" applyFont="1" applyFill="1" applyAlignment="1">
      <alignment horizontal="left" indent="1"/>
    </xf>
    <xf numFmtId="0" fontId="0" fillId="9" borderId="11" xfId="0" applyFill="1" applyBorder="1" applyAlignment="1">
      <alignment vertical="center" wrapText="1" readingOrder="1"/>
    </xf>
    <xf numFmtId="0" fontId="0" fillId="0" borderId="33" xfId="0" applyBorder="1"/>
    <xf numFmtId="0" fontId="18" fillId="16" borderId="11" xfId="0" applyFont="1" applyFill="1" applyBorder="1" applyAlignment="1">
      <alignment horizontal="center" vertical="center" wrapText="1" readingOrder="1"/>
    </xf>
    <xf numFmtId="0" fontId="0" fillId="0" borderId="12" xfId="0" applyBorder="1"/>
    <xf numFmtId="0" fontId="0" fillId="0" borderId="28" xfId="0" applyBorder="1"/>
    <xf numFmtId="0" fontId="18" fillId="16" borderId="11" xfId="0" applyFont="1" applyFill="1" applyBorder="1" applyAlignment="1">
      <alignment horizontal="left" vertical="center" wrapText="1" indent="1" readingOrder="1"/>
    </xf>
    <xf numFmtId="0" fontId="19" fillId="21" borderId="11" xfId="0" applyFont="1" applyFill="1" applyBorder="1" applyAlignment="1">
      <alignment horizontal="center" vertical="center" wrapText="1" readingOrder="1"/>
    </xf>
    <xf numFmtId="0" fontId="0" fillId="0" borderId="11" xfId="0" applyBorder="1" applyAlignment="1">
      <alignment horizontal="left" vertical="center" wrapText="1" indent="1"/>
    </xf>
    <xf numFmtId="0" fontId="35" fillId="23" borderId="11" xfId="0" applyFont="1" applyFill="1" applyBorder="1" applyAlignment="1">
      <alignment horizontal="center" vertical="center" wrapText="1" readingOrder="1"/>
    </xf>
    <xf numFmtId="0" fontId="37" fillId="0" borderId="0" xfId="0" applyFont="1" applyAlignment="1">
      <alignment horizontal="center" vertical="center" wrapText="1" readingOrder="1"/>
    </xf>
    <xf numFmtId="0" fontId="39" fillId="0" borderId="0" xfId="0" applyFont="1" applyAlignment="1">
      <alignment horizontal="center" vertical="center" wrapText="1" readingOrder="1"/>
    </xf>
    <xf numFmtId="0" fontId="39" fillId="19" borderId="11" xfId="0" applyFont="1" applyFill="1" applyBorder="1" applyAlignment="1">
      <alignment horizontal="center" vertical="center" wrapText="1" readingOrder="1"/>
    </xf>
    <xf numFmtId="0" fontId="35" fillId="0" borderId="0" xfId="0" applyFont="1" applyAlignment="1">
      <alignment horizontal="center" vertical="center" wrapText="1" readingOrder="1"/>
    </xf>
    <xf numFmtId="0" fontId="18" fillId="0" borderId="0" xfId="0" applyFont="1" applyAlignment="1">
      <alignment horizontal="center" vertical="center" wrapText="1" readingOrder="1"/>
    </xf>
    <xf numFmtId="0" fontId="0" fillId="0" borderId="0" xfId="0" applyAlignment="1">
      <alignment horizontal="left" vertical="center" indent="1"/>
    </xf>
    <xf numFmtId="0" fontId="19" fillId="21" borderId="11" xfId="0" applyFont="1" applyFill="1" applyBorder="1" applyAlignment="1">
      <alignment horizontal="center" vertical="center" textRotation="90" wrapText="1" readingOrder="1"/>
    </xf>
    <xf numFmtId="0" fontId="0" fillId="0" borderId="34" xfId="0" applyBorder="1"/>
    <xf numFmtId="0" fontId="0" fillId="0" borderId="35" xfId="0" applyBorder="1"/>
    <xf numFmtId="0" fontId="19" fillId="0" borderId="0" xfId="0" applyFont="1" applyAlignment="1">
      <alignment horizontal="center" vertical="center" textRotation="90" wrapText="1" readingOrder="1"/>
    </xf>
    <xf numFmtId="0" fontId="39" fillId="22" borderId="11" xfId="0" applyFont="1" applyFill="1" applyBorder="1" applyAlignment="1">
      <alignment horizontal="center" vertical="center" wrapText="1" readingOrder="1"/>
    </xf>
    <xf numFmtId="0" fontId="37" fillId="17" borderId="11" xfId="0" applyFont="1" applyFill="1" applyBorder="1" applyAlignment="1">
      <alignment horizontal="center" vertical="center" wrapText="1" readingOrder="1"/>
    </xf>
    <xf numFmtId="0" fontId="40" fillId="0" borderId="0" xfId="0" applyFont="1" applyAlignment="1">
      <alignment horizontal="left"/>
    </xf>
    <xf numFmtId="9" fontId="63" fillId="0" borderId="2" xfId="0" applyNumberFormat="1" applyFont="1" applyBorder="1" applyAlignment="1" applyProtection="1">
      <alignment horizontal="left" vertical="center" wrapText="1"/>
      <protection locked="0"/>
    </xf>
  </cellXfs>
  <cellStyles count="7">
    <cellStyle name="Hyperlink" xfId="1" builtinId="8"/>
    <cellStyle name="Normal" xfId="0" builtinId="0"/>
    <cellStyle name="Normal 2" xfId="2" xr:uid="{00000000-0005-0000-0000-000002000000}"/>
    <cellStyle name="Normal 3" xfId="3" xr:uid="{00000000-0005-0000-0000-000003000000}"/>
    <cellStyle name="Normal 3 2" xfId="4" xr:uid="{00000000-0005-0000-0000-000004000000}"/>
    <cellStyle name="Normal 3 3" xfId="5" xr:uid="{00000000-0005-0000-0000-000005000000}"/>
    <cellStyle name="Normal 9" xfId="6" xr:uid="{00000000-0005-0000-0000-000006000000}"/>
  </cellStyles>
  <dxfs count="321">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7F6000"/>
      </font>
      <fill>
        <patternFill patternType="solid">
          <fgColor indexed="64"/>
          <bgColor rgb="FFFFF2CC"/>
        </patternFill>
      </fill>
    </dxf>
    <dxf>
      <font>
        <color rgb="FF9C0006"/>
      </font>
      <fill>
        <patternFill patternType="solid">
          <fgColor indexed="64"/>
          <bgColor rgb="FFF4CCCC"/>
        </patternFill>
      </fill>
    </dxf>
    <dxf>
      <font>
        <color rgb="FF595959"/>
      </font>
      <fill>
        <patternFill patternType="solid">
          <fgColor indexed="64"/>
          <bgColor rgb="FFE7E6E6"/>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C0006"/>
      </font>
      <fill>
        <patternFill patternType="solid">
          <fgColor indexed="64"/>
          <bgColor rgb="FFF4CCCC"/>
        </patternFill>
      </fill>
    </dxf>
    <dxf>
      <font>
        <color rgb="FF595959"/>
      </font>
      <fill>
        <patternFill patternType="solid">
          <fgColor indexed="64"/>
          <bgColor rgb="FFE7E6E6"/>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C0006"/>
      </font>
      <fill>
        <patternFill patternType="solid">
          <fgColor indexed="64"/>
          <bgColor rgb="FFF4CCCC"/>
        </patternFill>
      </fill>
    </dxf>
    <dxf>
      <font>
        <color rgb="FF595959"/>
      </font>
      <fill>
        <patternFill patternType="solid">
          <fgColor indexed="64"/>
          <bgColor rgb="FFE7E6E6"/>
        </patternFill>
      </fill>
    </dxf>
    <dxf>
      <font>
        <color rgb="FF1F4E78"/>
      </font>
      <fill>
        <patternFill patternType="solid">
          <fgColor indexed="64"/>
          <bgColor rgb="FFD9EAF7"/>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C0006"/>
      </font>
      <fill>
        <patternFill patternType="solid">
          <fgColor indexed="64"/>
          <bgColor rgb="FFF4CCCC"/>
        </patternFill>
      </fill>
    </dxf>
    <dxf>
      <font>
        <color rgb="FF595959"/>
      </font>
      <fill>
        <patternFill patternType="solid">
          <fgColor indexed="64"/>
          <bgColor rgb="FFE7E6E6"/>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C0006"/>
      </font>
      <fill>
        <patternFill patternType="solid">
          <fgColor indexed="64"/>
          <bgColor rgb="FFF4CCCC"/>
        </patternFill>
      </fill>
    </dxf>
    <dxf>
      <font>
        <color rgb="FF595959"/>
      </font>
      <fill>
        <patternFill patternType="solid">
          <fgColor indexed="64"/>
          <bgColor rgb="FFE7E6E6"/>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C0006"/>
      </font>
      <fill>
        <patternFill patternType="solid">
          <fgColor indexed="64"/>
          <bgColor rgb="FFF4CCCC"/>
        </patternFill>
      </fill>
    </dxf>
    <dxf>
      <font>
        <color rgb="FF595959"/>
      </font>
      <fill>
        <patternFill patternType="solid">
          <fgColor indexed="64"/>
          <bgColor rgb="FFE7E6E6"/>
        </patternFill>
      </fill>
    </dxf>
    <dxf>
      <font>
        <color rgb="FF1F4E78"/>
      </font>
      <fill>
        <patternFill patternType="solid">
          <fgColor indexed="64"/>
          <bgColor rgb="FFD9EAF7"/>
        </patternFill>
      </fill>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274E13"/>
      </font>
      <fill>
        <patternFill patternType="solid">
          <fgColor indexed="64"/>
          <bgColor rgb="FFB6D7A8"/>
        </patternFill>
      </fill>
    </dxf>
    <dxf>
      <font>
        <color rgb="FF274E13"/>
      </font>
      <fill>
        <patternFill patternType="solid">
          <fgColor indexed="64"/>
          <bgColor rgb="FFD9EAD3"/>
        </patternFill>
      </fill>
    </dxf>
    <dxf>
      <font>
        <color rgb="FF9C5700"/>
      </font>
      <fill>
        <patternFill patternType="solid">
          <fgColor indexed="64"/>
          <bgColor rgb="FFFCE4D6"/>
        </patternFill>
      </fill>
    </dxf>
    <dxf>
      <font>
        <color rgb="FF7F6000"/>
      </font>
      <fill>
        <patternFill patternType="solid">
          <fgColor indexed="64"/>
          <bgColor rgb="FFFFF2CC"/>
        </patternFill>
      </fill>
    </dxf>
    <dxf>
      <font>
        <color rgb="FF9C0006"/>
      </font>
      <fill>
        <patternFill patternType="solid">
          <fgColor indexed="64"/>
          <bgColor rgb="FFF4CCCC"/>
        </patternFill>
      </fill>
    </dxf>
    <dxf>
      <fill>
        <patternFill patternType="solid">
          <fgColor indexed="64"/>
          <bgColor rgb="FFF4CCCC"/>
        </patternFill>
      </fill>
    </dxf>
    <dxf>
      <font>
        <b/>
        <i val="0"/>
        <color rgb="FFB91C1C"/>
      </font>
      <fill>
        <patternFill patternType="solid">
          <fgColor indexed="64"/>
          <bgColor rgb="FFFCE8E6"/>
        </patternFill>
      </fill>
    </dxf>
    <dxf>
      <font>
        <color rgb="FF9C0006"/>
      </font>
      <fill>
        <patternFill patternType="solid">
          <fgColor indexed="64"/>
          <bgColor rgb="FFF4CCCC"/>
        </patternFill>
      </fill>
    </dxf>
    <dxf>
      <font>
        <color rgb="FF9C0006"/>
      </font>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274E13"/>
      </font>
      <fill>
        <patternFill patternType="solid">
          <fgColor indexed="64"/>
          <bgColor rgb="FFB6D7A8"/>
        </patternFill>
      </fill>
    </dxf>
    <dxf>
      <font>
        <color rgb="FF274E13"/>
      </font>
      <fill>
        <patternFill patternType="solid">
          <fgColor indexed="64"/>
          <bgColor rgb="FFD9EAD3"/>
        </patternFill>
      </fill>
    </dxf>
    <dxf>
      <font>
        <color rgb="FF9C5700"/>
      </font>
      <fill>
        <patternFill patternType="solid">
          <fgColor indexed="64"/>
          <bgColor rgb="FFFCE4D6"/>
        </patternFill>
      </fill>
    </dxf>
    <dxf>
      <font>
        <color rgb="FF7F6000"/>
      </font>
      <fill>
        <patternFill patternType="solid">
          <fgColor indexed="64"/>
          <bgColor rgb="FFFFF2CC"/>
        </patternFill>
      </fill>
    </dxf>
    <dxf>
      <font>
        <color rgb="FF9C0006"/>
      </font>
      <fill>
        <patternFill patternType="solid">
          <fgColor indexed="64"/>
          <bgColor rgb="FFF4CCCC"/>
        </patternFill>
      </fill>
    </dxf>
    <dxf>
      <fill>
        <patternFill patternType="solid">
          <fgColor indexed="64"/>
          <bgColor rgb="FFF4CCCC"/>
        </patternFill>
      </fill>
    </dxf>
    <dxf>
      <font>
        <b/>
        <i val="0"/>
        <color rgb="FFB91C1C"/>
      </font>
      <fill>
        <patternFill patternType="solid">
          <fgColor indexed="64"/>
          <bgColor rgb="FFFCE8E6"/>
        </patternFill>
      </fill>
    </dxf>
    <dxf>
      <font>
        <color rgb="FF9C0006"/>
      </font>
      <fill>
        <patternFill patternType="solid">
          <fgColor indexed="64"/>
          <bgColor rgb="FFF4CCCC"/>
        </patternFill>
      </fill>
    </dxf>
    <dxf>
      <font>
        <color rgb="FF9C0006"/>
      </font>
    </dxf>
    <dxf>
      <font>
        <b/>
        <color rgb="FFFFFFFF"/>
        <name val="Calibri"/>
        <charset val="1"/>
      </font>
      <fill>
        <patternFill>
          <bgColor rgb="FFC00000"/>
        </patternFill>
      </fill>
    </dxf>
    <dxf>
      <font>
        <b/>
        <color rgb="FF000000"/>
        <name val="Calibri"/>
        <charset val="1"/>
      </font>
      <fill>
        <patternFill>
          <bgColor rgb="FFF2A900"/>
        </patternFill>
      </fill>
    </dxf>
    <dxf>
      <font>
        <b/>
        <color rgb="FFFFFFFF"/>
        <name val="Calibri"/>
        <charset val="1"/>
      </font>
      <fill>
        <patternFill>
          <bgColor rgb="FF009137"/>
        </patternFill>
      </fill>
    </dxf>
    <dxf>
      <font>
        <b/>
        <i val="0"/>
        <color rgb="FF9C0006"/>
      </font>
      <fill>
        <patternFill patternType="solid">
          <fgColor indexed="64"/>
          <bgColor rgb="FFF4CCCC"/>
        </patternFill>
      </fill>
    </dxf>
    <dxf>
      <font>
        <color rgb="FFB91C1C"/>
      </font>
      <fill>
        <patternFill patternType="solid">
          <fgColor indexed="64"/>
          <bgColor rgb="FFFCE8E6"/>
        </patternFill>
      </fill>
    </dxf>
    <dxf>
      <font>
        <b/>
        <i val="0"/>
        <color rgb="FF274E13"/>
      </font>
      <fill>
        <patternFill patternType="solid">
          <fgColor indexed="64"/>
          <bgColor rgb="FFD9EAD3"/>
        </patternFill>
      </fill>
    </dxf>
    <dxf>
      <font>
        <color rgb="FF9C5700"/>
      </font>
      <fill>
        <patternFill patternType="solid">
          <fgColor indexed="64"/>
          <bgColor rgb="FFFCE5CD"/>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b/>
        <color rgb="FFFFFFFF"/>
        <name val="Calibri"/>
        <charset val="1"/>
      </font>
      <fill>
        <patternFill>
          <bgColor rgb="FF009137"/>
        </patternFill>
      </fill>
    </dxf>
    <dxf>
      <fill>
        <patternFill>
          <bgColor rgb="FFFFD966"/>
        </patternFill>
      </fill>
    </dxf>
    <dxf>
      <fill>
        <patternFill>
          <bgColor rgb="FFF2A900"/>
        </patternFill>
      </fill>
    </dxf>
    <dxf>
      <font>
        <b/>
        <color rgb="FFFFFFFF"/>
        <name val="Calibri"/>
        <charset val="1"/>
      </font>
      <fill>
        <patternFill>
          <bgColor rgb="FFC00000"/>
        </patternFill>
      </fill>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0B5394"/>
      </font>
      <fill>
        <patternFill patternType="solid">
          <fgColor indexed="64"/>
          <bgColor rgb="FFD9EAF7"/>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ill>
        <patternFill>
          <bgColor rgb="FFE7EEF7"/>
        </patternFill>
      </fill>
    </dxf>
    <dxf>
      <fill>
        <patternFill>
          <bgColor rgb="FFFFD966"/>
        </patternFill>
      </fill>
    </dxf>
    <dxf>
      <font>
        <b/>
        <color rgb="FFFFFFFF"/>
        <name val="Calibri"/>
        <charset val="1"/>
      </font>
      <fill>
        <patternFill>
          <bgColor rgb="FFC00000"/>
        </patternFill>
      </fill>
    </dxf>
    <dxf>
      <font>
        <b/>
        <color rgb="FFFFFFFF"/>
        <name val="Calibri"/>
        <charset val="1"/>
      </font>
      <fill>
        <patternFill>
          <bgColor rgb="FF009137"/>
        </patternFill>
      </fill>
    </dxf>
    <dxf>
      <font>
        <b/>
        <color rgb="FFFFFFFF"/>
        <name val="Calibri"/>
        <charset val="1"/>
      </font>
      <fill>
        <patternFill>
          <bgColor rgb="FFC00000"/>
        </patternFill>
      </fill>
    </dxf>
    <dxf>
      <font>
        <b/>
        <color rgb="FFFFFFFF"/>
        <name val="Calibri"/>
        <charset val="1"/>
      </font>
      <fill>
        <patternFill>
          <bgColor rgb="FFC00000"/>
        </patternFill>
      </fill>
    </dxf>
    <dxf>
      <fill>
        <patternFill>
          <bgColor rgb="FFF2A900"/>
        </patternFill>
      </fill>
    </dxf>
    <dxf>
      <font>
        <b/>
        <color rgb="FFFFFFFF"/>
        <name val="Calibri"/>
        <charset val="1"/>
      </font>
      <fill>
        <patternFill>
          <bgColor rgb="FF009137"/>
        </patternFill>
      </fill>
    </dxf>
    <dxf>
      <font>
        <b/>
        <color rgb="FFFFFFFF"/>
        <name val="Calibri"/>
        <charset val="1"/>
      </font>
      <fill>
        <patternFill>
          <bgColor rgb="FFC00000"/>
        </patternFill>
      </fill>
    </dxf>
    <dxf>
      <font>
        <b/>
        <color rgb="FFFFFFFF"/>
        <name val="Calibri"/>
        <charset val="1"/>
      </font>
      <fill>
        <patternFill>
          <bgColor rgb="FFC00000"/>
        </patternFill>
      </fill>
    </dxf>
    <dxf>
      <fill>
        <patternFill>
          <bgColor rgb="FFF2A900"/>
        </patternFill>
      </fill>
    </dxf>
    <dxf>
      <font>
        <b/>
        <color rgb="FFFFFFFF"/>
        <name val="Calibri"/>
        <charset val="1"/>
      </font>
      <fill>
        <patternFill>
          <bgColor rgb="FF009137"/>
        </patternFill>
      </fill>
    </dxf>
    <dxf>
      <font>
        <b/>
        <i val="0"/>
        <color theme="5" tint="-0.24994659260841701"/>
        <name val="Calibri"/>
        <charset val="1"/>
      </font>
      <fill>
        <patternFill>
          <bgColor rgb="FFFFFFCC"/>
        </patternFill>
      </fill>
    </dxf>
    <dxf>
      <font>
        <b/>
        <color rgb="FFFFFFFF"/>
        <name val="Calibri"/>
        <charset val="1"/>
      </font>
      <fill>
        <patternFill>
          <bgColor rgb="FFC00000"/>
        </patternFill>
      </fill>
    </dxf>
    <dxf>
      <font>
        <b/>
        <i val="0"/>
        <color rgb="FF8A4B08"/>
      </font>
      <fill>
        <patternFill patternType="solid">
          <fgColor indexed="64"/>
          <bgColor rgb="FFFFF4CE"/>
        </patternFill>
      </fill>
    </dxf>
    <dxf>
      <font>
        <b/>
        <color rgb="FFFFFFFF"/>
        <name val="Calibri"/>
        <charset val="1"/>
      </font>
      <fill>
        <patternFill>
          <bgColor rgb="FFC00000"/>
        </patternFill>
      </fill>
    </dxf>
    <dxf>
      <fill>
        <patternFill>
          <bgColor rgb="FFE7EEF7"/>
        </patternFill>
      </fill>
    </dxf>
    <dxf>
      <fill>
        <patternFill>
          <bgColor rgb="FFFFD966"/>
        </patternFill>
      </fill>
    </dxf>
    <dxf>
      <font>
        <b/>
        <color rgb="FFFFFFFF"/>
        <name val="Calibri"/>
        <charset val="1"/>
      </font>
      <fill>
        <patternFill>
          <bgColor rgb="FFC00000"/>
        </patternFill>
      </fill>
    </dxf>
    <dxf>
      <font>
        <b/>
        <color rgb="FFFFFFFF"/>
        <name val="Calibri"/>
        <charset val="1"/>
      </font>
      <fill>
        <patternFill>
          <bgColor rgb="FF009137"/>
        </patternFill>
      </fill>
    </dxf>
    <dxf>
      <font>
        <b/>
        <i val="0"/>
        <color rgb="FFB91C1C"/>
      </font>
      <fill>
        <patternFill patternType="solid">
          <fgColor indexed="64"/>
          <bgColor rgb="FFFCE8E6"/>
        </patternFill>
      </fill>
    </dxf>
    <dxf>
      <font>
        <b/>
        <i val="0"/>
        <color rgb="FFB91C1C"/>
      </font>
      <fill>
        <patternFill patternType="solid">
          <fgColor indexed="64"/>
          <bgColor rgb="FFFCE8E6"/>
        </patternFill>
      </fill>
    </dxf>
    <dxf>
      <font>
        <color rgb="FF274E13"/>
      </font>
      <fill>
        <patternFill patternType="solid">
          <fgColor indexed="64"/>
          <bgColor rgb="FFD9EAD3"/>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b/>
        <color rgb="FFFFFFFF"/>
        <name val="Calibri"/>
        <charset val="1"/>
      </font>
      <fill>
        <patternFill>
          <bgColor rgb="FFC00000"/>
        </patternFill>
      </fill>
    </dxf>
    <dxf>
      <fill>
        <patternFill>
          <bgColor rgb="FFF2A900"/>
        </patternFill>
      </fill>
    </dxf>
    <dxf>
      <fill>
        <patternFill>
          <bgColor rgb="FFFFD966"/>
        </patternFill>
      </fill>
    </dxf>
    <dxf>
      <font>
        <b/>
        <color rgb="FFFFFFFF"/>
        <name val="Calibri"/>
        <charset val="1"/>
      </font>
      <fill>
        <patternFill>
          <bgColor rgb="FF00913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font>
        <b/>
        <i val="0"/>
        <color theme="6" tint="-0.499984740745262"/>
      </font>
      <fill>
        <patternFill>
          <bgColor theme="6" tint="0.79998168889431442"/>
        </patternFill>
      </fill>
    </dxf>
    <dxf>
      <font>
        <b/>
        <i val="0"/>
        <color theme="5" tint="-0.499984740745262"/>
      </font>
      <fill>
        <patternFill>
          <bgColor rgb="FFFFB7B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font>
        <b/>
        <color rgb="FFFFFFFF"/>
        <name val="Calibri"/>
        <charset val="1"/>
      </font>
      <fill>
        <patternFill>
          <bgColor rgb="FFC00000"/>
        </patternFill>
      </fill>
    </dxf>
    <dxf>
      <font>
        <b/>
        <color rgb="FF000000"/>
        <name val="Calibri"/>
        <charset val="1"/>
      </font>
      <fill>
        <patternFill>
          <bgColor rgb="FFF2A900"/>
        </patternFill>
      </fill>
    </dxf>
    <dxf>
      <font>
        <b/>
        <color rgb="FFFFFFFF"/>
        <name val="Calibri"/>
        <charset val="1"/>
      </font>
      <fill>
        <patternFill>
          <bgColor rgb="FF009137"/>
        </patternFill>
      </fill>
    </dxf>
    <dxf>
      <alignment wrapText="1"/>
    </dxf>
    <dxf>
      <numFmt numFmtId="0" formatCode="General"/>
    </dxf>
    <dxf>
      <numFmt numFmtId="1" formatCode="0"/>
    </dxf>
    <dxf>
      <numFmt numFmtId="164" formatCode="yyyy\-mm\-dd"/>
    </dxf>
    <dxf>
      <fill>
        <patternFill patternType="solid">
          <fgColor indexed="64"/>
          <bgColor rgb="FFFDE9D9"/>
        </patternFill>
      </fill>
    </dxf>
    <dxf>
      <numFmt numFmtId="164" formatCode="yyyy\-mm\-dd"/>
    </dxf>
    <dxf>
      <alignment wrapText="1"/>
    </dxf>
    <dxf>
      <alignment wrapText="1"/>
    </dxf>
    <dxf>
      <fill>
        <patternFill patternType="solid">
          <fgColor indexed="64"/>
          <bgColor rgb="FFFDE9D9"/>
        </patternFill>
      </fill>
    </dxf>
    <dxf>
      <numFmt numFmtId="164" formatCode="yyyy\-mm\-dd"/>
    </dxf>
    <dxf>
      <alignment wrapText="1"/>
    </dxf>
    <dxf>
      <alignment wrapText="1"/>
    </dxf>
    <dxf>
      <alignment wrapText="1"/>
    </dxf>
    <dxf>
      <fill>
        <patternFill patternType="solid">
          <fgColor indexed="64"/>
          <bgColor rgb="FFFDE9D9"/>
        </patternFill>
      </fill>
    </dxf>
    <dxf>
      <alignment wrapText="1"/>
    </dxf>
    <dxf>
      <numFmt numFmtId="164" formatCode="yyyy\-mm\-dd"/>
    </dxf>
    <dxf>
      <fill>
        <patternFill patternType="solid">
          <fgColor indexed="64"/>
          <bgColor rgb="FFFDE9D9"/>
        </patternFill>
      </fill>
    </dxf>
    <dxf>
      <numFmt numFmtId="0" formatCode="General"/>
      <fill>
        <patternFill patternType="solid">
          <fgColor rgb="FFE3ECF8"/>
          <bgColor rgb="FFE7EEF7"/>
        </patternFill>
      </fill>
    </dxf>
    <dxf>
      <numFmt numFmtId="1" formatCode="0"/>
      <fill>
        <patternFill patternType="solid">
          <fgColor rgb="FFE3ECF8"/>
          <bgColor rgb="FFE7EEF7"/>
        </patternFill>
      </fill>
    </dxf>
    <dxf>
      <font>
        <b/>
        <color rgb="FFFFFFFF"/>
      </font>
      <fill>
        <patternFill patternType="solid">
          <fgColor indexed="64"/>
          <bgColor rgb="FF4472C4"/>
        </patternFill>
      </fill>
      <alignment wrapText="1"/>
    </dxf>
    <dxf>
      <border outline="0">
        <left style="thin">
          <color rgb="FFB0B0B0"/>
        </left>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rgb="FFE3ECF8"/>
          <bgColor rgb="FFFDE9D9"/>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i val="0"/>
        <strike val="0"/>
        <condense val="0"/>
        <extend val="0"/>
        <outline val="0"/>
        <shadow val="0"/>
        <u val="none"/>
        <vertAlign val="baseline"/>
        <sz val="8"/>
        <color rgb="FF009137"/>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rgb="FFB0B0B0"/>
        </right>
        <top style="thin">
          <color rgb="FFB0B0B0"/>
        </top>
        <bottom style="thin">
          <color rgb="FFB0B0B0"/>
        </bottom>
      </border>
    </dxf>
    <dxf>
      <border outline="0">
        <left style="thin">
          <color rgb="FFB0B0B0"/>
        </left>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Calibr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Calibr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8"/>
        <color rgb="FF004687"/>
        <name val="Calibri"/>
        <charset val="1"/>
        <scheme val="none"/>
      </font>
      <numFmt numFmtId="0" formatCode="General"/>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8"/>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8"/>
        <color rgb="FF000000"/>
        <name val="Calibri"/>
        <charset val="1"/>
        <scheme val="none"/>
      </font>
      <numFmt numFmtId="0" formatCode="General"/>
      <fill>
        <patternFill patternType="solid">
          <fgColor indexed="64"/>
          <bgColor theme="9" tint="0.79998168889431442"/>
        </patternFill>
      </fill>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8"/>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8"/>
        <color rgb="FF000000"/>
        <name val="Calibr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protection locked="0" hidden="0"/>
    </dxf>
    <dxf>
      <border outline="0">
        <bottom style="thin">
          <color rgb="FFB0B0B0"/>
        </bottom>
      </border>
    </dxf>
    <dxf>
      <font>
        <b/>
        <i val="0"/>
        <strike val="0"/>
        <condense val="0"/>
        <extend val="0"/>
        <outline val="0"/>
        <shadow val="0"/>
        <u val="none"/>
        <vertAlign val="baseline"/>
        <sz val="8"/>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ill>
        <patternFill patternType="solid">
          <fgColor indexed="64"/>
          <bgColor rgb="FFE2F0D9"/>
        </patternFill>
      </fill>
      <alignment wrapText="1"/>
    </dxf>
    <dxf>
      <fill>
        <patternFill patternType="solid">
          <fgColor indexed="64"/>
          <bgColor rgb="FFE2F0D9"/>
        </patternFill>
      </fill>
      <alignment wrapText="1"/>
      <border outline="0">
        <left style="thin">
          <color auto="1"/>
        </left>
      </border>
    </dxf>
    <dxf>
      <fill>
        <patternFill patternType="solid">
          <fgColor indexed="64"/>
          <bgColor rgb="FFFDE9D9"/>
        </patternFill>
      </fill>
      <alignment wrapText="1"/>
    </dxf>
    <dxf>
      <numFmt numFmtId="0" formatCode="General"/>
      <fill>
        <patternFill patternType="solid">
          <fgColor indexed="64"/>
          <bgColor rgb="FFE2F0D9"/>
        </patternFill>
      </fill>
      <alignment wrapText="1"/>
      <border outline="0">
        <right style="thin">
          <color auto="1"/>
        </right>
      </border>
    </dxf>
    <dxf>
      <fill>
        <patternFill patternType="solid">
          <fgColor indexed="64"/>
          <bgColor rgb="FFE2F0D9"/>
        </patternFill>
      </fill>
      <alignment wrapText="1"/>
    </dxf>
    <dxf>
      <fill>
        <patternFill patternType="solid">
          <fgColor indexed="64"/>
          <bgColor rgb="FFE2F0D9"/>
        </patternFill>
      </fill>
      <alignment wrapText="1"/>
    </dxf>
    <dxf>
      <numFmt numFmtId="164" formatCode="yyyy\-mm\-dd"/>
      <fill>
        <patternFill patternType="solid">
          <fgColor indexed="64"/>
          <bgColor rgb="FFE2F0D9"/>
        </patternFill>
      </fill>
      <alignment wrapText="1"/>
    </dxf>
    <dxf>
      <numFmt numFmtId="164" formatCode="yyyy\-mm\-dd"/>
      <fill>
        <patternFill patternType="solid">
          <fgColor indexed="64"/>
          <bgColor rgb="FFE2F0D9"/>
        </patternFill>
      </fill>
      <alignment wrapText="1"/>
    </dxf>
    <dxf>
      <font>
        <b/>
        <sz val="9"/>
        <color rgb="FF000000"/>
        <name val="Calibri"/>
        <charset val="1"/>
      </font>
      <fill>
        <patternFill patternType="solid">
          <fgColor indexed="64"/>
          <bgColor rgb="FFE2F0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8"/>
        <color auto="1"/>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8"/>
        <color auto="1"/>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8"/>
        <color rgb="FF000000"/>
        <name val="Calibri"/>
        <scheme val="none"/>
      </font>
      <fill>
        <patternFill patternType="solid">
          <fgColor rgb="FFE3ECF8"/>
          <bgColor rgb="FFE7EEF7"/>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scheme val="none"/>
      </font>
      <fill>
        <patternFill patternType="solid">
          <fgColor rgb="FF191E8C"/>
          <bgColor rgb="FFFDE9D9"/>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rgb="FFFDEADA"/>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fill>
        <patternFill patternType="solid">
          <fgColor rgb="FFF2F2F2"/>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9"/>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border diagonalUp="0" diagonalDown="0">
        <left style="thin">
          <color auto="1"/>
        </left>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border diagonalUp="0" diagonalDown="0">
        <left style="thin">
          <color auto="1"/>
        </left>
        <right style="thin">
          <color auto="1"/>
        </right>
        <top style="thin">
          <color auto="1"/>
        </top>
        <bottom style="thin">
          <color auto="1"/>
        </bottom>
        <vertical/>
        <horizontal/>
      </border>
    </dxf>
    <dxf>
      <border outline="0">
        <right style="thin">
          <color auto="1"/>
        </right>
        <bottom style="thin">
          <color auto="1"/>
        </bottom>
      </border>
    </dxf>
    <dxf>
      <border diagonalUp="0" diagonalDown="0">
        <left style="thin">
          <color auto="1"/>
        </left>
        <right/>
        <top style="thin">
          <color auto="1"/>
        </top>
        <bottom style="thin">
          <color auto="1"/>
        </bottom>
        <vertical/>
        <horizontal/>
      </border>
      <protection locked="0" hidden="0"/>
    </dxf>
    <dxf>
      <numFmt numFmtId="166" formatCode="0.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6" formatCode="0.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alignment horizontal="general" vertical="top"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9"/>
        <color theme="0"/>
        <name val="Calibri"/>
        <scheme val="none"/>
      </font>
      <fill>
        <patternFill patternType="solid">
          <fgColor indexed="64"/>
          <bgColor rgb="FF004687"/>
        </patternFill>
      </fill>
      <alignment horizontal="general" vertical="bottom" textRotation="0" wrapText="1"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9"/>
        <color rgb="FF192882"/>
        <name val="Calibri"/>
        <charset val="1"/>
        <scheme val="none"/>
      </font>
      <numFmt numFmtId="0" formatCode="General"/>
      <fill>
        <patternFill patternType="solid">
          <fgColor rgb="FFE3ECF8"/>
          <bgColor rgb="FFE7EEF7"/>
        </patternFill>
      </fill>
      <alignment horizontal="center" vertical="center" textRotation="0" wrapText="1" indent="0" justifyLastLine="0" shrinkToFit="0" readingOrder="0"/>
      <border diagonalUp="0" diagonalDown="0" outline="0">
        <left style="thin">
          <color rgb="FFB0B0B0"/>
        </left>
        <right/>
        <top style="thin">
          <color rgb="FFB0B0B0"/>
        </top>
        <bottom style="thin">
          <color rgb="FFB0B0B0"/>
        </bottom>
      </border>
    </dxf>
    <dxf>
      <font>
        <b/>
        <i val="0"/>
        <strike val="0"/>
        <condense val="0"/>
        <extend val="0"/>
        <outline val="0"/>
        <shadow val="0"/>
        <u val="none"/>
        <vertAlign val="baseline"/>
        <sz val="9"/>
        <color rgb="FF192882"/>
        <name val="Calibri"/>
        <charset val="1"/>
        <scheme val="none"/>
      </font>
      <fill>
        <patternFill patternType="solid">
          <fgColor rgb="FFE3ECF8"/>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9"/>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9"/>
        <color rgb="FF000000"/>
        <name val="Calibri"/>
        <charset val="1"/>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Calibri"/>
        <charset val="1"/>
        <scheme val="none"/>
      </font>
      <fill>
        <patternFill patternType="solid">
          <fgColor rgb="FFE3ECF8"/>
          <bgColor rgb="FFE7EEF7"/>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10"/>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9"/>
        <color rgb="FF000000"/>
        <name val="Calibr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i val="0"/>
        <strike val="0"/>
        <condense val="0"/>
        <extend val="0"/>
        <outline val="0"/>
        <shadow val="0"/>
        <u val="none"/>
        <vertAlign val="baseline"/>
        <sz val="8"/>
        <color rgb="FFFFFFFF"/>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Calibr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Calibr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i val="0"/>
        <strike val="0"/>
        <condense val="0"/>
        <extend val="0"/>
        <outline val="0"/>
        <shadow val="0"/>
        <u val="none"/>
        <vertAlign val="baseline"/>
        <sz val="9"/>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top style="thin">
          <color rgb="FFB0B0B0"/>
        </top>
        <bottom/>
        <vertical/>
        <horizontal/>
      </border>
    </dxf>
    <dxf>
      <border outline="0">
        <left style="thin">
          <color rgb="FFB0B0B0"/>
        </left>
        <right style="thin">
          <color rgb="FFB0B0B0"/>
        </right>
        <top style="thin">
          <color rgb="FFB0B0B0"/>
        </top>
        <bottom style="thin">
          <color rgb="FFB0B0B0"/>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9137"/>
      <rgbColor rgb="FF191E8C"/>
      <rgbColor rgb="FF9BBB59"/>
      <rgbColor rgb="FF800080"/>
      <rgbColor rgb="FF1F7A6B"/>
      <rgbColor rgb="FFBFBFBF"/>
      <rgbColor rgb="FF808080"/>
      <rgbColor rgb="FFE7EEF7"/>
      <rgbColor rgb="FF7030A0"/>
      <rgbColor rgb="FFFFF6DC"/>
      <rgbColor rgb="FFDEEBF7"/>
      <rgbColor rgb="FF660066"/>
      <rgbColor rgb="FFF2F2F2"/>
      <rgbColor rgb="FF3072C2"/>
      <rgbColor rgb="FFBDD7EE"/>
      <rgbColor rgb="FF000080"/>
      <rgbColor rgb="FFFF00FF"/>
      <rgbColor rgb="FFFFD966"/>
      <rgbColor rgb="FF00FFFF"/>
      <rgbColor rgb="FF800080"/>
      <rgbColor rgb="FF800000"/>
      <rgbColor rgb="FF2E75B6"/>
      <rgbColor rgb="FF0000FF"/>
      <rgbColor rgb="FF00A0E1"/>
      <rgbColor rgb="FFE3ECF8"/>
      <rgbColor rgb="FFD9E6F2"/>
      <rgbColor rgb="FFFDEADA"/>
      <rgbColor rgb="FFD6DCE5"/>
      <rgbColor rgb="FFF2DCDB"/>
      <rgbColor rgb="FFD9D9D9"/>
      <rgbColor rgb="FFFFCCCC"/>
      <rgbColor rgb="FF3172C4"/>
      <rgbColor rgb="FF4BACC6"/>
      <rgbColor rgb="FF92D050"/>
      <rgbColor rgb="FFFFC000"/>
      <rgbColor rgb="FFFF9900"/>
      <rgbColor rgb="FFF2A900"/>
      <rgbColor rgb="FF1F4E79"/>
      <rgbColor rgb="FFB0B0B0"/>
      <rgbColor rgb="FF004687"/>
      <rgbColor rgb="FF00B050"/>
      <rgbColor rgb="FF0D0D0D"/>
      <rgbColor rgb="FF333300"/>
      <rgbColor rgb="FF993300"/>
      <rgbColor rgb="FF993366"/>
      <rgbColor rgb="FF192882"/>
      <rgbColor rgb="FF3C3D3E"/>
      <rgbColor rgb="00003366"/>
      <rgbColor rgb="00339966"/>
      <rgbColor rgb="00003300"/>
      <rgbColor rgb="00333300"/>
      <rgbColor rgb="00993300"/>
      <rgbColor rgb="00993366"/>
      <rgbColor rgb="00333399"/>
      <rgbColor rgb="00333333"/>
    </indexedColors>
    <mruColors>
      <color rgb="FFE7EEF7"/>
      <color rgb="FFFDE9D9"/>
      <color rgb="FFFFFFCC"/>
      <color rgb="FFFEF1E6"/>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B0A54-9E29-4B5B-AF83-DD3EE3710F98}" name="ScopeProductsServices" displayName="ScopeProductsServices" ref="A5:O50" totalsRowShown="0" headerRowDxfId="296" headerRowBorderDxfId="295" tableBorderDxfId="294" totalsRowBorderDxfId="293">
  <autoFilter ref="A5:O50" xr:uid="{CAFB0A54-9E29-4B5B-AF83-DD3EE3710F98}"/>
  <tableColumns count="15">
    <tableColumn id="1" xr3:uid="{D451F39A-BA8D-4273-AE2B-D5672E0383E8}" name="No." dataDxfId="292"/>
    <tableColumn id="2" xr3:uid="{201500B4-BA19-4AB0-9BD3-47A7F8A025C9}" name="P&amp;S ID" dataDxfId="291">
      <calculatedColumnFormula>IF($E6="","","PS-"&amp;TEXT($A6,"000"))</calculatedColumnFormula>
    </tableColumn>
    <tableColumn id="3" xr3:uid="{313A0B15-CEF2-4B6F-AC0D-61821079290A}" name="Business Unit" dataDxfId="290"/>
    <tableColumn id="4" xr3:uid="{EB328BB3-96AA-4446-9973-853893DD1D46}" name="Division / Site" dataDxfId="289"/>
    <tableColumn id="5" xr3:uid="{A46F5B42-B2FA-4A14-84A9-07A3929B5CB3}" name="Product / Service" dataDxfId="288"/>
    <tableColumn id="6" xr3:uid="{17346AFF-4805-4EDD-ADD0-423A1E6AE4B8}" name="Sub-Category" dataDxfId="287"/>
    <tableColumn id="7" xr3:uid="{ADFE0062-4A6F-4CFB-83BB-638D9EDDB958}" name="Owner" dataDxfId="286"/>
    <tableColumn id="8" xr3:uid="{E8A38197-A61A-400A-B65F-215A56156C9A}" name="EVP" dataDxfId="285"/>
    <tableColumn id="9" xr3:uid="{1E9A9A0D-C734-41A0-A89B-688C5F0D743D}" name="In Scope (Y/N)" dataDxfId="284"/>
    <tableColumn id="10" xr3:uid="{1109F7BF-788C-47A6-BDD1-6F92C961253C}" name="Corporate BIA Critical" dataDxfId="283"/>
    <tableColumn id="11" xr3:uid="{BE826F51-7F9C-4270-83A0-7FA85C35A30C}" name="Corporate MBCO (if provided)" dataDxfId="282"/>
    <tableColumn id="12" xr3:uid="{2345125C-36BE-4DE2-B0B9-0C110C45DD24}" name="Corporate MTPD (if provided)" dataDxfId="281"/>
    <tableColumn id="13" xr3:uid="{E5C88378-9B0B-4941-A789-A13A681E5729}" name="Corporate MTPD (hours)" dataDxfId="280">
      <calculatedColumnFormula array="1">IF(ISBLANK(L6),"",_xlfn.LET(
_xlpm.Num,--_xlfn.TEXTBEFORE(L6," "),
_xlpm.Unit,LOWER(_xlfn.TEXTAFTER(L6," ")),
_xlfn.SWITCH(_xlpm.Unit,
"hour",_xlpm.Num,
"hours",_xlpm.Num,
"day",_xlpm.Num*24,
"days",_xlpm.Num*24,
"week",_xlpm.Num*24*7,
"weeks",_xlpm.Num*24*7,
"month",_xlpm.Num*24*(365.25/12),
"months",_xlpm.Num*24*(365.25/12),
"")
))</calculatedColumnFormula>
    </tableColumn>
    <tableColumn id="14" xr3:uid="{13AFA807-6F4E-4001-A207-EFE1A82EF510}" name="BIA Order" dataDxfId="279">
      <calculatedColumnFormula>IF($I6&lt;&gt;"Yes","",IF($A6="","",COUNTIFS($A$6:$A$50,"&lt;"&amp;$A6,$I$6:$I$50,"Yes")+1))</calculatedColumnFormula>
    </tableColumn>
    <tableColumn id="15" xr3:uid="{71BFFEAF-FA40-4593-8FA8-43DCC1F86A20}" name="BU BIA MTPD" dataDxfId="278">
      <calculatedColumnFormula>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E5E08B-F06B-492C-89B9-61B7B29FAF85}" name="ProcessesActivities" displayName="ProcessesActivities" ref="A4:L211" totalsRowShown="0" headerRowDxfId="277" headerRowBorderDxfId="276" tableBorderDxfId="275" totalsRowBorderDxfId="274">
  <autoFilter ref="A4:L211" xr:uid="{9EE5E08B-F06B-492C-89B9-61B7B29FAF85}"/>
  <tableColumns count="12">
    <tableColumn id="1" xr3:uid="{692B08B2-7C37-4AE0-88A2-D771DC693CBC}" name="Sl #" dataDxfId="273"/>
    <tableColumn id="2" xr3:uid="{A77B521E-F1E1-46FF-8012-61C7847A41AD}" name="Product Code" dataDxfId="272"/>
    <tableColumn id="3" xr3:uid="{6E1623A8-1C26-4ABA-AECF-C7E72491F9DD}" name="Product &amp; Services" dataDxfId="271">
      <calculatedColumnFormula>IFERROR(VLOOKUP(B5,'04. Products &amp; Services'!$B$6:$E$50,4,FALSE),"")</calculatedColumnFormula>
    </tableColumn>
    <tableColumn id="4" xr3:uid="{14B44C4A-238A-4D49-B5D8-33DC587EE399}" name="Activities performed within the process" dataDxfId="270"/>
    <tableColumn id="5" xr3:uid="{633BF83B-0BD4-4BBB-8C77-F82C7FB52A76}" name="Frequency of Activity" dataDxfId="269"/>
    <tableColumn id="6" xr3:uid="{9433E856-C4ED-4880-B6D6-2DF51BCD135C}" name="Peak Period" dataDxfId="268"/>
    <tableColumn id="7" xr3:uid="{1234478D-CCDE-42C8-9BF2-9641699DD1DC}" name="Rationale for Peak Period" dataDxfId="267"/>
    <tableColumn id="8" xr3:uid="{9C3B24AB-3B1F-4FDC-8702-48F2A8563C89}" name="Current Staff to Perform Activity" dataDxfId="266"/>
    <tableColumn id="9" xr3:uid="{8A110990-7843-43C7-8601-633D3D55E8BE}" name="Activity Can be Performed Remotely?" dataDxfId="265"/>
    <tableColumn id="10" xr3:uid="{A5BA9481-80E9-4403-9016-A61103554F5C}" name="BlA level MTPD in hours" dataDxfId="264">
      <calculatedColumnFormula>IF($B5="","",_xlfn.LET(_xlpm.x,_xlfn.XLOOKUP($B5,'07. BIA'!$F$6:$F$285,'07. BIA'!$AA$6:$AA$285,""),IF(_xlpm.x=0,"",_xlpm.x)))</calculatedColumnFormula>
    </tableColumn>
    <tableColumn id="11" xr3:uid="{8ABBE6E0-D77A-4D3E-B644-ED042ECECA6B}" name="BIA Level RTO in hours" dataDxfId="263">
      <calculatedColumnFormula>IF($B5="","",_xlfn.LET(_xlpm.x,_xlfn.XLOOKUP($B5,'07. BIA'!$F$6:$F$285,'07. BIA'!$AD$6:$AD$285,""),IF(_xlpm.x=0,"",_xlpm.x)))</calculatedColumnFormula>
    </tableColumn>
    <tableColumn id="12" xr3:uid="{42EEEC54-0706-454B-98E0-897CF2A903E1}" name="Remark" dataDxfId="26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531A58-7689-4E95-8E2B-EAE5B181C086}" name="ApplicationEquipmentMaster" displayName="ApplicationEquipmentMaster" ref="F9:I34" totalsRowShown="0" tableBorderDxfId="261">
  <autoFilter ref="F9:I34" xr:uid="{E0531A58-7689-4E95-8E2B-EAE5B181C086}"/>
  <tableColumns count="4">
    <tableColumn id="1" xr3:uid="{BADE615B-52FF-41C4-B258-CF43EE101B0A}" name="Column1" dataDxfId="260"/>
    <tableColumn id="2" xr3:uid="{2B61F734-4E39-4A87-A353-4469C47A3E56}" name="Application" dataDxfId="259"/>
    <tableColumn id="3" xr3:uid="{B9D96D6E-1FBB-41C6-8624-DB5FA785ECAC}" name="Service" dataDxfId="258"/>
    <tableColumn id="4" xr3:uid="{A957C01A-20F5-4101-898B-CB644F608BA7}" name="Equipment / Building / Utilities" dataDxfId="25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6B1A32-E767-4EEA-A3E7-09E650F930A9}" name="DependencyRegister" displayName="DependencyRegister" ref="A4:M204" totalsRowShown="0" headerRowDxfId="256" headerRowBorderDxfId="255" tableBorderDxfId="254" totalsRowBorderDxfId="253">
  <autoFilter ref="A4:M204" xr:uid="{D06B1A32-E767-4EEA-A3E7-09E650F930A9}"/>
  <tableColumns count="13">
    <tableColumn id="1" xr3:uid="{E619528F-D31C-4078-882C-412F36E1A637}" name="No." dataDxfId="252"/>
    <tableColumn id="2" xr3:uid="{3DAC4676-64EA-4217-B4D2-022E80D39FB6}" name="Dep ID" dataDxfId="251">
      <calculatedColumnFormula>IF($I5="","","DEP-"&amp;TEXT($A5,"000"))</calculatedColumnFormula>
    </tableColumn>
    <tableColumn id="3" xr3:uid="{0E284F40-C48D-4DE5-90C5-4FBEE17D318E}" name="BIA #_x000a_(select)" dataDxfId="250"/>
    <tableColumn id="4" xr3:uid="{D5AE6CF9-F5B6-42D6-8214-E04970FD24D8}" name="Product / Service (auto)" dataDxfId="249">
      <calculatedColumnFormula>IF($C5="","",IFERROR(_xlfn.XLOOKUP($C5,'07. BIA'!$B$6:$B$285,'07. BIA'!$E$6:$E$285,""),""))</calculatedColumnFormula>
    </tableColumn>
    <tableColumn id="5" xr3:uid="{48037523-5B88-4207-8FA2-61BB04E8A754}" name="Product / Service ID" dataDxfId="248">
      <calculatedColumnFormula>IF($C5="","",IFERROR(_xlfn.XLOOKUP($C5,'07. BIA'!$B$6:$B$285,'07. BIA'!$F$6:$F$285,""),""))</calculatedColumnFormula>
    </tableColumn>
    <tableColumn id="6" xr3:uid="{EC657003-9867-42DF-ACE3-4437D18EDEB2}" name="Category (select)" dataDxfId="247"/>
    <tableColumn id="7" xr3:uid="{1C273D3C-029D-420D-8129-9B422653330B}" name="Sub category (For ICT and Equipment)" dataDxfId="246"/>
    <tableColumn id="8" xr3:uid="{93F48CB9-456D-4664-A2AA-9D938899BE6D}" name="ICT/ Equipment details" dataDxfId="245"/>
    <tableColumn id="9" xr3:uid="{C59B474B-E850-40B8-AE94-65FC87654E79}" name="Dependency Name" dataDxfId="244"/>
    <tableColumn id="10" xr3:uid="{CB56ED85-57ED-44C3-9395-C0417FF39B1A}" name="Description / Detail" dataDxfId="243"/>
    <tableColumn id="11" xr3:uid="{E656835A-1C9E-41E5-9831-AF7A2974027B}" name="SPOF? (Y/N)" dataDxfId="242"/>
    <tableColumn id="12" xr3:uid="{5F4E76C5-995F-4EFA-91A8-4242E208F9EC}" name="Owner" dataDxfId="241"/>
    <tableColumn id="13" xr3:uid="{D131C6EB-7500-459A-BE16-4BF8C15D29E7}" name="Remarks" dataDxfId="24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FDD857-4DD5-4CA8-867A-A670A3428A7C}" name="RiskAssessment" displayName="RiskAssessment" ref="A4:AC34" totalsRowShown="0" headerRowBorderDxfId="239" tableBorderDxfId="238" totalsRowBorderDxfId="237">
  <autoFilter ref="A4:AC34" xr:uid="{37FDD857-4DD5-4CA8-867A-A670A3428A7C}"/>
  <tableColumns count="29">
    <tableColumn id="1" xr3:uid="{0E02ED98-A162-478D-AE26-A7823F89B647}" name="Slot" dataDxfId="236"/>
    <tableColumn id="2" xr3:uid="{2446A95F-2162-4214-A746-F2875B4F8756}" name="Risk ID # /_x000a_BIA # (assoc.)" dataDxfId="235">
      <calculatedColumnFormula>IF($G5="","","RA-"&amp;TEXT($A5,"000"))</calculatedColumnFormula>
    </tableColumn>
    <tableColumn id="3" xr3:uid="{DF9295E3-74AC-4C24-8FB5-EF4F1FEED360}" name="BU" dataDxfId="234"/>
    <tableColumn id="4" xr3:uid="{619230B8-71CE-4535-A714-AA569D913235}" name="Division" dataDxfId="233"/>
    <tableColumn id="5" xr3:uid="{DE8E38FC-F992-46E6-BD55-7C4F7022F21D}" name="Dependency categories" dataDxfId="232"/>
    <tableColumn id="6" xr3:uid="{E3C8F529-1EB6-4FFD-A93D-47AB8502D782}" name="Applicable BIA #s" dataDxfId="231">
      <calculatedColumnFormula array="1">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calculatedColumnFormula>
    </tableColumn>
    <tableColumn id="7" xr3:uid="{AD5397B3-EC04-41F8-898A-84650AFDAE69}" name="Risk Assumption (select or type) /_x000a_Associated Product / Service (auto)" dataDxfId="230"/>
    <tableColumn id="8" xr3:uid="{B56ECEEA-07C1-41BF-9490-5999264D9DFC}" name="Business Disruption Scenario (auto)" dataDxfId="229">
      <calculatedColumnFormula>IF($G5="","","Inability to deliver the associated products/services due to ["&amp;$G5&amp;"]")</calculatedColumnFormula>
    </tableColumn>
    <tableColumn id="9" xr3:uid="{0AA39CF6-36C0-409F-A2C4-D028B0A541D0}" name="ERM / Site Risk Register Ref#" dataDxfId="228"/>
    <tableColumn id="10" xr3:uid="{DC34522B-1C38-4F7D-8AF7-B040511FB0D9}" name="Implemented Controls" dataDxfId="227"/>
    <tableColumn id="11" xr3:uid="{369A6E7F-3D77-46B9-8673-22C1098E8B11}" name="Residual Likelihood (1-5)" dataDxfId="226"/>
    <tableColumn id="12" xr3:uid="{B7F10440-F76B-49DA-B25C-F4349E203F46}" name="Likelihood Rating (auto)" dataDxfId="225">
      <calculatedColumnFormula>IF($K5="","",CHOOSE($K5,"Rare","Infrequent","Occasional","Frequent","Almost Certain"))</calculatedColumnFormula>
    </tableColumn>
    <tableColumn id="13" xr3:uid="{CAD7CD0D-F347-4213-9843-FA6BD81DEB41}" name="Residual Impact (1-5)" dataDxfId="224"/>
    <tableColumn id="14" xr3:uid="{439F4D97-26A8-448D-B17A-9510646DD23C}" name="Impact Rating (auto)" dataDxfId="223">
      <calculatedColumnFormula>IF($M5="","",CHOOSE($M5,"Negligible","Minor","Medium","Critical","Catastrophic"))</calculatedColumnFormula>
    </tableColumn>
    <tableColumn id="15" xr3:uid="{3EC8A14A-AB24-4354-BE02-F71CDA5F03D9}" name="Risk Reference (auto - ERM)" dataDxfId="222">
      <calculatedColumnFormula>IF(OR($K5="",$M5=""),"",INDEX('20. ERM RA Guidance'!$E$79:$I$83,6-$K5,$M5))</calculatedColumnFormula>
    </tableColumn>
    <tableColumn id="16" xr3:uid="{9D2A25A8-E818-4FC2-AF4E-66E85707D297}" name="Risk Rating (auto)" dataDxfId="221">
      <calculatedColumnFormula>IF($O5="","",IF($O5&gt;=20,"Critical",IF($O5&gt;=12,"Significant",IF($O5&gt;=7,"Moderate","Low"))))</calculatedColumnFormula>
    </tableColumn>
    <tableColumn id="17" xr3:uid="{58ECBF2B-ACBD-455B-B31D-E0D61AE7642E}" name="BCP Priority (auto)_x000a_1=Critical...4=Low" dataDxfId="220">
      <calculatedColumnFormula>IF($P5="","",IF($P5="Critical",1,IF($P5="Significant",2,IF($P5="Moderate",3,4))))</calculatedColumnFormula>
    </tableColumn>
    <tableColumn id="18" xr3:uid="{BD36C321-C5A8-4B66-A7C2-C6085FF047A1}" name="Remarks" dataDxfId="219"/>
    <tableColumn id="19" xr3:uid="{991FE650-97AE-47CF-AB4A-F62FA256D454}" name="S&amp;S # (auto)" dataDxfId="218">
      <calculatedColumnFormula array="1">IF($B5="","",IFERROR(_xlfn.TEXTJOIN(",",TRUE,_xlfn.UNIQUE(_xlfn._xlws.FILTER('11. Strategies &amp; Solutions'!$C$5:$C$64,('11. Strategies &amp; Solutions'!$B$5:$B$64=$B5)*('11. Strategies &amp; Solutions'!$C$5:$C$64&lt;&gt;"")))),"Not Created"))</calculatedColumnFormula>
    </tableColumn>
    <tableColumn id="20" xr3:uid="{FDFFEF69-5F2E-4E2D-8810-522B14504B6A}" name="R&amp;R IDs (auto)" dataDxfId="217">
      <calculatedColumnFormula array="1">IF($B5="","",_xlfn.LET(_xlpm.ss,_xlfn._xlws.FILTER('11. Strategies &amp; Solutions'!$C$5:$C$64,('11. Strategies &amp; Solutions'!$B$5:$B$64=$B5)*('11. Strategies &amp; Solutions'!$C$5:$C$64&lt;&gt;""),""),IFERROR(_xlfn.TEXTJOIN(",",TRUE,_xlfn.UNIQUE(_xlfn._xlws.FILTER('14. Recovery &amp; Response'!$B$6:$B$105,ISNUMBER(_xlfn.XMATCH('14. Recovery &amp; Response'!$C$6:$C$105,_xlpm.ss))*('14. Recovery &amp; Response'!$B$6:$B$105&lt;&gt;"")))),"Not Created")))</calculatedColumnFormula>
    </tableColumn>
    <tableColumn id="21" xr3:uid="{6DBDD54A-130A-4BF3-B395-5FD45C868A42}" name="Risk Owner" dataDxfId="216"/>
    <tableColumn id="22" xr3:uid="{CDC1FA1B-EC5A-4022-A225-BEF983130B36}" name="Assessment Date" dataDxfId="215"/>
    <tableColumn id="23" xr3:uid="{E6C457AD-2880-4E03-9176-52F6790D76FA}" name="Review Date" dataDxfId="214"/>
    <tableColumn id="24" xr3:uid="{D81B6DCC-C712-4B11-ADD5-3D73171938E9}" name="Approver" dataDxfId="213"/>
    <tableColumn id="25" xr3:uid="{77379B78-599E-4D13-AC6A-901951BA54FE}" name="Evidence Reference" dataDxfId="212"/>
    <tableColumn id="26" xr3:uid="{46C92575-A24A-4767-97E0-F4DD2673AC55}" name="Completion Check" dataDxfId="211">
      <calculatedColumnFormula>IF($B5="","",IF(AND($C5&lt;&gt;"",$D5&lt;&gt;"",$E5&lt;&gt;"",$F5&lt;&gt;"",$G5&lt;&gt;"",$H5&lt;&gt;"",$J5&lt;&gt;"",$K5&lt;&gt;"",$M5&lt;&gt;"",$U5&lt;&gt;"",ISNUMBER($V5),ISNUMBER($W5),$X5&lt;&gt;"",$Y5&lt;&gt;""),"Complete","Incomplete"))</calculatedColumnFormula>
    </tableColumn>
    <tableColumn id="27" xr3:uid="{8720767A-5E1A-465A-BA9B-AEED6FE00BA0}" name="Climate Relevance" dataDxfId="210"/>
    <tableColumn id="28" xr3:uid="{6D078F15-E36F-442B-9B49-F47E31A71D18}" name="Climate-Related Disruption Scenario" dataDxfId="209"/>
    <tableColumn id="29" xr3:uid="{46BE04FB-5D1D-45A7-A533-E94DC7D45DD3}" name="Climate-Sensitive Dependency / Interested Party" dataDxfId="20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D6FE89-B698-4016-95BB-C8E30351EC81}" name="StrategiesSolutions" displayName="StrategiesSolutions" ref="A4:W64" totalsRowShown="0" tableBorderDxfId="320">
  <tableColumns count="23">
    <tableColumn id="1" xr3:uid="{1352DC62-B1B9-4057-990C-D1E1AD27F8B6}" name="No." dataDxfId="319"/>
    <tableColumn id="2" xr3:uid="{878B183A-FA41-48C9-B65A-E5014D26B62B}" name="Risk ID" dataDxfId="318"/>
    <tableColumn id="3" xr3:uid="{AE25C37D-C9BD-4C93-82FC-C083136F31F0}" name="S&amp;S ID" dataDxfId="317">
      <calculatedColumnFormula>IF($B5="","","SS-"&amp;TEXT($A5,"000"))</calculatedColumnFormula>
    </tableColumn>
    <tableColumn id="4" xr3:uid="{26D6EB7D-653C-4423-A05C-5224B01C9F43}" name="Dependency" dataDxfId="316">
      <calculatedColumnFormula array="1">IF($B5="","",IFERROR(_xlfn.XLOOKUP($B5,INDEX(RiskAssessment[],0,2),INDEX(RiskAssessment[],0,5),""),""))</calculatedColumnFormula>
    </tableColumn>
    <tableColumn id="5" xr3:uid="{A4B1C19D-6459-42A5-85E0-1DCA806623E5}" name="Risk Assumption" dataDxfId="315">
      <calculatedColumnFormula array="1">IF($B5="","",IFERROR(_xlfn.XLOOKUP($B5,INDEX(RiskAssessment[],0,2),INDEX(RiskAssessment[],0,7),""),""))</calculatedColumnFormula>
    </tableColumn>
    <tableColumn id="6" xr3:uid="{A7B5100F-6245-41EC-8FA3-5695D5B19357}" name="Disruption Scenario" dataDxfId="314">
      <calculatedColumnFormula array="1">IF($B5="","",IFERROR(_xlfn.XLOOKUP($B5,INDEX(RiskAssessment[],0,2),INDEX(RiskAssessment[],0,8),""),""))</calculatedColumnFormula>
    </tableColumn>
    <tableColumn id="7" xr3:uid="{6023D80F-D1F3-4E80-A8A4-3EF1E3866CB7}" name="Products / Services" dataDxfId="313">
      <calculatedColumnFormula>IF($B5="","",_xlfn.XLOOKUP($B5,'10. Risk Assessment'!$B$5:$B$34,'10. Risk Assessment'!$F$5:$F$34,""))</calculatedColumnFormula>
    </tableColumn>
    <tableColumn id="8" xr3:uid="{CD18FCD5-7E22-426C-9CA9-137764B0DD11}" name="Strategy" dataDxfId="312"/>
    <tableColumn id="9" xr3:uid="{6ECE55E8-161D-4A7A-8BE3-1DE32ACCF6B5}" name="Strategy Details / Do nothing Justification" dataDxfId="311"/>
    <tableColumn id="10" xr3:uid="{77B74756-A37A-4620-A1BB-1160A0B3887E}" name="People" dataDxfId="310"/>
    <tableColumn id="11" xr3:uid="{AF1DCA8A-F786-4E6E-9669-541125B063D1}" name="ICT" dataDxfId="309"/>
    <tableColumn id="12" xr3:uid="{A25F7EE2-169E-4A12-A33E-E3409819BED2}" name="3rd Party" dataDxfId="308"/>
    <tableColumn id="13" xr3:uid="{9B062415-75BB-4E89-BD3D-34B631B93CD3}" name="Data Backup" dataDxfId="307"/>
    <tableColumn id="14" xr3:uid="{E354CAAF-E131-4365-860A-C1540A8F1F6A}" name="Equipment / Building / Utilities" dataDxfId="306"/>
    <tableColumn id="15" xr3:uid="{10C83A02-5B46-4F18-937C-4873BFB141FA}" name="Fund" dataDxfId="305"/>
    <tableColumn id="16" xr3:uid="{36AE74B1-8F0C-4A17-8D34-43DFF85E45C8}" name="Action Owner" dataDxfId="304"/>
    <tableColumn id="17" xr3:uid="{B68EA938-46CF-46CF-ABBA-BC345CE30488}" name="Start Date" dataDxfId="303"/>
    <tableColumn id="18" xr3:uid="{D545A17F-F91D-4025-A143-F373A0BE5047}" name="Due Date" dataDxfId="302"/>
    <tableColumn id="19" xr3:uid="{DC89CF17-1918-412D-8C68-03A8422510B1}" name="Completion Date" dataDxfId="301"/>
    <tableColumn id="20" xr3:uid="{9D9F800F-76A7-4167-8897-51D5166F7FE3}" name="Status" dataDxfId="300">
      <calculatedColumnFormula array="1">IF($B5="","",_xlfn.LET(_xlpm.flag,$J5:$O5,_xlpm.total,COUNTIFS('12. Requirements Register'!$C$5:$C$304,$C5,'12. Requirements Register'!$E$5:$E$304,$J$4:$O$4),_xlpm.readyCount,COUNTIFS('12. Requirements Register'!$C$5:$C$304,$C5,'12. Requirements Register'!$E$5:$E$304,$J$4:$O$4,'12. Requirements Register'!$M$5:$M$304,"Ready"),_xlpm.reqOK,SUM(--(_xlpm.flag="Yes")*--(_xlpm.total&gt;0)*--(_xlpm.readyCount=_xlpm.total))=COUNTIF(_xlpm.flag,"Yes"),_xlpm.core,AND($H5&lt;&gt;"",$I5&lt;&gt;"",$P5&lt;&gt;"",$Q5&lt;&gt;"",$R5&lt;&gt;"",$V5&lt;&gt;"",$V5&lt;&gt;"Not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calculatedColumnFormula>
    </tableColumn>
    <tableColumn id="21" xr3:uid="{72F65AFC-AE3C-4B0B-98B3-17C1E19DB7DB}" name="1:1 Check" dataDxfId="299">
      <calculatedColumnFormula>IF($B5="","",IF(COUNTIFS($B$5:$B$64,$B5,$G$5:$G$64,$G5,$H$5:$H$64,$H5)&gt;1,"DUPLICATE","OK"))</calculatedColumnFormula>
    </tableColumn>
    <tableColumn id="22" xr3:uid="{7EF1AF28-63FE-47AF-873F-D934B8A912F7}" name="R&amp;R IDs (auto)" dataDxfId="298">
      <calculatedColumnFormula array="1">IF($C5="","",IFERROR(_xlfn.LET(_xlpm.x,_xlfn.UNIQUE(_xlfn._xlws.FILTER('14. Recovery &amp; Response'!$B$6:$B$105,('14. Recovery &amp; Response'!$C$6:$C$105=$C5)*('14. Recovery &amp; Response'!$B$6:$B$105&lt;&gt;""))),_xlfn.TEXTJOIN(",",TRUE,_xlpm.x)),"Not Created"))</calculatedColumnFormula>
    </tableColumn>
    <tableColumn id="23" xr3:uid="{BBD67CD5-5DCE-4D44-B376-1CCFC0430743}" name="Remarks" dataDxfId="297"/>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455AF2-D279-40F6-8A5B-07044394CAED}" name="RequirementsRegister" displayName="RequirementsRegister" ref="A4:M304" totalsRowShown="0" headerRowDxfId="207" dataDxfId="205" headerRowBorderDxfId="206" tableBorderDxfId="204" totalsRowBorderDxfId="203">
  <autoFilter ref="A4:M304" xr:uid="{7A455AF2-D279-40F6-8A5B-07044394CAED}"/>
  <tableColumns count="13">
    <tableColumn id="1" xr3:uid="{5DB43A41-B820-4510-A5D7-FFA37F6F7AE3}" name="No." dataDxfId="202"/>
    <tableColumn id="2" xr3:uid="{913B74CF-6081-48F4-804F-1089E56382B6}" name="Req ID" dataDxfId="201">
      <calculatedColumnFormula>IF($F5="","","REQ-"&amp;TEXT($A5,"000"))</calculatedColumnFormula>
    </tableColumn>
    <tableColumn id="3" xr3:uid="{B6FCF077-0357-44D9-A022-CBF9DDD63FA9}" name="S&amp;S ID" dataDxfId="200"/>
    <tableColumn id="4" xr3:uid="{A5855D7C-A4CD-49FB-8704-7DBFB563ECA7}" name="Risk ID (auto)" dataDxfId="199">
      <calculatedColumnFormula>IF($C5="","",_xlfn.XLOOKUP($C5,StrategiesSolutions[S&amp;S ID],StrategiesSolutions[Risk ID],""))</calculatedColumnFormula>
    </tableColumn>
    <tableColumn id="5" xr3:uid="{1F2819DA-0079-42B5-9B24-6670CEB1E1F5}" name="Category" dataDxfId="198"/>
    <tableColumn id="6" xr3:uid="{EB9603EC-7806-426F-BCA0-A158DD225D56}" name="Item / Resource / Role" dataDxfId="197"/>
    <tableColumn id="7" xr3:uid="{8CC436FC-4087-486D-B6D4-9BD050194ACB}" name="Detail / Specification" dataDxfId="196"/>
    <tableColumn id="8" xr3:uid="{C5D9A60F-3C4E-4C48-91E3-F07E9EE638E2}" name="MBCO resource requirement" dataDxfId="195"/>
    <tableColumn id="9" xr3:uid="{DF6120CE-121E-4839-91BA-F33FF939A0D6}" name="Primary Location" dataDxfId="194"/>
    <tableColumn id="10" xr3:uid="{64DBE7F0-96D3-45AE-9FB9-71E27BDCA811}" name="Alternate Location(s)" dataDxfId="193"/>
    <tableColumn id="11" xr3:uid="{730FFFE8-2EF9-4E8D-BB25-3F1D6A0318F4}" name="Supporting Documents" dataDxfId="192"/>
    <tableColumn id="12" xr3:uid="{23B8E818-0DA8-4F03-AC19-509211C1328D}" name="Owner" dataDxfId="191"/>
    <tableColumn id="13" xr3:uid="{731180BF-E07B-45AD-9122-1D1A13ADF234}" name="Readiness (auto)" dataDxfId="190"/>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8832F1-1C0F-4DE0-BE26-478AF3C9B354}" name="ITDRRegister" displayName="ITDRRegister" ref="A4:T204" totalsRowShown="0" headerRowDxfId="189" headerRowBorderDxfId="188" tableBorderDxfId="187" totalsRowBorderDxfId="186">
  <autoFilter ref="A4:T204" xr:uid="{268832F1-1C0F-4DE0-BE26-478AF3C9B354}"/>
  <tableColumns count="20">
    <tableColumn id="1" xr3:uid="{DBEA5BD0-7039-4482-9079-9E6AA0CF42AA}" name="No." dataDxfId="185">
      <calculatedColumnFormula>ROW()-4</calculatedColumnFormula>
    </tableColumn>
    <tableColumn id="2" xr3:uid="{280DA513-A82F-4D32-8099-A829FA26EA8A}" name="DR ID" dataDxfId="184">
      <calculatedColumnFormula>IF(AND(ITDRRegister[[#This Row],[Dependency category]]="",ITDRRegister[[#This Row],[Dependency area]]=""),"","DR-"&amp;TEXT($A5,"000"))</calculatedColumnFormula>
    </tableColumn>
    <tableColumn id="3" xr3:uid="{A18F4E89-671A-46B6-B7F1-00DC2AB7FB8A}" name="Dependency category" dataDxfId="183"/>
    <tableColumn id="4" xr3:uid="{BAA7C00E-EB85-433E-A218-804B93F413DF}" name="Dependency area" dataDxfId="182"/>
    <tableColumn id="5" xr3:uid="{7DB24F0F-10E5-4079-A316-EF4EE4840FD6}" name="Dependent System / Application" dataDxfId="181"/>
    <tableColumn id="6" xr3:uid="{4756F808-6144-4A14-B0AC-3A740B37B5E3}" name="Business P&amp;S supported" dataDxfId="180"/>
    <tableColumn id="7" xr3:uid="{005FCD4B-792C-490C-9771-3BE8B7C00A99}" name="Required RTO" dataDxfId="179"/>
    <tableColumn id="8" xr3:uid="{079D6B47-DC23-478D-BC8E-C1F1C8F66C1E}" name="Required RPO" dataDxfId="178"/>
    <tableColumn id="9" xr3:uid="{9E78ECB2-332B-4102-8D0B-A54CB48A6828}" name="DR RTO (capable)" dataDxfId="177"/>
    <tableColumn id="10" xr3:uid="{FD9BCAC2-3A85-4393-A1C6-3C321CADFEB8}" name="DR RPO (capable)" dataDxfId="176"/>
    <tableColumn id="11" xr3:uid="{35CF3293-2ABB-4A90-B19B-067A83C6AC13}" name="DR Strategy" dataDxfId="175"/>
    <tableColumn id="12" xr3:uid="{60EF6D9E-53A4-477F-8872-4AEAA4F46C2F}" name="DR Site / Location" dataDxfId="174"/>
    <tableColumn id="13" xr3:uid="{61585D24-AD89-4522-93A8-5A723D5C392D}" name="Last DR Test" dataDxfId="173"/>
    <tableColumn id="20" xr3:uid="{A2EE6180-7F4A-4D1D-B02F-ADB7DA6DB299}" name="Test Scenario" dataDxfId="172"/>
    <tableColumn id="14" xr3:uid="{9F7799D1-BB34-4C97-98A0-10E4D4D0AF9E}" name="Result" dataDxfId="171"/>
    <tableColumn id="15" xr3:uid="{7897F76C-2015-4362-A61D-EED2FECA031C}" name="Next Test Due" dataDxfId="170">
      <calculatedColumnFormula>IF($M5="","",EDATE($M5,12))</calculatedColumnFormula>
    </tableColumn>
    <tableColumn id="16" xr3:uid="{5E9ECDD8-C4BA-4D67-97C9-F6C225183E98}" name="Status (auto)" dataDxfId="169">
      <calculatedColumnFormula>IF($E5="","",IF($K5="None (gap)","GAP - no DR",IF(OR($S5="Not Assessed",$T5="Not Assessed"),"Recovery Targets Incomplete",IF($M5="","Not Tested",IF(AND($P5&lt;&gt;"",$P5&lt;TODAY()),"Test Overdue",IF($O5="","Not Tested",IF($O5&lt;&gt;"Pass","Retest Required",IF(OR($S5&lt;&gt;"RTO Complied",$T5&lt;&gt;"RPO Complied"),"Recovery Not Compliant","Tested &amp; Current"))))))))</calculatedColumnFormula>
    </tableColumn>
    <tableColumn id="17" xr3:uid="{C06055F7-9922-42BE-8E0D-E6FF18333FDA}" name="Gaps / Remarks" dataDxfId="168"/>
    <tableColumn id="18" xr3:uid="{716B372D-BDA3-4F8C-B7B5-E9B64843A74A}" name="RTO Compliance" dataDxfId="167">
      <calculatedColumnFormula>IF($E5="","",IF(OR(NOT(ISNUMBER($G5)),NOT(ISNUMBER($I5))),"Not Assessed",IF($I5&lt;=$G5,"RTO Complied","RTO Not Complied")))</calculatedColumnFormula>
    </tableColumn>
    <tableColumn id="19" xr3:uid="{0756C2A5-7166-4174-BC9D-33B336B7D064}" name="RPO Compliance" dataDxfId="166">
      <calculatedColumnFormula>IF($E5="","",IF(OR(NOT(ISNUMBER($H5)),NOT(ISNUMBER($J5))),"Not Assessed",IF($J5&lt;=$H5,"RPO Complied","RPO Not Complied")))</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C4BDA4-EB40-4766-8B06-E2605F7164D9}" name="RecoveryResponsePlans" displayName="RecoveryResponsePlans" ref="A5:R105" totalsRowShown="0" tableBorderDxfId="165">
  <autoFilter ref="A5:R105" xr:uid="{79C4BDA4-EB40-4766-8B06-E2605F7164D9}"/>
  <tableColumns count="18">
    <tableColumn id="1" xr3:uid="{BF131B29-2429-4610-BCDC-0CAED4C45FA3}" name="No." dataDxfId="164"/>
    <tableColumn id="2" xr3:uid="{D6C0914A-FB9B-41F2-B061-FAB56D71D5C3}" name="R&amp;R ID" dataDxfId="163">
      <calculatedColumnFormula>IF($C6="","","RR-"&amp;TEXT($A6,"000"))</calculatedColumnFormula>
    </tableColumn>
    <tableColumn id="3" xr3:uid="{943C1D81-547B-4AAF-B409-2032F9346952}" name="S&amp;S ID" dataDxfId="162"/>
    <tableColumn id="4" xr3:uid="{56609447-641A-4FAB-AD9E-788CC58ED23B}" name="Product / Service" dataDxfId="161">
      <calculatedColumnFormula>IF($C6="","",_xlfn.XLOOKUP($C6,StrategiesSolutions[S&amp;S ID],StrategiesSolutions[Products / Services],""))</calculatedColumnFormula>
    </tableColumn>
    <tableColumn id="5" xr3:uid="{5CF235CF-D7B2-479E-B60B-207BD0B514E5}" name="Response &amp; Recovery Actions" dataDxfId="160"/>
    <tableColumn id="6" xr3:uid="{38841439-FD37-4925-8F25-73224AD2902A}" name="Supporting Plans / Procedures" dataDxfId="159"/>
    <tableColumn id="7" xr3:uid="{CA490D0C-9AF1-4F62-9BDE-6F14C02B7C42}" name="Dependency" dataDxfId="158">
      <calculatedColumnFormula>IF($C6="","",_xlfn.XLOOKUP($C6,StrategiesSolutions[S&amp;S ID],StrategiesSolutions[Dependency],""))</calculatedColumnFormula>
    </tableColumn>
    <tableColumn id="8" xr3:uid="{0809062F-5B53-468C-8DCE-D8FB2C956DD9}" name="Risk Assumption" dataDxfId="157">
      <calculatedColumnFormula>IF($C6="","",_xlfn.XLOOKUP($C6,StrategiesSolutions[S&amp;S ID],StrategiesSolutions[Risk Assumption],""))</calculatedColumnFormula>
    </tableColumn>
    <tableColumn id="9" xr3:uid="{F2BD6B2E-1892-43E1-991F-C7487AC7DEFD}" name="Disruption Scenario" dataDxfId="156">
      <calculatedColumnFormula>IF($C6="","",_xlfn.XLOOKUP($C6,StrategiesSolutions[S&amp;S ID],StrategiesSolutions[Disruption Scenario],""))</calculatedColumnFormula>
    </tableColumn>
    <tableColumn id="10" xr3:uid="{E2A13359-6F5A-41ED-8C25-6C9867F890E8}" name="Strategy" dataDxfId="155">
      <calculatedColumnFormula>IF($C6="","",_xlfn.XLOOKUP($C6,StrategiesSolutions[S&amp;S ID],StrategiesSolutions[Strategy],""))</calculatedColumnFormula>
    </tableColumn>
    <tableColumn id="11" xr3:uid="{6B5A2BF3-DD19-4A77-BEBF-EB12A415480E}" name="Solution Details" dataDxfId="154">
      <calculatedColumnFormula>IF($C6="","",_xlfn.LET(_xlpm.x,_xlfn.XLOOKUP($C6,StrategiesSolutions[S&amp;S ID],StrategiesSolutions[Strategy Details / Do nothing Justification],""),IF(_xlpm.x=0,"",_xlpm.x)))</calculatedColumnFormula>
    </tableColumn>
    <tableColumn id="12" xr3:uid="{8CD78B31-2490-44C4-BB76-AF5532D44F22}" name="Planned Exercise Date" dataDxfId="153"/>
    <tableColumn id="13" xr3:uid="{359D3443-306E-4567-A03B-ECF4F7D15792}" name="Actual Exercise Date" dataDxfId="152"/>
    <tableColumn id="14" xr3:uid="{2595AAF9-14D5-49CE-B956-6D847D694950}" name="Exercise Result" dataDxfId="151"/>
    <tableColumn id="15" xr3:uid="{C1C2393E-91F1-46C0-9C7E-A393CC1883C7}" name="Next Exercise Due" dataDxfId="150">
      <calculatedColumnFormula>IF($M6="","",EDATE($M6,12))</calculatedColumnFormula>
    </tableColumn>
    <tableColumn id="16" xr3:uid="{10DA5129-7101-43C4-B24E-74FAEB4B0FA2}" name="Exercise Status" dataDxfId="149">
      <calculatedColumnFormula>IF($C6="","",_xlfn.LET(_xlpm.ssStatus,_xlfn.XLOOKUP($C6,StrategiesSolutions[S&amp;S ID],StrategiesSolutions[Status],""),IF($L6="","Not Scheduled",IF($M6="",IF($L6&lt;TODAY(),"Overdue","Scheduled"),IF($N6="","Result Required",IF(OR($E6="",$F6="",$Q6=""),"Incomplete Exercise",IF($N6="Fail","Failed",IF(OR(OR($N6="Pass with Findings",$N6="Pass with finding"),_xlpm.ssStatus&lt;&gt;"Completed"),"Pass with Findings","Passed"))))))))</calculatedColumnFormula>
    </tableColumn>
    <tableColumn id="18" xr3:uid="{447AE24F-A06A-47E6-85F9-035E6510EFA0}" name="Duplicate Check" dataDxfId="148">
      <calculatedColumnFormula>IF($C6="","",IF(COUNTIFS($C$6:$C$105,$C6,$D$6:$D$105,$D6,$E$6:$E$105,$E6)&gt;1,"DUPLICATE","OK"))</calculatedColumnFormula>
    </tableColumn>
    <tableColumn id="19" xr3:uid="{AC2B17BC-8495-42B8-AC28-028A0B5CFAF6}" name="Remarks"/>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1BE6BA-6AFC-4185-99D5-F1AC2767242A}" name="CAPARegister" displayName="CAPARegister" ref="A5:X105" totalsRowShown="0" headerRowDxfId="147">
  <autoFilter ref="A5:X105" xr:uid="{231BE6BA-6AFC-4185-99D5-F1AC2767242A}"/>
  <tableColumns count="24">
    <tableColumn id="1" xr3:uid="{2F30DC1C-1D26-4F13-A7CA-89513FE34422}" name="No." dataDxfId="146"/>
    <tableColumn id="2" xr3:uid="{97D47339-BA3D-4090-8E85-F96A541D6A6F}" name="CAPA ID" dataDxfId="145">
      <calculatedColumnFormula>IF(F6="","","CAPA-"&amp;TEXT(A6,"000"))</calculatedColumnFormula>
    </tableColumn>
    <tableColumn id="3" xr3:uid="{237245A0-B0EB-4442-AC7F-309077D87C36}" name="Source Type" dataDxfId="144"/>
    <tableColumn id="4" xr3:uid="{50DEC947-124B-41D3-B8D7-7203BC5E3541}" name="Source Ref"/>
    <tableColumn id="5" xr3:uid="{53F62562-F001-446A-A19E-64D52811469B}" name="Finding Date" dataDxfId="143"/>
    <tableColumn id="6" xr3:uid="{F2C376C2-3BF0-498D-8B8D-74E99FC771E2}" name="Finding" dataDxfId="142"/>
    <tableColumn id="7" xr3:uid="{FD65C8B2-6904-46E3-8FB4-B63822911F31}" name="Severity" dataDxfId="141"/>
    <tableColumn id="8" xr3:uid="{3D6127B3-5EBE-4247-879C-18C4C656BC1E}" name="Immediate Correction" dataDxfId="140"/>
    <tableColumn id="10" xr3:uid="{A9F0D50F-3914-4571-BDFD-BC86BB4329AF}" name="Root Cause" dataDxfId="139"/>
    <tableColumn id="11" xr3:uid="{DDE22EDE-4DCB-4494-8126-2211D7930E5B}" name="Corrective Action" dataDxfId="138"/>
    <tableColumn id="12" xr3:uid="{90E28DE2-FF6E-46C2-8E8E-BBF315372AE4}" name="Owner"/>
    <tableColumn id="13" xr3:uid="{56A93DDC-5B97-45AC-AF08-D68905CC0C14}" name="Target Date" dataDxfId="137"/>
    <tableColumn id="14" xr3:uid="{631B28CF-D094-4A46-9959-AC6F1E896A03}" name="Status" dataDxfId="136"/>
    <tableColumn id="15" xr3:uid="{525CBCE3-D12A-4A92-B2EF-2D325F5453FF}" name="Evidence Ref" dataDxfId="135"/>
    <tableColumn id="16" xr3:uid="{48D8026A-DBF4-4A54-A234-4ED396D4CD82}" name="Verification Owner" dataDxfId="134"/>
    <tableColumn id="17" xr3:uid="{6ACFF5D9-36F5-4C14-BB65-9466B675B2E0}" name="Verification Date" dataDxfId="133"/>
    <tableColumn id="18" xr3:uid="{CC58EC79-F70D-40FC-9B8D-42DB8750F7EE}" name="Effectiveness" dataDxfId="132"/>
    <tableColumn id="19" xr3:uid="{F05933A2-CE6C-4A50-A0EB-452B817637B6}" name="Closure Date" dataDxfId="131"/>
    <tableColumn id="20" xr3:uid="{554E13E8-EE14-4645-B160-D9123FA56F38}" name="Days Open" dataDxfId="130">
      <calculatedColumnFormula>IF(E6="","",IF(R6&lt;&gt;"",R6-E6,TODAY()-E6))</calculatedColumnFormula>
    </tableColumn>
    <tableColumn id="21" xr3:uid="{FE8FC7E0-7473-4F13-BF54-838259BB953D}" name="Overdue" dataDxfId="129">
      <calculatedColumnFormula>IF(OR(M6="Closed",M6="Cancelled",L6=""),"",IF(L6&lt;TODAY(),"Overdue","On Track"))</calculatedColumnFormula>
    </tableColumn>
    <tableColumn id="23" xr3:uid="{21C340DC-0C56-43A5-A8E6-54EA14C61CEA}" name="Risk ID"/>
    <tableColumn id="26" xr3:uid="{F4839680-35F8-48AB-8A9C-7A48D1B5F16F}" name="S&amp;S ID"/>
    <tableColumn id="24" xr3:uid="{ED18114D-1998-49E4-B920-9192A033CD08}" name="R&amp;R ID"/>
    <tableColumn id="25" xr3:uid="{BA36028E-DD7A-4DDF-944A-75CFA451934B}" name="Remarks" dataDxfId="128"/>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84D73E-4348-4902-BD72-9A502B7B4580}">
  <we:reference id="WA200009404" version="1.0.0.8" store="Omex" storeType="OMEX"/>
  <we:alternateReferences>
    <we:reference id="WA200009404" version="1.0.0.8" store="WA200009404" storeType="OMEX"/>
  </we:alternateReferences>
  <we:properties>
    <we:property name="claude.fileId" value="&quot;68e4f490-e5e4-437e-8e7f-65c1196a219e&quot;"/>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4.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5.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6.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7.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8.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9.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1772B-FDD2-4DF6-8E03-08AC1A51F13D}">
  <dimension ref="A1:D32"/>
  <sheetViews>
    <sheetView workbookViewId="0">
      <selection activeCell="D48" sqref="D48"/>
    </sheetView>
  </sheetViews>
  <sheetFormatPr defaultRowHeight="14.5" x14ac:dyDescent="0.35"/>
  <cols>
    <col min="1" max="1" width="21.81640625" customWidth="1"/>
    <col min="2" max="2" width="19.08984375" customWidth="1"/>
    <col min="3" max="3" width="47.26953125" customWidth="1"/>
    <col min="4" max="4" width="27.26953125" customWidth="1"/>
  </cols>
  <sheetData>
    <row r="1" spans="1:4" x14ac:dyDescent="0.35">
      <c r="A1" s="317" t="s">
        <v>102</v>
      </c>
      <c r="B1" s="315"/>
      <c r="C1" s="315"/>
      <c r="D1" s="315"/>
    </row>
    <row r="2" spans="1:4" x14ac:dyDescent="0.35">
      <c r="A2" s="318" t="s">
        <v>103</v>
      </c>
      <c r="B2" s="315"/>
      <c r="C2" s="315"/>
      <c r="D2" s="315"/>
    </row>
    <row r="4" spans="1:4" ht="15.5" x14ac:dyDescent="0.35">
      <c r="A4" s="3" t="s">
        <v>104</v>
      </c>
    </row>
    <row r="5" spans="1:4" x14ac:dyDescent="0.35">
      <c r="A5" s="4" t="s">
        <v>105</v>
      </c>
      <c r="B5" s="292">
        <v>1</v>
      </c>
    </row>
    <row r="6" spans="1:4" x14ac:dyDescent="0.35">
      <c r="A6" s="4" t="s">
        <v>106</v>
      </c>
      <c r="B6" s="293">
        <v>46031</v>
      </c>
    </row>
    <row r="7" spans="1:4" x14ac:dyDescent="0.35">
      <c r="A7" s="4" t="s">
        <v>107</v>
      </c>
      <c r="B7" s="293">
        <f>IF(B6="","",EDATE(B6,12))</f>
        <v>46396</v>
      </c>
    </row>
    <row r="8" spans="1:4" x14ac:dyDescent="0.35">
      <c r="A8" s="4" t="s">
        <v>5</v>
      </c>
      <c r="B8" s="292" t="s">
        <v>946</v>
      </c>
    </row>
    <row r="9" spans="1:4" x14ac:dyDescent="0.35">
      <c r="A9" s="4" t="s">
        <v>108</v>
      </c>
      <c r="B9" s="294" t="s">
        <v>947</v>
      </c>
    </row>
    <row r="11" spans="1:4" x14ac:dyDescent="0.35">
      <c r="A11" s="5" t="s">
        <v>109</v>
      </c>
    </row>
    <row r="12" spans="1:4" x14ac:dyDescent="0.35">
      <c r="A12" s="6" t="s">
        <v>110</v>
      </c>
      <c r="B12" s="6" t="s">
        <v>111</v>
      </c>
      <c r="C12" s="6" t="s">
        <v>112</v>
      </c>
      <c r="D12" s="6" t="s">
        <v>113</v>
      </c>
    </row>
    <row r="13" spans="1:4" x14ac:dyDescent="0.35">
      <c r="A13" s="301"/>
      <c r="B13" s="301"/>
      <c r="C13" s="302"/>
      <c r="D13" s="303"/>
    </row>
    <row r="15" spans="1:4" x14ac:dyDescent="0.35">
      <c r="A15" s="5" t="s">
        <v>114</v>
      </c>
    </row>
    <row r="16" spans="1:4" x14ac:dyDescent="0.35">
      <c r="A16" s="6" t="s">
        <v>110</v>
      </c>
      <c r="B16" s="6" t="s">
        <v>111</v>
      </c>
      <c r="C16" s="6" t="s">
        <v>112</v>
      </c>
      <c r="D16" s="6" t="s">
        <v>113</v>
      </c>
    </row>
    <row r="17" spans="1:4" x14ac:dyDescent="0.35">
      <c r="A17" s="301"/>
      <c r="B17" s="301"/>
      <c r="C17" s="302"/>
      <c r="D17" s="303"/>
    </row>
    <row r="18" spans="1:4" x14ac:dyDescent="0.35">
      <c r="A18" s="33"/>
    </row>
    <row r="19" spans="1:4" x14ac:dyDescent="0.35">
      <c r="A19" s="5" t="s">
        <v>115</v>
      </c>
    </row>
    <row r="20" spans="1:4" x14ac:dyDescent="0.35">
      <c r="A20" s="6" t="s">
        <v>110</v>
      </c>
      <c r="B20" s="6" t="s">
        <v>111</v>
      </c>
      <c r="C20" s="6" t="s">
        <v>112</v>
      </c>
      <c r="D20" s="6" t="s">
        <v>113</v>
      </c>
    </row>
    <row r="21" spans="1:4" x14ac:dyDescent="0.35">
      <c r="A21" s="301"/>
      <c r="B21" s="301"/>
      <c r="C21" s="302"/>
      <c r="D21" s="303"/>
    </row>
    <row r="23" spans="1:4" ht="24" customHeight="1" x14ac:dyDescent="0.35">
      <c r="A23" s="296" t="s">
        <v>948</v>
      </c>
      <c r="B23" s="297"/>
      <c r="C23" s="297"/>
      <c r="D23" s="297"/>
    </row>
    <row r="24" spans="1:4" x14ac:dyDescent="0.35">
      <c r="A24" s="295" t="s">
        <v>949</v>
      </c>
      <c r="B24" s="295" t="s">
        <v>950</v>
      </c>
      <c r="C24" s="295" t="s">
        <v>951</v>
      </c>
      <c r="D24" s="295" t="s">
        <v>952</v>
      </c>
    </row>
    <row r="25" spans="1:4" x14ac:dyDescent="0.35">
      <c r="A25" s="298">
        <f>IF($B$5="","",$B$5)</f>
        <v>1</v>
      </c>
      <c r="B25" s="299">
        <f>IF($B$6="","",$B$6)</f>
        <v>46031</v>
      </c>
      <c r="C25" s="299" t="s">
        <v>953</v>
      </c>
      <c r="D25" s="300" t="str">
        <f>IF($B$21="","",$B$21)</f>
        <v/>
      </c>
    </row>
    <row r="26" spans="1:4" x14ac:dyDescent="0.35">
      <c r="A26" s="298"/>
      <c r="B26" s="299"/>
      <c r="C26" s="299"/>
      <c r="D26" s="300"/>
    </row>
    <row r="27" spans="1:4" x14ac:dyDescent="0.35">
      <c r="A27" s="298"/>
      <c r="B27" s="299"/>
      <c r="C27" s="299"/>
      <c r="D27" s="300"/>
    </row>
    <row r="28" spans="1:4" x14ac:dyDescent="0.35">
      <c r="A28" s="298"/>
      <c r="B28" s="299"/>
      <c r="C28" s="299"/>
      <c r="D28" s="300"/>
    </row>
    <row r="29" spans="1:4" x14ac:dyDescent="0.35">
      <c r="A29" s="298"/>
      <c r="B29" s="299"/>
      <c r="C29" s="299"/>
      <c r="D29" s="300"/>
    </row>
    <row r="30" spans="1:4" x14ac:dyDescent="0.35">
      <c r="A30" s="298"/>
      <c r="B30" s="299"/>
      <c r="C30" s="299"/>
      <c r="D30" s="300"/>
    </row>
    <row r="31" spans="1:4" x14ac:dyDescent="0.35">
      <c r="A31" s="298"/>
      <c r="B31" s="299"/>
      <c r="C31" s="299"/>
      <c r="D31" s="300"/>
    </row>
    <row r="32" spans="1:4" x14ac:dyDescent="0.35">
      <c r="A32" s="298"/>
      <c r="B32" s="299"/>
      <c r="C32" s="299"/>
      <c r="D32" s="300"/>
    </row>
  </sheetData>
  <mergeCells count="2">
    <mergeCell ref="A1:D1"/>
    <mergeCell ref="A2:D2"/>
  </mergeCells>
  <pageMargins left="0.7" right="0.7" top="0.75" bottom="0.75" header="0.3" footer="0.3"/>
  <ignoredErrors>
    <ignoredError sqref="B7"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D13"/>
  <sheetViews>
    <sheetView showGridLines="0" zoomScaleNormal="100" workbookViewId="0">
      <selection activeCell="B12" sqref="B12"/>
    </sheetView>
  </sheetViews>
  <sheetFormatPr defaultColWidth="8.54296875" defaultRowHeight="14.5" x14ac:dyDescent="0.35"/>
  <cols>
    <col min="1" max="1" width="26" style="39" customWidth="1"/>
    <col min="2" max="2" width="104" style="39" customWidth="1"/>
    <col min="3" max="3" width="22" style="39" customWidth="1"/>
    <col min="4" max="16384" width="8.54296875" style="39"/>
  </cols>
  <sheetData>
    <row r="1" spans="1:4" ht="27.75" customHeight="1" x14ac:dyDescent="0.35">
      <c r="A1" s="319" t="s">
        <v>214</v>
      </c>
      <c r="B1" s="320"/>
      <c r="C1" s="320"/>
    </row>
    <row r="2" spans="1:4" ht="18" customHeight="1" x14ac:dyDescent="0.35">
      <c r="A2" s="321" t="s">
        <v>215</v>
      </c>
      <c r="B2" s="320"/>
      <c r="C2" s="320"/>
    </row>
    <row r="4" spans="1:4" ht="15" customHeight="1" x14ac:dyDescent="0.35">
      <c r="A4" s="40" t="s">
        <v>216</v>
      </c>
    </row>
    <row r="5" spans="1:4" ht="15" customHeight="1" x14ac:dyDescent="0.35">
      <c r="A5" s="41" t="s">
        <v>217</v>
      </c>
      <c r="B5" s="42" t="s">
        <v>218</v>
      </c>
    </row>
    <row r="6" spans="1:4" ht="15" customHeight="1" x14ac:dyDescent="0.35">
      <c r="A6" s="43" t="s">
        <v>219</v>
      </c>
      <c r="B6" s="42" t="s">
        <v>220</v>
      </c>
    </row>
    <row r="8" spans="1:4" ht="63.75" customHeight="1" x14ac:dyDescent="0.35">
      <c r="A8" s="44" t="s">
        <v>221</v>
      </c>
      <c r="B8" s="42" t="s">
        <v>222</v>
      </c>
    </row>
    <row r="9" spans="1:4" ht="63.75" customHeight="1" x14ac:dyDescent="0.35">
      <c r="A9" s="45" t="s">
        <v>223</v>
      </c>
      <c r="B9" s="42" t="s">
        <v>224</v>
      </c>
      <c r="D9" s="48"/>
    </row>
    <row r="10" spans="1:4" ht="115.5" customHeight="1" x14ac:dyDescent="0.35">
      <c r="A10" s="45" t="s">
        <v>225</v>
      </c>
      <c r="B10" s="42" t="s">
        <v>226</v>
      </c>
    </row>
    <row r="11" spans="1:4" ht="63.75" customHeight="1" x14ac:dyDescent="0.35">
      <c r="A11" s="45" t="s">
        <v>227</v>
      </c>
      <c r="B11" s="42" t="s">
        <v>228</v>
      </c>
    </row>
    <row r="12" spans="1:4" ht="82.5" customHeight="1" x14ac:dyDescent="0.35">
      <c r="A12" s="46" t="s">
        <v>229</v>
      </c>
      <c r="B12" s="42" t="s">
        <v>230</v>
      </c>
    </row>
    <row r="13" spans="1:4" ht="63.75" customHeight="1" x14ac:dyDescent="0.35">
      <c r="A13" s="47" t="s">
        <v>231</v>
      </c>
      <c r="B13" s="42" t="s">
        <v>232</v>
      </c>
    </row>
  </sheetData>
  <sheetProtection selectLockedCells="1" selectUnlockedCells="1"/>
  <mergeCells count="2">
    <mergeCell ref="A1:C1"/>
    <mergeCell ref="A2:C2"/>
  </mergeCells>
  <pageMargins left="0.75" right="0.75" top="1" bottom="1" header="0.511811023622047" footer="0.51180555555555596"/>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2A900"/>
  </sheetPr>
  <dimension ref="A1:H31"/>
  <sheetViews>
    <sheetView showGridLines="0" zoomScaleNormal="100" workbookViewId="0">
      <selection activeCell="H8" sqref="H8"/>
    </sheetView>
  </sheetViews>
  <sheetFormatPr defaultColWidth="8.54296875" defaultRowHeight="14.5" x14ac:dyDescent="0.35"/>
  <cols>
    <col min="1" max="1" width="34" customWidth="1"/>
    <col min="2" max="2" width="12" customWidth="1"/>
    <col min="3" max="3" width="4" customWidth="1"/>
    <col min="4" max="4" width="34" customWidth="1"/>
    <col min="5" max="5" width="12" customWidth="1"/>
    <col min="6" max="6" width="4" customWidth="1"/>
    <col min="7" max="7" width="34" customWidth="1"/>
    <col min="8" max="8" width="12" customWidth="1"/>
  </cols>
  <sheetData>
    <row r="1" spans="1:8" ht="27.75" customHeight="1" x14ac:dyDescent="0.35">
      <c r="A1" s="317" t="s">
        <v>390</v>
      </c>
      <c r="B1" s="315"/>
      <c r="C1" s="315"/>
      <c r="D1" s="315"/>
      <c r="E1" s="315"/>
      <c r="F1" s="315"/>
      <c r="G1" s="315"/>
      <c r="H1" s="315"/>
    </row>
    <row r="2" spans="1:8" ht="18" customHeight="1" x14ac:dyDescent="0.35">
      <c r="A2" s="318" t="s">
        <v>391</v>
      </c>
      <c r="B2" s="315"/>
      <c r="C2" s="315"/>
      <c r="D2" s="315"/>
      <c r="E2" s="315"/>
      <c r="F2" s="315"/>
      <c r="G2" s="315"/>
      <c r="H2" s="315"/>
    </row>
    <row r="4" spans="1:8" ht="15" customHeight="1" x14ac:dyDescent="0.35">
      <c r="A4" s="22" t="s">
        <v>392</v>
      </c>
      <c r="D4" s="22" t="s">
        <v>393</v>
      </c>
      <c r="G4" s="22" t="s">
        <v>394</v>
      </c>
    </row>
    <row r="5" spans="1:8" ht="15" customHeight="1" x14ac:dyDescent="0.35">
      <c r="A5" s="23" t="s">
        <v>395</v>
      </c>
      <c r="B5" s="24">
        <f>COUNTIF('04. Products &amp; Services'!$I$6:$I$50,"Yes")</f>
        <v>1</v>
      </c>
      <c r="D5" s="23" t="s">
        <v>396</v>
      </c>
      <c r="E5" s="24">
        <f>COUNTIF(INDEX(RiskAssessment[],0,2),"RA-*")</f>
        <v>1</v>
      </c>
      <c r="G5" s="23" t="s">
        <v>397</v>
      </c>
      <c r="H5" s="24">
        <f>COUNTIF('14. Recovery &amp; Response'!$C$6:$C$105,"SS-*")</f>
        <v>1</v>
      </c>
    </row>
    <row r="6" spans="1:8" ht="15" customHeight="1" x14ac:dyDescent="0.35">
      <c r="A6" s="23" t="s">
        <v>398</v>
      </c>
      <c r="B6" s="24" cm="1">
        <f t="array" aca="1" ref="B6" ca="1">SUMPRODUCT(--('07. BIA'!$B$6:$B$285&lt;&gt;""),--ISNUMBER('07. BIA'!$AF$6:$AF$285))</f>
        <v>1</v>
      </c>
      <c r="D6" s="23" t="s">
        <v>399</v>
      </c>
      <c r="E6" s="260">
        <f>COUNTIF('10. Risk Assessment'!$P$5:$P$34,"Critical")+COUNTIF('10. Risk Assessment'!$P$5:$P$34,"Significant")</f>
        <v>1</v>
      </c>
      <c r="G6" s="23" t="s">
        <v>400</v>
      </c>
      <c r="H6" s="24" t="str">
        <f ca="1">COUNT(RecoveryResponsePlans[Actual Exercise Date])&amp;" / "&amp;COUNTIF(RecoveryResponsePlans[Exercise Status],"Overdue")</f>
        <v>0 / 0</v>
      </c>
    </row>
    <row r="7" spans="1:8" ht="15" customHeight="1" x14ac:dyDescent="0.35">
      <c r="A7" s="23" t="s">
        <v>401</v>
      </c>
      <c r="B7" s="24">
        <f>COUNTIF('07. BIA'!$W$6:$W$285,"Yes")</f>
        <v>1</v>
      </c>
      <c r="D7" s="23" t="s">
        <v>402</v>
      </c>
      <c r="E7" s="260">
        <f>COUNTIF('10. Risk Assessment'!$Q$5:$Q$34,1)+COUNTIF('10. Risk Assessment'!$Q$5:$Q$34,2)</f>
        <v>1</v>
      </c>
      <c r="G7" s="23" t="s">
        <v>403</v>
      </c>
      <c r="H7" s="24" t="str">
        <f ca="1">COUNTIF(ITDRRegister[DR ID],"DR-*")&amp;" / "&amp;COUNTIF(ITDRRegister[Status (auto)],"Tested &amp; Current")</f>
        <v>0 / 0</v>
      </c>
    </row>
    <row r="8" spans="1:8" ht="15" customHeight="1" x14ac:dyDescent="0.35">
      <c r="A8" s="23" t="s">
        <v>404</v>
      </c>
      <c r="B8" s="24" cm="1">
        <f t="array" ref="B8">_xlfn.LET(_xlpm.x,INDEX(RiskAssessment[],0,6),SUMPRODUCT(--(_xlpm.x&lt;&gt;""),LEN(_xlpm.x)-LEN(SUBSTITUTE(_xlpm.x,",",""))+1))</f>
        <v>1</v>
      </c>
      <c r="D8" s="23" t="s">
        <v>405</v>
      </c>
      <c r="E8" s="24" t="str">
        <f ca="1">COUNTIF('11. Strategies &amp; Solutions'!$C$5:$C$64,"SS-*")&amp;" / "&amp;COUNTIF('11. Strategies &amp; Solutions'!$T$5:$T$64,"Overdue")</f>
        <v>1 / 0</v>
      </c>
      <c r="G8" s="23" t="s">
        <v>891</v>
      </c>
      <c r="H8" s="24" cm="1">
        <f t="array" aca="1" ref="H8" ca="1">SUMPRODUCT(--(LEFT('18. ISO Docs &amp; Records'!$A$5:$A$24,4)="EXT-"),--(((('18. ISO Docs &amp; Records'!$F$5:$F$24&lt;&gt;"Evidence Filed")*('18. ISO Docs &amp; Records'!$F$5:$F$24&lt;&gt;"Not Applicable"))+('18. ISO Docs &amp; Records'!$S$5:$S$24="Overdue"))&gt;0))</f>
        <v>20</v>
      </c>
    </row>
    <row r="9" spans="1:8" ht="15" customHeight="1" x14ac:dyDescent="0.35">
      <c r="A9" s="23" t="s">
        <v>406</v>
      </c>
      <c r="B9" s="24">
        <f>COUNTIF('08. Dependency Register'!$B$5:$B$204,"DEP-*")</f>
        <v>0</v>
      </c>
      <c r="D9" s="23" t="s">
        <v>407</v>
      </c>
      <c r="E9" s="24">
        <f>COUNTIF('12. Requirements Register'!$B$5:$B$304,"REQ-*")</f>
        <v>0</v>
      </c>
      <c r="G9" s="23" t="s">
        <v>408</v>
      </c>
      <c r="H9" s="24">
        <f ca="1">COUNTIF('19. ISO 22301 Map'!$D$5:$D$43,"Missing")</f>
        <v>0</v>
      </c>
    </row>
    <row r="10" spans="1:8" ht="15" customHeight="1" x14ac:dyDescent="0.35">
      <c r="A10" s="23" t="s">
        <v>409</v>
      </c>
      <c r="B10" s="24">
        <f ca="1">SUMPRODUCT(--('07. BIA'!$AG$6:$AG$285&lt;&gt;"")*('07. BIA'!$AG$6:$AG$285&lt;TODAY()))</f>
        <v>0</v>
      </c>
      <c r="G10" s="23" t="s">
        <v>410</v>
      </c>
      <c r="H10" s="24">
        <f>COUNTIF('11. Strategies &amp; Solutions'!$U$5:$U$64,"DUPLICATE")</f>
        <v>0</v>
      </c>
    </row>
    <row r="12" spans="1:8" ht="15" customHeight="1" x14ac:dyDescent="0.35">
      <c r="A12" s="22" t="s">
        <v>411</v>
      </c>
    </row>
    <row r="13" spans="1:8" ht="15" customHeight="1" x14ac:dyDescent="0.35">
      <c r="A13" s="25" t="str">
        <f>'17. BCMS Progress (PDCA)'!$C$5</f>
        <v>Scope &amp; Context (0a Profile + P&amp;S)</v>
      </c>
      <c r="B13" s="16" t="str">
        <f>'17. BCMS Progress (PDCA)'!$F$5</f>
        <v>Partial</v>
      </c>
    </row>
    <row r="14" spans="1:8" ht="15" customHeight="1" x14ac:dyDescent="0.35">
      <c r="A14" s="25" t="str">
        <f>'17. BCMS Progress (PDCA)'!$C$6</f>
        <v>Leadership &amp; Policy (BCM Policy approved)</v>
      </c>
      <c r="B14" s="16" t="str">
        <f>'17. BCMS Progress (PDCA)'!$F$6</f>
        <v>Not Assessed</v>
      </c>
    </row>
    <row r="15" spans="1:8" ht="15" customHeight="1" x14ac:dyDescent="0.35">
      <c r="A15" s="25" t="str">
        <f>'17. BCMS Progress (PDCA)'!$C$7</f>
        <v>Corporate BIA (CEO-level criticality)</v>
      </c>
      <c r="B15" s="16" t="str">
        <f>'17. BCMS Progress (PDCA)'!$F$7</f>
        <v>Yes</v>
      </c>
    </row>
    <row r="16" spans="1:8" ht="15" customHeight="1" x14ac:dyDescent="0.35">
      <c r="A16" s="25" t="str">
        <f>'17. BCMS Progress (PDCA)'!$C$8</f>
        <v>Business Impact Analysis (+ review currency)</v>
      </c>
      <c r="B16" s="16" t="str">
        <f ca="1">'17. BCMS Progress (PDCA)'!$F$8</f>
        <v>Yes</v>
      </c>
    </row>
    <row r="17" spans="1:8" ht="15" customHeight="1" x14ac:dyDescent="0.35">
      <c r="A17" s="25" t="str">
        <f>'17. BCMS Progress (PDCA)'!$C$9</f>
        <v>Dependency Register</v>
      </c>
      <c r="B17" s="16" t="str">
        <f>'17. BCMS Progress (PDCA)'!$F$9</f>
        <v>Yes</v>
      </c>
    </row>
    <row r="18" spans="1:8" ht="15" customHeight="1" x14ac:dyDescent="0.35">
      <c r="A18" s="25" t="str">
        <f>'17. BCMS Progress (PDCA)'!$C$10</f>
        <v>Risk Assessment (all assumptions rated)</v>
      </c>
      <c r="B18" s="16" t="str">
        <f>'17. BCMS Progress (PDCA)'!$F$10</f>
        <v>Partial</v>
      </c>
    </row>
    <row r="19" spans="1:8" ht="15" customHeight="1" x14ac:dyDescent="0.35">
      <c r="A19" s="25" t="str">
        <f>'17. BCMS Progress (PDCA)'!$C$11</f>
        <v>Strategies &amp; Solutions (every risk covered)</v>
      </c>
      <c r="B19" s="16" t="str">
        <f ca="1">'17. BCMS Progress (PDCA)'!$F$11</f>
        <v>Partial</v>
      </c>
    </row>
    <row r="20" spans="1:8" ht="15" customHeight="1" x14ac:dyDescent="0.35">
      <c r="A20" s="25" t="str">
        <f>'17. BCMS Progress (PDCA)'!$C$12</f>
        <v>Requirements captured (5b)</v>
      </c>
      <c r="B20" s="16" t="str">
        <f>'17. BCMS Progress (PDCA)'!$F$12</f>
        <v>Partial</v>
      </c>
    </row>
    <row r="21" spans="1:8" ht="15" customHeight="1" x14ac:dyDescent="0.35">
      <c r="A21" s="25" t="str">
        <f>'17. BCMS Progress (PDCA)'!$C$13</f>
        <v>BCP Development (every S&amp;S in a BCP)</v>
      </c>
      <c r="B21" s="16" t="str">
        <f>'17. BCMS Progress (PDCA)'!$F$13</f>
        <v>Partial</v>
      </c>
    </row>
    <row r="22" spans="1:8" ht="15" customHeight="1" x14ac:dyDescent="0.35">
      <c r="A22" s="25" t="str">
        <f>'17. BCMS Progress (PDCA)'!$C$14</f>
        <v>IT DR &amp; Cyber Resilience (ISO 22301 8.3 ICT)</v>
      </c>
      <c r="B22" s="16" t="str">
        <f ca="1">'17. BCMS Progress (PDCA)'!$F$14</f>
        <v>Not Assessed</v>
      </c>
    </row>
    <row r="23" spans="1:8" ht="15" customHeight="1" x14ac:dyDescent="0.35">
      <c r="A23" s="25" t="str">
        <f>'17. BCMS Progress (PDCA)'!$C$15</f>
        <v>Exercising &amp; Testing</v>
      </c>
      <c r="B23" s="16" t="str">
        <f ca="1">'17. BCMS Progress (PDCA)'!$F$15</f>
        <v>Partial</v>
      </c>
    </row>
    <row r="24" spans="1:8" ht="15" customHeight="1" x14ac:dyDescent="0.35">
      <c r="A24" s="25" t="str">
        <f>'17. BCMS Progress (PDCA)'!$C$16</f>
        <v>Performance Evaluation (KPIs to Board)</v>
      </c>
      <c r="B24" s="16" t="str">
        <f>'17. BCMS Progress (PDCA)'!$F$16</f>
        <v>Not Assessed</v>
      </c>
    </row>
    <row r="25" spans="1:8" ht="15" customHeight="1" x14ac:dyDescent="0.35">
      <c r="A25" s="25" t="str">
        <f>'17. BCMS Progress (PDCA)'!$C$17</f>
        <v>Internal Audit of BCMS</v>
      </c>
      <c r="B25" s="16" t="str">
        <f>'17. BCMS Progress (PDCA)'!$F$17</f>
        <v>Not Assessed</v>
      </c>
    </row>
    <row r="26" spans="1:8" ht="15" customHeight="1" x14ac:dyDescent="0.35">
      <c r="A26" s="25" t="str">
        <f>'17. BCMS Progress (PDCA)'!$C$18</f>
        <v>Management Review</v>
      </c>
      <c r="B26" s="16" t="str">
        <f>'17. BCMS Progress (PDCA)'!$F$18</f>
        <v>Not Assessed</v>
      </c>
    </row>
    <row r="27" spans="1:8" ht="15" customHeight="1" x14ac:dyDescent="0.35">
      <c r="A27" s="25" t="str">
        <f>'17. BCMS Progress (PDCA)'!$C$19</f>
        <v>Continual Improvement</v>
      </c>
      <c r="B27" s="16" t="str">
        <f ca="1">'17. BCMS Progress (PDCA)'!$F$19</f>
        <v>Not Assessed</v>
      </c>
    </row>
    <row r="29" spans="1:8" x14ac:dyDescent="0.35">
      <c r="A29" s="322" t="s">
        <v>806</v>
      </c>
      <c r="B29" s="322"/>
      <c r="C29" s="322"/>
      <c r="D29" s="322"/>
      <c r="E29" s="322"/>
      <c r="F29" s="322"/>
      <c r="G29" s="322"/>
      <c r="H29" s="322"/>
    </row>
    <row r="30" spans="1:8" x14ac:dyDescent="0.35">
      <c r="A30" t="s">
        <v>807</v>
      </c>
      <c r="B30">
        <f>COUNTIFS(CAPARegister[CAPA ID],"CAPA-*",CAPARegister[Status],"&lt;&gt;Closed",CAPARegister[Status],"&lt;&gt;Cancelled")</f>
        <v>0</v>
      </c>
      <c r="D30" t="s">
        <v>808</v>
      </c>
      <c r="E30">
        <f ca="1">COUNTIF(CAPARegister[Overdue],"Overdue")</f>
        <v>0</v>
      </c>
      <c r="G30" t="s">
        <v>809</v>
      </c>
      <c r="H30">
        <f>COUNTIFS(CAPARegister[Status],"Pending Verification")+COUNTIFS(CAPARegister[Status],"Closed",CAPARegister[Effectiveness],"Pending")</f>
        <v>0</v>
      </c>
    </row>
    <row r="31" spans="1:8" x14ac:dyDescent="0.35">
      <c r="A31" t="s">
        <v>810</v>
      </c>
      <c r="B31">
        <f>COUNTIFS(CAPARegister[Status],"&lt;&gt;Closed",CAPARegister[Status],"&lt;&gt;Cancelled",CAPARegister[Severity],"Critical")+COUNTIFS(CAPARegister[Status],"&lt;&gt;Closed",CAPARegister[Status],"&lt;&gt;Cancelled",CAPARegister[Severity],"High")</f>
        <v>0</v>
      </c>
    </row>
  </sheetData>
  <mergeCells count="3">
    <mergeCell ref="A2:H2"/>
    <mergeCell ref="A1:H1"/>
    <mergeCell ref="A29:H29"/>
  </mergeCells>
  <conditionalFormatting sqref="B13:B27">
    <cfRule type="cellIs" dxfId="127" priority="2" operator="equal">
      <formula>"Yes"</formula>
    </cfRule>
    <cfRule type="cellIs" dxfId="126" priority="3" operator="equal">
      <formula>"Partial"</formula>
    </cfRule>
    <cfRule type="cellIs" dxfId="125" priority="4" operator="equal">
      <formula>"No"</formula>
    </cfRule>
  </conditionalFormatting>
  <pageMargins left="0.75" right="0.75" top="1" bottom="1" header="0.511811023622047" footer="0.51180555555555596"/>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D128"/>
  <sheetViews>
    <sheetView zoomScaleNormal="100" workbookViewId="0">
      <pane ySplit="2" topLeftCell="A95" activePane="bottomLeft" state="frozen"/>
      <selection pane="bottomLeft" activeCell="B11" sqref="B11:D11"/>
    </sheetView>
  </sheetViews>
  <sheetFormatPr defaultColWidth="8.54296875" defaultRowHeight="14.5" x14ac:dyDescent="0.35"/>
  <cols>
    <col min="1" max="1" width="36.36328125" customWidth="1"/>
    <col min="2" max="2" width="36.36328125" style="7" customWidth="1"/>
    <col min="3" max="3" width="27.26953125" style="7" customWidth="1"/>
    <col min="4" max="4" width="18.1796875" style="7" customWidth="1"/>
  </cols>
  <sheetData>
    <row r="1" spans="1:4" ht="18.5" x14ac:dyDescent="0.45">
      <c r="A1" s="332" t="s">
        <v>116</v>
      </c>
      <c r="B1" s="333"/>
      <c r="C1" s="333"/>
      <c r="D1" s="333"/>
    </row>
    <row r="2" spans="1:4" x14ac:dyDescent="0.35">
      <c r="A2" s="334" t="s">
        <v>117</v>
      </c>
      <c r="B2" s="333"/>
      <c r="C2" s="333"/>
      <c r="D2" s="333"/>
    </row>
    <row r="4" spans="1:4" x14ac:dyDescent="0.35">
      <c r="A4" s="323" t="s">
        <v>118</v>
      </c>
      <c r="B4" s="324"/>
      <c r="C4" s="324"/>
      <c r="D4" s="325"/>
    </row>
    <row r="5" spans="1:4" x14ac:dyDescent="0.35">
      <c r="A5" s="54" t="s">
        <v>119</v>
      </c>
      <c r="B5" s="326"/>
      <c r="C5" s="327"/>
      <c r="D5" s="328"/>
    </row>
    <row r="6" spans="1:4" x14ac:dyDescent="0.35">
      <c r="A6" s="54" t="s">
        <v>120</v>
      </c>
      <c r="B6" s="326"/>
      <c r="C6" s="327"/>
      <c r="D6" s="328"/>
    </row>
    <row r="7" spans="1:4" x14ac:dyDescent="0.35">
      <c r="A7" s="54" t="s">
        <v>121</v>
      </c>
      <c r="B7" s="326"/>
      <c r="C7" s="327"/>
      <c r="D7" s="328"/>
    </row>
    <row r="8" spans="1:4" x14ac:dyDescent="0.35">
      <c r="A8" s="54" t="s">
        <v>122</v>
      </c>
      <c r="B8" s="326"/>
      <c r="C8" s="327"/>
      <c r="D8" s="328"/>
    </row>
    <row r="9" spans="1:4" x14ac:dyDescent="0.35">
      <c r="A9" s="54" t="s">
        <v>123</v>
      </c>
      <c r="B9" s="326"/>
      <c r="C9" s="327"/>
      <c r="D9" s="328"/>
    </row>
    <row r="10" spans="1:4" x14ac:dyDescent="0.35">
      <c r="A10" s="54" t="s">
        <v>124</v>
      </c>
      <c r="B10" s="326"/>
      <c r="C10" s="327"/>
      <c r="D10" s="328"/>
    </row>
    <row r="11" spans="1:4" x14ac:dyDescent="0.35">
      <c r="A11" s="54" t="s">
        <v>125</v>
      </c>
      <c r="B11" s="326"/>
      <c r="C11" s="327"/>
      <c r="D11" s="328"/>
    </row>
    <row r="12" spans="1:4" x14ac:dyDescent="0.35">
      <c r="A12" s="54" t="s">
        <v>126</v>
      </c>
      <c r="B12" s="326"/>
      <c r="C12" s="327"/>
      <c r="D12" s="328"/>
    </row>
    <row r="13" spans="1:4" x14ac:dyDescent="0.35">
      <c r="A13" s="54" t="s">
        <v>127</v>
      </c>
      <c r="B13" s="326"/>
      <c r="C13" s="327"/>
      <c r="D13" s="328"/>
    </row>
    <row r="14" spans="1:4" x14ac:dyDescent="0.35">
      <c r="A14" s="54" t="s">
        <v>128</v>
      </c>
      <c r="B14" s="326"/>
      <c r="C14" s="327"/>
      <c r="D14" s="328"/>
    </row>
    <row r="15" spans="1:4" x14ac:dyDescent="0.35">
      <c r="A15" s="55"/>
      <c r="B15" s="56"/>
      <c r="C15" s="56"/>
      <c r="D15" s="57"/>
    </row>
    <row r="16" spans="1:4" x14ac:dyDescent="0.35">
      <c r="A16" s="329" t="s">
        <v>129</v>
      </c>
      <c r="B16" s="330"/>
      <c r="C16" s="330"/>
      <c r="D16" s="331"/>
    </row>
    <row r="17" spans="1:4" x14ac:dyDescent="0.35">
      <c r="A17" s="58" t="s">
        <v>130</v>
      </c>
      <c r="B17" s="59" t="s">
        <v>111</v>
      </c>
      <c r="C17" s="59" t="s">
        <v>131</v>
      </c>
      <c r="D17" s="60" t="s">
        <v>132</v>
      </c>
    </row>
    <row r="18" spans="1:4" x14ac:dyDescent="0.35">
      <c r="A18" s="54"/>
      <c r="B18" s="52"/>
      <c r="C18" s="52"/>
      <c r="D18" s="304"/>
    </row>
    <row r="19" spans="1:4" x14ac:dyDescent="0.35">
      <c r="A19" s="54"/>
      <c r="B19" s="52"/>
      <c r="C19" s="52"/>
      <c r="D19" s="304"/>
    </row>
    <row r="20" spans="1:4" x14ac:dyDescent="0.35">
      <c r="A20" s="54"/>
      <c r="B20" s="52"/>
      <c r="C20" s="52"/>
      <c r="D20" s="304"/>
    </row>
    <row r="21" spans="1:4" x14ac:dyDescent="0.35">
      <c r="A21" s="54"/>
      <c r="B21" s="52"/>
      <c r="C21" s="52"/>
      <c r="D21" s="309"/>
    </row>
    <row r="22" spans="1:4" x14ac:dyDescent="0.35">
      <c r="A22" s="54"/>
      <c r="B22" s="52"/>
      <c r="C22" s="52"/>
      <c r="D22" s="309"/>
    </row>
    <row r="23" spans="1:4" x14ac:dyDescent="0.35">
      <c r="A23" s="54"/>
      <c r="B23" s="52"/>
      <c r="C23" s="52"/>
      <c r="D23" s="304"/>
    </row>
    <row r="24" spans="1:4" x14ac:dyDescent="0.35">
      <c r="A24" s="54"/>
      <c r="B24" s="52"/>
      <c r="C24" s="52"/>
      <c r="D24" s="304"/>
    </row>
    <row r="25" spans="1:4" x14ac:dyDescent="0.35">
      <c r="A25" s="54"/>
      <c r="B25" s="52"/>
      <c r="C25" s="52"/>
      <c r="D25" s="304"/>
    </row>
    <row r="26" spans="1:4" x14ac:dyDescent="0.35">
      <c r="A26" s="55"/>
      <c r="B26" s="56"/>
      <c r="C26" s="56"/>
      <c r="D26" s="57"/>
    </row>
    <row r="27" spans="1:4" x14ac:dyDescent="0.35">
      <c r="A27" s="329" t="s">
        <v>133</v>
      </c>
      <c r="B27" s="330"/>
      <c r="C27" s="330"/>
      <c r="D27" s="331"/>
    </row>
    <row r="28" spans="1:4" x14ac:dyDescent="0.35">
      <c r="A28" s="54" t="s">
        <v>134</v>
      </c>
      <c r="B28" s="326"/>
      <c r="C28" s="327"/>
      <c r="D28" s="328"/>
    </row>
    <row r="29" spans="1:4" x14ac:dyDescent="0.35">
      <c r="A29" s="54" t="s">
        <v>135</v>
      </c>
      <c r="B29" s="326"/>
      <c r="C29" s="327"/>
      <c r="D29" s="328"/>
    </row>
    <row r="30" spans="1:4" x14ac:dyDescent="0.35">
      <c r="A30" s="54" t="s">
        <v>136</v>
      </c>
      <c r="B30" s="326"/>
      <c r="C30" s="327"/>
      <c r="D30" s="328"/>
    </row>
    <row r="31" spans="1:4" x14ac:dyDescent="0.35">
      <c r="A31" s="54" t="s">
        <v>137</v>
      </c>
      <c r="B31" s="326"/>
      <c r="C31" s="327"/>
      <c r="D31" s="328"/>
    </row>
    <row r="32" spans="1:4" x14ac:dyDescent="0.35">
      <c r="A32" s="54" t="s">
        <v>138</v>
      </c>
      <c r="B32" s="326"/>
      <c r="C32" s="327"/>
      <c r="D32" s="328"/>
    </row>
    <row r="33" spans="1:4" x14ac:dyDescent="0.35">
      <c r="A33" s="54" t="s">
        <v>139</v>
      </c>
      <c r="B33" s="326"/>
      <c r="C33" s="327"/>
      <c r="D33" s="328"/>
    </row>
    <row r="34" spans="1:4" x14ac:dyDescent="0.35">
      <c r="A34" s="54" t="s">
        <v>140</v>
      </c>
      <c r="B34" s="326"/>
      <c r="C34" s="327"/>
      <c r="D34" s="328"/>
    </row>
    <row r="35" spans="1:4" x14ac:dyDescent="0.35">
      <c r="A35" s="54" t="s">
        <v>141</v>
      </c>
      <c r="B35" s="326"/>
      <c r="C35" s="327"/>
      <c r="D35" s="328"/>
    </row>
    <row r="36" spans="1:4" x14ac:dyDescent="0.35">
      <c r="A36" s="55"/>
      <c r="B36" s="56"/>
      <c r="C36" s="56"/>
      <c r="D36" s="57"/>
    </row>
    <row r="37" spans="1:4" x14ac:dyDescent="0.35">
      <c r="A37" s="329" t="s">
        <v>142</v>
      </c>
      <c r="B37" s="330"/>
      <c r="C37" s="330"/>
      <c r="D37" s="331"/>
    </row>
    <row r="38" spans="1:4" x14ac:dyDescent="0.35">
      <c r="A38" s="54" t="s">
        <v>143</v>
      </c>
      <c r="B38" s="326"/>
      <c r="C38" s="327"/>
      <c r="D38" s="328"/>
    </row>
    <row r="39" spans="1:4" x14ac:dyDescent="0.35">
      <c r="A39" s="54" t="s">
        <v>144</v>
      </c>
      <c r="B39" s="326"/>
      <c r="C39" s="327"/>
      <c r="D39" s="328"/>
    </row>
    <row r="40" spans="1:4" x14ac:dyDescent="0.35">
      <c r="A40" s="54" t="s">
        <v>145</v>
      </c>
      <c r="B40" s="326"/>
      <c r="C40" s="327"/>
      <c r="D40" s="328"/>
    </row>
    <row r="41" spans="1:4" x14ac:dyDescent="0.35">
      <c r="A41" s="54" t="s">
        <v>146</v>
      </c>
      <c r="B41" s="326"/>
      <c r="C41" s="327"/>
      <c r="D41" s="328"/>
    </row>
    <row r="42" spans="1:4" x14ac:dyDescent="0.35">
      <c r="A42" s="54" t="s">
        <v>147</v>
      </c>
      <c r="B42" s="326"/>
      <c r="C42" s="327"/>
      <c r="D42" s="328"/>
    </row>
    <row r="43" spans="1:4" x14ac:dyDescent="0.35">
      <c r="A43" s="54" t="s">
        <v>148</v>
      </c>
      <c r="B43" s="326"/>
      <c r="C43" s="327"/>
      <c r="D43" s="328"/>
    </row>
    <row r="44" spans="1:4" x14ac:dyDescent="0.35">
      <c r="A44" s="54" t="s">
        <v>149</v>
      </c>
      <c r="B44" s="326"/>
      <c r="C44" s="327"/>
      <c r="D44" s="328"/>
    </row>
    <row r="45" spans="1:4" x14ac:dyDescent="0.35">
      <c r="A45" s="54" t="s">
        <v>150</v>
      </c>
      <c r="B45" s="326"/>
      <c r="C45" s="327"/>
      <c r="D45" s="328"/>
    </row>
    <row r="46" spans="1:4" x14ac:dyDescent="0.35">
      <c r="A46" s="54" t="s">
        <v>151</v>
      </c>
      <c r="B46" s="326"/>
      <c r="C46" s="327"/>
      <c r="D46" s="328"/>
    </row>
    <row r="47" spans="1:4" x14ac:dyDescent="0.35">
      <c r="A47" s="55"/>
      <c r="B47" s="56"/>
      <c r="C47" s="56"/>
      <c r="D47" s="57"/>
    </row>
    <row r="48" spans="1:4" x14ac:dyDescent="0.35">
      <c r="A48" s="329" t="s">
        <v>152</v>
      </c>
      <c r="B48" s="330"/>
      <c r="C48" s="330"/>
      <c r="D48" s="331"/>
    </row>
    <row r="49" spans="1:4" x14ac:dyDescent="0.35">
      <c r="A49" s="58" t="s">
        <v>153</v>
      </c>
      <c r="B49" s="59" t="s">
        <v>154</v>
      </c>
      <c r="C49" s="59" t="s">
        <v>155</v>
      </c>
      <c r="D49" s="60" t="s">
        <v>156</v>
      </c>
    </row>
    <row r="50" spans="1:4" x14ac:dyDescent="0.35">
      <c r="A50" s="54" t="s">
        <v>157</v>
      </c>
      <c r="B50" s="52"/>
      <c r="C50" s="52"/>
      <c r="D50" s="304"/>
    </row>
    <row r="51" spans="1:4" x14ac:dyDescent="0.35">
      <c r="A51" s="54" t="s">
        <v>159</v>
      </c>
      <c r="B51" s="52"/>
      <c r="C51" s="52"/>
      <c r="D51" s="304"/>
    </row>
    <row r="52" spans="1:4" x14ac:dyDescent="0.35">
      <c r="A52" s="54" t="s">
        <v>160</v>
      </c>
      <c r="B52" s="52"/>
      <c r="C52" s="52"/>
      <c r="D52" s="304"/>
    </row>
    <row r="53" spans="1:4" x14ac:dyDescent="0.35">
      <c r="A53" s="54" t="s">
        <v>161</v>
      </c>
      <c r="B53" s="52"/>
      <c r="C53" s="52"/>
      <c r="D53" s="304"/>
    </row>
    <row r="54" spans="1:4" x14ac:dyDescent="0.35">
      <c r="A54" s="54" t="s">
        <v>162</v>
      </c>
      <c r="B54" s="52"/>
      <c r="C54" s="52"/>
      <c r="D54" s="304"/>
    </row>
    <row r="55" spans="1:4" x14ac:dyDescent="0.35">
      <c r="A55" s="54" t="s">
        <v>164</v>
      </c>
      <c r="B55" s="52"/>
      <c r="C55" s="52"/>
      <c r="D55" s="304"/>
    </row>
    <row r="56" spans="1:4" x14ac:dyDescent="0.35">
      <c r="A56" s="54" t="s">
        <v>165</v>
      </c>
      <c r="B56" s="52"/>
      <c r="C56" s="52"/>
      <c r="D56" s="304"/>
    </row>
    <row r="57" spans="1:4" x14ac:dyDescent="0.35">
      <c r="A57" s="54" t="s">
        <v>166</v>
      </c>
      <c r="B57" s="52"/>
      <c r="C57" s="52"/>
      <c r="D57" s="304"/>
    </row>
    <row r="58" spans="1:4" x14ac:dyDescent="0.35">
      <c r="A58" s="54" t="s">
        <v>167</v>
      </c>
      <c r="B58" s="52"/>
      <c r="C58" s="52"/>
      <c r="D58" s="304"/>
    </row>
    <row r="59" spans="1:4" x14ac:dyDescent="0.35">
      <c r="A59" s="54" t="s">
        <v>168</v>
      </c>
      <c r="B59" s="52"/>
      <c r="C59" s="52"/>
      <c r="D59" s="304"/>
    </row>
    <row r="60" spans="1:4" x14ac:dyDescent="0.35">
      <c r="A60" s="54" t="s">
        <v>169</v>
      </c>
      <c r="B60" s="52"/>
      <c r="C60" s="52"/>
      <c r="D60" s="304"/>
    </row>
    <row r="61" spans="1:4" x14ac:dyDescent="0.35">
      <c r="A61" s="55"/>
      <c r="B61" s="56"/>
      <c r="C61" s="56"/>
      <c r="D61" s="57"/>
    </row>
    <row r="62" spans="1:4" x14ac:dyDescent="0.35">
      <c r="A62" s="329" t="s">
        <v>170</v>
      </c>
      <c r="B62" s="330"/>
      <c r="C62" s="330"/>
      <c r="D62" s="331"/>
    </row>
    <row r="63" spans="1:4" x14ac:dyDescent="0.35">
      <c r="A63" s="54" t="s">
        <v>171</v>
      </c>
      <c r="B63" s="326"/>
      <c r="C63" s="327"/>
      <c r="D63" s="328"/>
    </row>
    <row r="64" spans="1:4" x14ac:dyDescent="0.35">
      <c r="A64" s="54" t="s">
        <v>172</v>
      </c>
      <c r="B64" s="326"/>
      <c r="C64" s="327"/>
      <c r="D64" s="328"/>
    </row>
    <row r="65" spans="1:4" x14ac:dyDescent="0.35">
      <c r="A65" s="54" t="s">
        <v>173</v>
      </c>
      <c r="B65" s="326"/>
      <c r="C65" s="327"/>
      <c r="D65" s="328"/>
    </row>
    <row r="66" spans="1:4" x14ac:dyDescent="0.35">
      <c r="A66" s="54" t="s">
        <v>174</v>
      </c>
      <c r="B66" s="326"/>
      <c r="C66" s="327"/>
      <c r="D66" s="328"/>
    </row>
    <row r="67" spans="1:4" x14ac:dyDescent="0.35">
      <c r="A67" s="54" t="s">
        <v>175</v>
      </c>
      <c r="B67" s="326"/>
      <c r="C67" s="327"/>
      <c r="D67" s="328"/>
    </row>
    <row r="68" spans="1:4" x14ac:dyDescent="0.35">
      <c r="A68" s="54" t="s">
        <v>176</v>
      </c>
      <c r="B68" s="326"/>
      <c r="C68" s="327"/>
      <c r="D68" s="328"/>
    </row>
    <row r="69" spans="1:4" x14ac:dyDescent="0.35">
      <c r="A69" s="55"/>
      <c r="B69" s="56"/>
      <c r="C69" s="56"/>
      <c r="D69" s="57"/>
    </row>
    <row r="70" spans="1:4" x14ac:dyDescent="0.35">
      <c r="A70" s="329" t="s">
        <v>177</v>
      </c>
      <c r="B70" s="330"/>
      <c r="C70" s="330"/>
      <c r="D70" s="331"/>
    </row>
    <row r="71" spans="1:4" x14ac:dyDescent="0.35">
      <c r="A71" s="58" t="s">
        <v>178</v>
      </c>
      <c r="B71" s="59" t="s">
        <v>179</v>
      </c>
      <c r="C71" s="59" t="s">
        <v>180</v>
      </c>
      <c r="D71" s="60" t="s">
        <v>6</v>
      </c>
    </row>
    <row r="72" spans="1:4" x14ac:dyDescent="0.35">
      <c r="A72" s="54"/>
      <c r="B72" s="56"/>
      <c r="C72" s="52"/>
      <c r="D72" s="304"/>
    </row>
    <row r="73" spans="1:4" x14ac:dyDescent="0.35">
      <c r="A73" s="54"/>
      <c r="B73" s="56"/>
      <c r="C73" s="52"/>
      <c r="D73" s="304"/>
    </row>
    <row r="74" spans="1:4" x14ac:dyDescent="0.35">
      <c r="A74" s="54"/>
      <c r="B74" s="56"/>
      <c r="C74" s="52"/>
      <c r="D74" s="304"/>
    </row>
    <row r="75" spans="1:4" x14ac:dyDescent="0.35">
      <c r="A75" s="54"/>
      <c r="B75" s="56"/>
      <c r="C75" s="52"/>
      <c r="D75" s="304"/>
    </row>
    <row r="76" spans="1:4" x14ac:dyDescent="0.35">
      <c r="A76" s="54"/>
      <c r="B76" s="56"/>
      <c r="C76" s="52"/>
      <c r="D76" s="304"/>
    </row>
    <row r="77" spans="1:4" x14ac:dyDescent="0.35">
      <c r="A77" s="54"/>
      <c r="B77" s="56"/>
      <c r="C77" s="52"/>
      <c r="D77" s="304"/>
    </row>
    <row r="78" spans="1:4" x14ac:dyDescent="0.35">
      <c r="A78" s="54"/>
      <c r="B78" s="56"/>
      <c r="C78" s="52"/>
      <c r="D78" s="304"/>
    </row>
    <row r="79" spans="1:4" x14ac:dyDescent="0.35">
      <c r="A79" s="54"/>
      <c r="B79" s="56"/>
      <c r="C79" s="52"/>
      <c r="D79" s="304"/>
    </row>
    <row r="80" spans="1:4" x14ac:dyDescent="0.35">
      <c r="A80" s="54"/>
      <c r="B80" s="56"/>
      <c r="C80" s="52"/>
      <c r="D80" s="304"/>
    </row>
    <row r="81" spans="1:4" x14ac:dyDescent="0.35">
      <c r="A81" s="54"/>
      <c r="B81" s="56"/>
      <c r="C81" s="52"/>
      <c r="D81" s="304"/>
    </row>
    <row r="82" spans="1:4" x14ac:dyDescent="0.35">
      <c r="A82" s="55"/>
      <c r="B82" s="56"/>
      <c r="C82" s="56"/>
      <c r="D82" s="57"/>
    </row>
    <row r="83" spans="1:4" x14ac:dyDescent="0.35">
      <c r="A83" s="329" t="s">
        <v>181</v>
      </c>
      <c r="B83" s="330"/>
      <c r="C83" s="330"/>
      <c r="D83" s="331"/>
    </row>
    <row r="84" spans="1:4" x14ac:dyDescent="0.35">
      <c r="A84" s="54" t="s">
        <v>182</v>
      </c>
      <c r="B84" s="326"/>
      <c r="C84" s="327"/>
      <c r="D84" s="328"/>
    </row>
    <row r="85" spans="1:4" x14ac:dyDescent="0.35">
      <c r="A85" s="54" t="s">
        <v>183</v>
      </c>
      <c r="B85" s="326"/>
      <c r="C85" s="327"/>
      <c r="D85" s="328"/>
    </row>
    <row r="86" spans="1:4" x14ac:dyDescent="0.35">
      <c r="A86" s="54" t="s">
        <v>184</v>
      </c>
      <c r="B86" s="326"/>
      <c r="C86" s="327"/>
      <c r="D86" s="328"/>
    </row>
    <row r="87" spans="1:4" x14ac:dyDescent="0.35">
      <c r="A87" s="54" t="s">
        <v>185</v>
      </c>
      <c r="B87" s="326"/>
      <c r="C87" s="327"/>
      <c r="D87" s="328"/>
    </row>
    <row r="88" spans="1:4" x14ac:dyDescent="0.35">
      <c r="A88" s="54" t="s">
        <v>186</v>
      </c>
      <c r="B88" s="326"/>
      <c r="C88" s="327"/>
      <c r="D88" s="328"/>
    </row>
    <row r="89" spans="1:4" x14ac:dyDescent="0.35">
      <c r="A89" s="54" t="s">
        <v>187</v>
      </c>
      <c r="B89" s="326"/>
      <c r="C89" s="327"/>
      <c r="D89" s="328"/>
    </row>
    <row r="90" spans="1:4" x14ac:dyDescent="0.35">
      <c r="A90" s="54" t="s">
        <v>188</v>
      </c>
      <c r="B90" s="326"/>
      <c r="C90" s="327"/>
      <c r="D90" s="328"/>
    </row>
    <row r="91" spans="1:4" x14ac:dyDescent="0.35">
      <c r="A91" s="54" t="s">
        <v>189</v>
      </c>
      <c r="B91" s="326"/>
      <c r="C91" s="327"/>
      <c r="D91" s="328"/>
    </row>
    <row r="92" spans="1:4" x14ac:dyDescent="0.35">
      <c r="A92" s="54" t="s">
        <v>190</v>
      </c>
      <c r="B92" s="326"/>
      <c r="C92" s="327"/>
      <c r="D92" s="328"/>
    </row>
    <row r="93" spans="1:4" x14ac:dyDescent="0.35">
      <c r="A93" s="54" t="s">
        <v>191</v>
      </c>
      <c r="B93" s="326"/>
      <c r="C93" s="327"/>
      <c r="D93" s="328"/>
    </row>
    <row r="94" spans="1:4" x14ac:dyDescent="0.35">
      <c r="A94" s="55"/>
      <c r="B94" s="56"/>
      <c r="C94" s="56"/>
      <c r="D94" s="57"/>
    </row>
    <row r="95" spans="1:4" x14ac:dyDescent="0.35">
      <c r="A95" s="329" t="s">
        <v>192</v>
      </c>
      <c r="B95" s="330"/>
      <c r="C95" s="330"/>
      <c r="D95" s="331"/>
    </row>
    <row r="96" spans="1:4" x14ac:dyDescent="0.35">
      <c r="A96" s="58" t="s">
        <v>193</v>
      </c>
      <c r="B96" s="59" t="s">
        <v>194</v>
      </c>
      <c r="C96" s="59" t="s">
        <v>195</v>
      </c>
      <c r="D96" s="60" t="s">
        <v>196</v>
      </c>
    </row>
    <row r="97" spans="1:4" x14ac:dyDescent="0.35">
      <c r="A97" s="54" t="s">
        <v>197</v>
      </c>
      <c r="B97" s="52"/>
      <c r="C97" s="52"/>
      <c r="D97" s="304"/>
    </row>
    <row r="98" spans="1:4" x14ac:dyDescent="0.35">
      <c r="A98" s="54" t="s">
        <v>199</v>
      </c>
      <c r="B98" s="52"/>
      <c r="C98" s="52"/>
      <c r="D98" s="304"/>
    </row>
    <row r="99" spans="1:4" x14ac:dyDescent="0.35">
      <c r="A99" s="54" t="s">
        <v>200</v>
      </c>
      <c r="B99" s="52"/>
      <c r="C99" s="52"/>
      <c r="D99" s="304"/>
    </row>
    <row r="100" spans="1:4" x14ac:dyDescent="0.35">
      <c r="A100" s="54" t="s">
        <v>202</v>
      </c>
      <c r="B100" s="52"/>
      <c r="C100" s="52"/>
      <c r="D100" s="304"/>
    </row>
    <row r="101" spans="1:4" x14ac:dyDescent="0.35">
      <c r="A101" s="54" t="s">
        <v>203</v>
      </c>
      <c r="B101" s="52"/>
      <c r="C101" s="52"/>
      <c r="D101" s="304"/>
    </row>
    <row r="102" spans="1:4" x14ac:dyDescent="0.35">
      <c r="A102" s="54" t="s">
        <v>204</v>
      </c>
      <c r="B102" s="52"/>
      <c r="C102" s="52"/>
      <c r="D102" s="304"/>
    </row>
    <row r="103" spans="1:4" x14ac:dyDescent="0.35">
      <c r="A103" s="54" t="s">
        <v>205</v>
      </c>
      <c r="B103" s="52"/>
      <c r="C103" s="52"/>
      <c r="D103" s="304"/>
    </row>
    <row r="104" spans="1:4" x14ac:dyDescent="0.35">
      <c r="A104" s="54" t="s">
        <v>206</v>
      </c>
      <c r="B104" s="52"/>
      <c r="C104" s="52"/>
      <c r="D104" s="304"/>
    </row>
    <row r="105" spans="1:4" x14ac:dyDescent="0.35">
      <c r="A105" s="55"/>
      <c r="B105" s="56"/>
      <c r="C105" s="56"/>
      <c r="D105" s="57"/>
    </row>
    <row r="106" spans="1:4" x14ac:dyDescent="0.35">
      <c r="A106" s="329" t="s">
        <v>207</v>
      </c>
      <c r="B106" s="330"/>
      <c r="C106" s="330"/>
      <c r="D106" s="331"/>
    </row>
    <row r="107" spans="1:4" x14ac:dyDescent="0.35">
      <c r="A107" s="61" t="s">
        <v>208</v>
      </c>
      <c r="B107" s="56"/>
      <c r="C107" s="56"/>
      <c r="D107" s="57"/>
    </row>
    <row r="108" spans="1:4" x14ac:dyDescent="0.35">
      <c r="A108" s="58" t="s">
        <v>110</v>
      </c>
      <c r="B108" s="59" t="s">
        <v>111</v>
      </c>
      <c r="C108" s="59" t="s">
        <v>112</v>
      </c>
      <c r="D108" s="60" t="s">
        <v>113</v>
      </c>
    </row>
    <row r="109" spans="1:4" x14ac:dyDescent="0.35">
      <c r="A109" s="305"/>
      <c r="B109" s="52"/>
      <c r="C109" s="306"/>
      <c r="D109" s="57"/>
    </row>
    <row r="110" spans="1:4" x14ac:dyDescent="0.35">
      <c r="A110" s="55"/>
      <c r="B110" s="56"/>
      <c r="C110" s="56"/>
      <c r="D110" s="57"/>
    </row>
    <row r="111" spans="1:4" x14ac:dyDescent="0.35">
      <c r="A111" s="61" t="s">
        <v>209</v>
      </c>
      <c r="B111" s="56"/>
      <c r="C111" s="56"/>
      <c r="D111" s="57"/>
    </row>
    <row r="112" spans="1:4" x14ac:dyDescent="0.35">
      <c r="A112" s="58" t="s">
        <v>110</v>
      </c>
      <c r="B112" s="59" t="s">
        <v>111</v>
      </c>
      <c r="C112" s="59" t="s">
        <v>112</v>
      </c>
      <c r="D112" s="60" t="s">
        <v>113</v>
      </c>
    </row>
    <row r="113" spans="1:4" x14ac:dyDescent="0.35">
      <c r="A113" s="305"/>
      <c r="B113" s="52"/>
      <c r="C113" s="306"/>
      <c r="D113" s="57"/>
    </row>
    <row r="114" spans="1:4" x14ac:dyDescent="0.35">
      <c r="A114" s="55" t="s">
        <v>210</v>
      </c>
      <c r="B114" s="56"/>
      <c r="C114" s="56"/>
      <c r="D114" s="57"/>
    </row>
    <row r="115" spans="1:4" x14ac:dyDescent="0.35">
      <c r="A115" s="61" t="s">
        <v>211</v>
      </c>
      <c r="B115" s="56"/>
      <c r="C115" s="56"/>
      <c r="D115" s="57"/>
    </row>
    <row r="116" spans="1:4" x14ac:dyDescent="0.35">
      <c r="A116" s="58" t="s">
        <v>110</v>
      </c>
      <c r="B116" s="59" t="s">
        <v>111</v>
      </c>
      <c r="C116" s="59" t="s">
        <v>112</v>
      </c>
      <c r="D116" s="60" t="s">
        <v>113</v>
      </c>
    </row>
    <row r="117" spans="1:4" x14ac:dyDescent="0.35">
      <c r="A117" s="305"/>
      <c r="B117" s="52"/>
      <c r="C117" s="53"/>
      <c r="D117" s="57"/>
    </row>
    <row r="118" spans="1:4" x14ac:dyDescent="0.35">
      <c r="A118" s="55"/>
      <c r="B118" s="56"/>
      <c r="C118" s="56"/>
      <c r="D118" s="57"/>
    </row>
    <row r="119" spans="1:4" x14ac:dyDescent="0.35">
      <c r="A119" s="62" t="s">
        <v>212</v>
      </c>
      <c r="B119" s="307"/>
      <c r="C119" s="62" t="s">
        <v>213</v>
      </c>
      <c r="D119" s="308" t="str">
        <f>IF(B119="","",EDATE(B119,12))</f>
        <v/>
      </c>
    </row>
    <row r="121" spans="1:4" x14ac:dyDescent="0.35">
      <c r="A121" s="337" t="s">
        <v>939</v>
      </c>
      <c r="B121" s="338"/>
      <c r="C121" s="338"/>
      <c r="D121" s="331"/>
    </row>
    <row r="122" spans="1:4" x14ac:dyDescent="0.35">
      <c r="A122" s="253" t="s">
        <v>914</v>
      </c>
      <c r="B122" s="339" t="s">
        <v>915</v>
      </c>
      <c r="C122" s="340"/>
      <c r="D122" s="340"/>
    </row>
    <row r="123" spans="1:4" ht="43.5" x14ac:dyDescent="0.35">
      <c r="A123" s="254" t="s">
        <v>916</v>
      </c>
      <c r="B123" s="335"/>
      <c r="C123" s="336"/>
      <c r="D123" s="336"/>
    </row>
    <row r="124" spans="1:4" ht="43.5" x14ac:dyDescent="0.35">
      <c r="A124" s="254" t="s">
        <v>917</v>
      </c>
      <c r="B124" s="335"/>
      <c r="C124" s="336"/>
      <c r="D124" s="336"/>
    </row>
    <row r="125" spans="1:4" ht="43.5" x14ac:dyDescent="0.35">
      <c r="A125" s="254" t="s">
        <v>918</v>
      </c>
      <c r="B125" s="335"/>
      <c r="C125" s="336"/>
      <c r="D125" s="336"/>
    </row>
    <row r="126" spans="1:4" ht="29" x14ac:dyDescent="0.35">
      <c r="A126" s="254" t="s">
        <v>919</v>
      </c>
      <c r="B126" s="335"/>
      <c r="C126" s="336"/>
      <c r="D126" s="336"/>
    </row>
    <row r="127" spans="1:4" ht="43.5" x14ac:dyDescent="0.35">
      <c r="A127" s="254" t="s">
        <v>920</v>
      </c>
      <c r="B127" s="335"/>
      <c r="C127" s="336"/>
      <c r="D127" s="336"/>
    </row>
    <row r="128" spans="1:4" x14ac:dyDescent="0.35">
      <c r="B128" s="63"/>
    </row>
  </sheetData>
  <mergeCells count="62">
    <mergeCell ref="B125:D125"/>
    <mergeCell ref="B126:D126"/>
    <mergeCell ref="B127:D127"/>
    <mergeCell ref="A121:D121"/>
    <mergeCell ref="A106:D106"/>
    <mergeCell ref="B63:D63"/>
    <mergeCell ref="B32:D32"/>
    <mergeCell ref="A95:D95"/>
    <mergeCell ref="B92:D92"/>
    <mergeCell ref="B91:D91"/>
    <mergeCell ref="B89:D89"/>
    <mergeCell ref="B93:D93"/>
    <mergeCell ref="B87:D87"/>
    <mergeCell ref="B86:D86"/>
    <mergeCell ref="A48:D48"/>
    <mergeCell ref="B122:D122"/>
    <mergeCell ref="B123:D123"/>
    <mergeCell ref="B124:D124"/>
    <mergeCell ref="A62:D62"/>
    <mergeCell ref="B35:D35"/>
    <mergeCell ref="B90:D90"/>
    <mergeCell ref="B45:D45"/>
    <mergeCell ref="A83:D83"/>
    <mergeCell ref="B67:D67"/>
    <mergeCell ref="B43:D43"/>
    <mergeCell ref="B65:D65"/>
    <mergeCell ref="B84:D84"/>
    <mergeCell ref="B66:D66"/>
    <mergeCell ref="B85:D85"/>
    <mergeCell ref="B88:D88"/>
    <mergeCell ref="A1:D1"/>
    <mergeCell ref="B5:D5"/>
    <mergeCell ref="B34:D34"/>
    <mergeCell ref="A70:D70"/>
    <mergeCell ref="B41:D41"/>
    <mergeCell ref="B33:D33"/>
    <mergeCell ref="B46:D46"/>
    <mergeCell ref="A16:D16"/>
    <mergeCell ref="B68:D68"/>
    <mergeCell ref="B7:D7"/>
    <mergeCell ref="B8:D8"/>
    <mergeCell ref="B9:D9"/>
    <mergeCell ref="B64:D64"/>
    <mergeCell ref="B11:D11"/>
    <mergeCell ref="A2:D2"/>
    <mergeCell ref="B39:D39"/>
    <mergeCell ref="A4:D4"/>
    <mergeCell ref="B31:D31"/>
    <mergeCell ref="B6:D6"/>
    <mergeCell ref="B12:D12"/>
    <mergeCell ref="B44:D44"/>
    <mergeCell ref="B13:D13"/>
    <mergeCell ref="B40:D40"/>
    <mergeCell ref="B28:D28"/>
    <mergeCell ref="A27:D27"/>
    <mergeCell ref="B42:D42"/>
    <mergeCell ref="B38:D38"/>
    <mergeCell ref="B14:D14"/>
    <mergeCell ref="B10:D10"/>
    <mergeCell ref="A37:D37"/>
    <mergeCell ref="B29:D29"/>
    <mergeCell ref="B30:D30"/>
  </mergeCells>
  <pageMargins left="0.7" right="0.7" top="0.75" bottom="0.75" header="0.511811023622047" footer="0.51180555555555596"/>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0E1"/>
  </sheetPr>
  <dimension ref="A1:O54"/>
  <sheetViews>
    <sheetView showGridLines="0" zoomScale="77" zoomScaleNormal="100" workbookViewId="0">
      <pane xSplit="5" ySplit="5" topLeftCell="F6" activePane="bottomRight" state="frozen"/>
      <selection pane="topRight" activeCell="H1" sqref="H1"/>
      <selection pane="bottomLeft" activeCell="A6" sqref="A6"/>
      <selection pane="bottomRight" activeCell="C6" sqref="C6"/>
    </sheetView>
  </sheetViews>
  <sheetFormatPr defaultColWidth="8.54296875" defaultRowHeight="14.5" x14ac:dyDescent="0.35"/>
  <cols>
    <col min="1" max="1" width="8.453125" style="39" bestFit="1" customWidth="1"/>
    <col min="2" max="2" width="12" style="39" bestFit="1" customWidth="1"/>
    <col min="3" max="3" width="17.7265625" style="39" bestFit="1" customWidth="1"/>
    <col min="4" max="4" width="18" style="39" bestFit="1" customWidth="1"/>
    <col min="5" max="5" width="21" style="39" bestFit="1" customWidth="1"/>
    <col min="6" max="6" width="17.81640625" style="39" bestFit="1" customWidth="1"/>
    <col min="7" max="7" width="11.1796875" style="39" bestFit="1" customWidth="1"/>
    <col min="8" max="8" width="9.54296875" style="39" bestFit="1" customWidth="1"/>
    <col min="9" max="9" width="18.6328125" style="39" bestFit="1" customWidth="1"/>
    <col min="10" max="10" width="25.36328125" style="39" hidden="1" customWidth="1"/>
    <col min="11" max="11" width="32.1796875" style="39" hidden="1" customWidth="1"/>
    <col min="12" max="12" width="31.90625" style="39" hidden="1" customWidth="1"/>
    <col min="13" max="13" width="27.36328125" style="39" hidden="1" customWidth="1"/>
    <col min="14" max="14" width="14.26953125" style="39" hidden="1" customWidth="1"/>
    <col min="15" max="15" width="17.453125" style="39" hidden="1" customWidth="1"/>
    <col min="16" max="16384" width="8.54296875" style="39"/>
  </cols>
  <sheetData>
    <row r="1" spans="1:15" ht="27.75" customHeight="1" x14ac:dyDescent="0.35">
      <c r="A1" s="314" t="s">
        <v>233</v>
      </c>
      <c r="B1" s="314"/>
      <c r="C1" s="314"/>
      <c r="D1" s="314"/>
      <c r="E1" s="314"/>
      <c r="F1" s="314"/>
      <c r="G1" s="314"/>
      <c r="H1" s="314"/>
      <c r="I1" s="314"/>
      <c r="J1" s="314"/>
      <c r="K1" s="314"/>
      <c r="L1" s="314"/>
      <c r="M1" s="314"/>
      <c r="N1" s="314"/>
      <c r="O1" s="314"/>
    </row>
    <row r="2" spans="1:15" ht="18" customHeight="1" x14ac:dyDescent="0.35">
      <c r="A2" s="316" t="s">
        <v>234</v>
      </c>
      <c r="B2" s="316"/>
      <c r="C2" s="316"/>
      <c r="D2" s="316"/>
      <c r="E2" s="316"/>
      <c r="F2" s="316"/>
      <c r="G2" s="316"/>
      <c r="H2" s="316"/>
      <c r="I2" s="316"/>
      <c r="J2" s="316"/>
      <c r="K2" s="316"/>
      <c r="L2" s="316"/>
      <c r="M2" s="316"/>
      <c r="N2" s="316"/>
      <c r="O2" s="316"/>
    </row>
    <row r="3" spans="1:15" x14ac:dyDescent="0.35">
      <c r="A3"/>
      <c r="B3"/>
      <c r="C3"/>
      <c r="D3"/>
      <c r="E3"/>
      <c r="F3"/>
      <c r="G3"/>
      <c r="H3"/>
      <c r="I3"/>
      <c r="J3"/>
      <c r="K3"/>
      <c r="L3"/>
      <c r="M3"/>
      <c r="N3"/>
      <c r="O3"/>
    </row>
    <row r="4" spans="1:15" ht="35.25" customHeight="1" x14ac:dyDescent="0.35">
      <c r="A4" s="344"/>
      <c r="B4" s="344"/>
      <c r="C4" s="344"/>
      <c r="D4" s="344"/>
      <c r="E4" s="344"/>
      <c r="F4" s="344"/>
      <c r="G4" s="344"/>
      <c r="H4" s="344"/>
      <c r="I4" s="344"/>
      <c r="J4" s="343" t="s">
        <v>235</v>
      </c>
      <c r="K4" s="343"/>
      <c r="L4" s="343"/>
      <c r="M4" s="343"/>
      <c r="N4" s="341" t="s">
        <v>236</v>
      </c>
      <c r="O4" s="342"/>
    </row>
    <row r="5" spans="1:15" ht="42" customHeight="1" x14ac:dyDescent="0.35">
      <c r="A5" s="209" t="s">
        <v>237</v>
      </c>
      <c r="B5" s="210" t="s">
        <v>238</v>
      </c>
      <c r="C5" s="210" t="s">
        <v>239</v>
      </c>
      <c r="D5" s="210" t="s">
        <v>240</v>
      </c>
      <c r="E5" s="210" t="s">
        <v>241</v>
      </c>
      <c r="F5" s="210" t="s">
        <v>242</v>
      </c>
      <c r="G5" s="210" t="s">
        <v>6</v>
      </c>
      <c r="H5" s="210" t="s">
        <v>243</v>
      </c>
      <c r="I5" s="210" t="s">
        <v>244</v>
      </c>
      <c r="J5" s="210" t="s">
        <v>245</v>
      </c>
      <c r="K5" s="210" t="s">
        <v>246</v>
      </c>
      <c r="L5" s="210" t="s">
        <v>709</v>
      </c>
      <c r="M5" s="210" t="s">
        <v>783</v>
      </c>
      <c r="N5" s="210" t="s">
        <v>247</v>
      </c>
      <c r="O5" s="211" t="s">
        <v>784</v>
      </c>
    </row>
    <row r="6" spans="1:15" ht="21.75" customHeight="1" x14ac:dyDescent="0.35">
      <c r="A6" s="207">
        <v>1</v>
      </c>
      <c r="B6" s="9" t="str">
        <f t="shared" ref="B6:B50" si="0">IF($E6="","","PS-"&amp;TEXT($A6,"000"))</f>
        <v>PS-001</v>
      </c>
      <c r="C6" s="313" t="s">
        <v>954</v>
      </c>
      <c r="D6" s="313" t="s">
        <v>955</v>
      </c>
      <c r="E6" s="313" t="s">
        <v>956</v>
      </c>
      <c r="F6" s="49"/>
      <c r="G6" s="49"/>
      <c r="H6" s="49"/>
      <c r="I6" s="64" t="s">
        <v>248</v>
      </c>
      <c r="J6" s="64" t="s">
        <v>248</v>
      </c>
      <c r="K6" s="432" t="s">
        <v>963</v>
      </c>
      <c r="L6" s="65"/>
      <c r="M6" s="261" t="str" cm="1">
        <f t="array" ref="M6">IF(ISBLANK(L6),"",_xlfn.LET(
_xlpm.Num,--_xlfn.TEXTBEFORE(L6," "),
_xlpm.Unit,LOWER(_xlfn.TEXTAFTER(L6," ")),
_xlfn.SWITCH(_xlpm.Unit,
"hour",_xlpm.Num,
"hours",_xlpm.Num,
"day",_xlpm.Num*24,
"days",_xlpm.Num*24,
"week",_xlpm.Num*24*7,
"weeks",_xlpm.Num*24*7,
"month",_xlpm.Num*24*(365.25/12),
"months",_xlpm.Num*24*(365.25/12),
"")
))</f>
        <v/>
      </c>
      <c r="N6" s="51">
        <f t="shared" ref="N6:N50" si="1">IF($I6&lt;&gt;"Yes","",IF($A6="","",COUNTIFS($A$6:$A$50,"&lt;"&amp;$A6,$I$6:$I$50,"Yes")+1))</f>
        <v>1</v>
      </c>
      <c r="O6" s="208">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6</v>
      </c>
    </row>
    <row r="7" spans="1:15" ht="21.75" customHeight="1" x14ac:dyDescent="0.35">
      <c r="A7" s="207">
        <v>2</v>
      </c>
      <c r="B7" s="9" t="str">
        <f t="shared" si="0"/>
        <v/>
      </c>
      <c r="C7" s="49"/>
      <c r="D7" s="49"/>
      <c r="E7" s="49"/>
      <c r="F7" s="49"/>
      <c r="G7" s="49"/>
      <c r="H7" s="49"/>
      <c r="I7" s="64"/>
      <c r="J7" s="64"/>
      <c r="K7" s="49"/>
      <c r="L7" s="65"/>
      <c r="M7" s="261" t="str" cm="1">
        <f t="array" ref="M7">IF(ISBLANK(L7),"",_xlfn.LET(
_xlpm.Num,--_xlfn.TEXTBEFORE(L7," "),
_xlpm.Unit,LOWER(_xlfn.TEXTAFTER(L7," ")),
_xlfn.SWITCH(_xlpm.Unit,
"hour",_xlpm.Num,
"hours",_xlpm.Num,
"day",_xlpm.Num*24,
"days",_xlpm.Num*24,
"week",_xlpm.Num*24*7,
"weeks",_xlpm.Num*24*7,
"month",_xlpm.Num*24*(365.25/12),
"months",_xlpm.Num*24*(365.25/12),
"")
))</f>
        <v/>
      </c>
      <c r="N7" s="51" t="str">
        <f t="shared" si="1"/>
        <v/>
      </c>
      <c r="O7"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8" spans="1:15" ht="21.75" customHeight="1" x14ac:dyDescent="0.35">
      <c r="A8" s="207">
        <v>3</v>
      </c>
      <c r="B8" s="9" t="str">
        <f t="shared" si="0"/>
        <v/>
      </c>
      <c r="C8" s="49"/>
      <c r="D8" s="49"/>
      <c r="E8" s="49"/>
      <c r="F8" s="49"/>
      <c r="G8" s="49"/>
      <c r="H8" s="49"/>
      <c r="I8" s="64"/>
      <c r="J8" s="64"/>
      <c r="K8" s="49"/>
      <c r="L8" s="65"/>
      <c r="M8" s="261" t="str" cm="1">
        <f t="array" ref="M8">IF(ISBLANK(L8),"",_xlfn.LET(
_xlpm.Num,--_xlfn.TEXTBEFORE(L8," "),
_xlpm.Unit,LOWER(_xlfn.TEXTAFTER(L8," ")),
_xlfn.SWITCH(_xlpm.Unit,
"hour",_xlpm.Num,
"hours",_xlpm.Num,
"day",_xlpm.Num*24,
"days",_xlpm.Num*24,
"week",_xlpm.Num*24*7,
"weeks",_xlpm.Num*24*7,
"month",_xlpm.Num*24*(365.25/12),
"months",_xlpm.Num*24*(365.25/12),
"")
))</f>
        <v/>
      </c>
      <c r="N8" s="51" t="str">
        <f t="shared" si="1"/>
        <v/>
      </c>
      <c r="O8"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9" spans="1:15" ht="21.75" customHeight="1" x14ac:dyDescent="0.35">
      <c r="A9" s="207">
        <v>4</v>
      </c>
      <c r="B9" s="9" t="str">
        <f t="shared" si="0"/>
        <v/>
      </c>
      <c r="C9" s="49"/>
      <c r="D9" s="49"/>
      <c r="E9" s="49"/>
      <c r="F9" s="49"/>
      <c r="G9" s="49"/>
      <c r="H9" s="49"/>
      <c r="I9" s="64"/>
      <c r="J9" s="64"/>
      <c r="K9" s="49"/>
      <c r="L9" s="65"/>
      <c r="M9" s="261" t="str" cm="1">
        <f t="array" ref="M9">IF(ISBLANK(L9),"",_xlfn.LET(
_xlpm.Num,--_xlfn.TEXTBEFORE(L9," "),
_xlpm.Unit,LOWER(_xlfn.TEXTAFTER(L9," ")),
_xlfn.SWITCH(_xlpm.Unit,
"hour",_xlpm.Num,
"hours",_xlpm.Num,
"day",_xlpm.Num*24,
"days",_xlpm.Num*24,
"week",_xlpm.Num*24*7,
"weeks",_xlpm.Num*24*7,
"month",_xlpm.Num*24*(365.25/12),
"months",_xlpm.Num*24*(365.25/12),
"")
))</f>
        <v/>
      </c>
      <c r="N9" s="51" t="str">
        <f t="shared" si="1"/>
        <v/>
      </c>
      <c r="O9"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10" spans="1:15" ht="21.75" customHeight="1" x14ac:dyDescent="0.35">
      <c r="A10" s="207">
        <v>5</v>
      </c>
      <c r="B10" s="9" t="str">
        <f t="shared" si="0"/>
        <v/>
      </c>
      <c r="C10" s="49"/>
      <c r="D10" s="49"/>
      <c r="E10" s="49"/>
      <c r="F10" s="49"/>
      <c r="G10" s="49"/>
      <c r="H10" s="49"/>
      <c r="I10" s="64"/>
      <c r="J10" s="64"/>
      <c r="K10" s="49"/>
      <c r="L10" s="65"/>
      <c r="M10" s="261" t="str" cm="1">
        <f t="array" ref="M10">IF(ISBLANK(L10),"",_xlfn.LET(
_xlpm.Num,--_xlfn.TEXTBEFORE(L10," "),
_xlpm.Unit,LOWER(_xlfn.TEXTAFTER(L10," ")),
_xlfn.SWITCH(_xlpm.Unit,
"hour",_xlpm.Num,
"hours",_xlpm.Num,
"day",_xlpm.Num*24,
"days",_xlpm.Num*24,
"week",_xlpm.Num*24*7,
"weeks",_xlpm.Num*24*7,
"month",_xlpm.Num*24*(365.25/12),
"months",_xlpm.Num*24*(365.25/12),
"")
))</f>
        <v/>
      </c>
      <c r="N10" s="51" t="str">
        <f t="shared" si="1"/>
        <v/>
      </c>
      <c r="O10"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11" spans="1:15" ht="21.75" customHeight="1" x14ac:dyDescent="0.35">
      <c r="A11" s="207">
        <v>6</v>
      </c>
      <c r="B11" s="9" t="str">
        <f t="shared" si="0"/>
        <v/>
      </c>
      <c r="C11" s="49"/>
      <c r="D11" s="49"/>
      <c r="E11" s="49"/>
      <c r="F11" s="49"/>
      <c r="G11" s="49"/>
      <c r="H11" s="49"/>
      <c r="I11" s="64"/>
      <c r="J11" s="64"/>
      <c r="K11" s="49"/>
      <c r="L11" s="65"/>
      <c r="M11" s="261" t="str" cm="1">
        <f t="array" ref="M11">IF(ISBLANK(L11),"",_xlfn.LET(
_xlpm.Num,--_xlfn.TEXTBEFORE(L11," "),
_xlpm.Unit,LOWER(_xlfn.TEXTAFTER(L11," ")),
_xlfn.SWITCH(_xlpm.Unit,
"hour",_xlpm.Num,
"hours",_xlpm.Num,
"day",_xlpm.Num*24,
"days",_xlpm.Num*24,
"week",_xlpm.Num*24*7,
"weeks",_xlpm.Num*24*7,
"month",_xlpm.Num*24*(365.25/12),
"months",_xlpm.Num*24*(365.25/12),
"")
))</f>
        <v/>
      </c>
      <c r="N11" s="51" t="str">
        <f t="shared" si="1"/>
        <v/>
      </c>
      <c r="O11"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12" spans="1:15" ht="21.75" customHeight="1" x14ac:dyDescent="0.35">
      <c r="A12" s="207">
        <v>7</v>
      </c>
      <c r="B12" s="9" t="str">
        <f t="shared" si="0"/>
        <v/>
      </c>
      <c r="C12" s="49"/>
      <c r="D12" s="49"/>
      <c r="E12" s="49"/>
      <c r="F12" s="49"/>
      <c r="G12" s="49"/>
      <c r="H12" s="49"/>
      <c r="I12" s="64"/>
      <c r="J12" s="64"/>
      <c r="K12" s="49"/>
      <c r="L12" s="65"/>
      <c r="M12" s="261" t="str" cm="1">
        <f t="array" ref="M12">IF(ISBLANK(L12),"",_xlfn.LET(
_xlpm.Num,--_xlfn.TEXTBEFORE(L12," "),
_xlpm.Unit,LOWER(_xlfn.TEXTAFTER(L12," ")),
_xlfn.SWITCH(_xlpm.Unit,
"hour",_xlpm.Num,
"hours",_xlpm.Num,
"day",_xlpm.Num*24,
"days",_xlpm.Num*24,
"week",_xlpm.Num*24*7,
"weeks",_xlpm.Num*24*7,
"month",_xlpm.Num*24*(365.25/12),
"months",_xlpm.Num*24*(365.25/12),
"")
))</f>
        <v/>
      </c>
      <c r="N12" s="51" t="str">
        <f t="shared" si="1"/>
        <v/>
      </c>
      <c r="O12"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13" spans="1:15" ht="21.75" customHeight="1" x14ac:dyDescent="0.35">
      <c r="A13" s="207">
        <v>8</v>
      </c>
      <c r="B13" s="9" t="str">
        <f t="shared" si="0"/>
        <v/>
      </c>
      <c r="C13" s="49"/>
      <c r="D13" s="49"/>
      <c r="E13" s="49"/>
      <c r="F13" s="49"/>
      <c r="G13" s="49"/>
      <c r="H13" s="49"/>
      <c r="I13" s="64"/>
      <c r="J13" s="64"/>
      <c r="K13" s="131"/>
      <c r="L13" s="65"/>
      <c r="M13" s="261" t="str" cm="1">
        <f t="array" ref="M13">IF(ISBLANK(L13),"",_xlfn.LET(
_xlpm.Num,--_xlfn.TEXTBEFORE(L13," "),
_xlpm.Unit,LOWER(_xlfn.TEXTAFTER(L13," ")),
_xlfn.SWITCH(_xlpm.Unit,
"hour",_xlpm.Num,
"hours",_xlpm.Num,
"day",_xlpm.Num*24,
"days",_xlpm.Num*24,
"week",_xlpm.Num*24*7,
"weeks",_xlpm.Num*24*7,
"month",_xlpm.Num*24*(365.25/12),
"months",_xlpm.Num*24*(365.25/12),
"")
))</f>
        <v/>
      </c>
      <c r="N13" s="51" t="str">
        <f t="shared" si="1"/>
        <v/>
      </c>
      <c r="O13"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14" spans="1:15" ht="15" customHeight="1" x14ac:dyDescent="0.35">
      <c r="A14" s="207">
        <v>9</v>
      </c>
      <c r="B14" s="9" t="str">
        <f t="shared" si="0"/>
        <v/>
      </c>
      <c r="C14" s="49"/>
      <c r="D14" s="49"/>
      <c r="E14" s="49"/>
      <c r="F14" s="49"/>
      <c r="G14" s="49"/>
      <c r="H14" s="49"/>
      <c r="I14" s="64"/>
      <c r="J14" s="64"/>
      <c r="K14" s="131"/>
      <c r="L14" s="65"/>
      <c r="M14" s="261" t="str" cm="1">
        <f t="array" ref="M14">IF(ISBLANK(L14),"",_xlfn.LET(
_xlpm.Num,--_xlfn.TEXTBEFORE(L14," "),
_xlpm.Unit,LOWER(_xlfn.TEXTAFTER(L14," ")),
_xlfn.SWITCH(_xlpm.Unit,
"hour",_xlpm.Num,
"hours",_xlpm.Num,
"day",_xlpm.Num*24,
"days",_xlpm.Num*24,
"week",_xlpm.Num*24*7,
"weeks",_xlpm.Num*24*7,
"month",_xlpm.Num*24*(365.25/12),
"months",_xlpm.Num*24*(365.25/12),
"")
))</f>
        <v/>
      </c>
      <c r="N14" s="51" t="str">
        <f t="shared" si="1"/>
        <v/>
      </c>
      <c r="O14"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15" spans="1:15" ht="21.75" customHeight="1" x14ac:dyDescent="0.35">
      <c r="A15" s="207">
        <v>10</v>
      </c>
      <c r="B15" s="9" t="str">
        <f t="shared" si="0"/>
        <v/>
      </c>
      <c r="C15" s="49"/>
      <c r="D15" s="49"/>
      <c r="E15" s="49"/>
      <c r="F15" s="49"/>
      <c r="G15" s="49"/>
      <c r="H15" s="49"/>
      <c r="I15" s="64"/>
      <c r="J15" s="64"/>
      <c r="K15" s="49"/>
      <c r="L15" s="65"/>
      <c r="M15" s="261" t="str" cm="1">
        <f t="array" ref="M15">IF(ISBLANK(L15),"",_xlfn.LET(
_xlpm.Num,--_xlfn.TEXTBEFORE(L15," "),
_xlpm.Unit,LOWER(_xlfn.TEXTAFTER(L15," ")),
_xlfn.SWITCH(_xlpm.Unit,
"hour",_xlpm.Num,
"hours",_xlpm.Num,
"day",_xlpm.Num*24,
"days",_xlpm.Num*24,
"week",_xlpm.Num*24*7,
"weeks",_xlpm.Num*24*7,
"month",_xlpm.Num*24*(365.25/12),
"months",_xlpm.Num*24*(365.25/12),
"")
))</f>
        <v/>
      </c>
      <c r="N15" s="51" t="str">
        <f t="shared" si="1"/>
        <v/>
      </c>
      <c r="O15"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16" spans="1:15" ht="21.75" customHeight="1" x14ac:dyDescent="0.35">
      <c r="A16" s="207">
        <v>11</v>
      </c>
      <c r="B16" s="9" t="str">
        <f t="shared" si="0"/>
        <v/>
      </c>
      <c r="C16" s="49"/>
      <c r="D16" s="49"/>
      <c r="E16" s="49"/>
      <c r="F16" s="49"/>
      <c r="G16" s="49"/>
      <c r="H16" s="49"/>
      <c r="I16" s="64"/>
      <c r="J16" s="64"/>
      <c r="K16" s="49"/>
      <c r="L16" s="65"/>
      <c r="M16" s="261" t="str" cm="1">
        <f t="array" ref="M16">IF(ISBLANK(L16),"",_xlfn.LET(
_xlpm.Num,--_xlfn.TEXTBEFORE(L16," "),
_xlpm.Unit,LOWER(_xlfn.TEXTAFTER(L16," ")),
_xlfn.SWITCH(_xlpm.Unit,
"hour",_xlpm.Num,
"hours",_xlpm.Num,
"day",_xlpm.Num*24,
"days",_xlpm.Num*24,
"week",_xlpm.Num*24*7,
"weeks",_xlpm.Num*24*7,
"month",_xlpm.Num*24*(365.25/12),
"months",_xlpm.Num*24*(365.25/12),
"")
))</f>
        <v/>
      </c>
      <c r="N16" s="51" t="str">
        <f t="shared" si="1"/>
        <v/>
      </c>
      <c r="O16"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17" spans="1:15" ht="21.75" customHeight="1" x14ac:dyDescent="0.35">
      <c r="A17" s="207">
        <v>12</v>
      </c>
      <c r="B17" s="9" t="str">
        <f t="shared" si="0"/>
        <v/>
      </c>
      <c r="C17" s="49"/>
      <c r="D17" s="49"/>
      <c r="E17" s="49"/>
      <c r="F17" s="49"/>
      <c r="G17" s="49"/>
      <c r="H17" s="49"/>
      <c r="I17" s="64"/>
      <c r="J17" s="64"/>
      <c r="K17" s="49"/>
      <c r="L17" s="65"/>
      <c r="M17" s="261" t="str" cm="1">
        <f t="array" ref="M17">IF(ISBLANK(L17),"",_xlfn.LET(
_xlpm.Num,--_xlfn.TEXTBEFORE(L17," "),
_xlpm.Unit,LOWER(_xlfn.TEXTAFTER(L17," ")),
_xlfn.SWITCH(_xlpm.Unit,
"hour",_xlpm.Num,
"hours",_xlpm.Num,
"day",_xlpm.Num*24,
"days",_xlpm.Num*24,
"week",_xlpm.Num*24*7,
"weeks",_xlpm.Num*24*7,
"month",_xlpm.Num*24*(365.25/12),
"months",_xlpm.Num*24*(365.25/12),
"")
))</f>
        <v/>
      </c>
      <c r="N17" s="51" t="str">
        <f t="shared" si="1"/>
        <v/>
      </c>
      <c r="O17"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18" spans="1:15" ht="21.75" customHeight="1" x14ac:dyDescent="0.35">
      <c r="A18" s="207">
        <v>13</v>
      </c>
      <c r="B18" s="9" t="str">
        <f t="shared" si="0"/>
        <v/>
      </c>
      <c r="C18" s="49"/>
      <c r="D18" s="49"/>
      <c r="E18" s="49"/>
      <c r="F18" s="49"/>
      <c r="G18" s="49"/>
      <c r="H18" s="49"/>
      <c r="I18" s="64"/>
      <c r="J18" s="64"/>
      <c r="K18" s="49"/>
      <c r="L18" s="65"/>
      <c r="M18" s="261" t="str" cm="1">
        <f t="array" ref="M18">IF(ISBLANK(L18),"",_xlfn.LET(
_xlpm.Num,--_xlfn.TEXTBEFORE(L18," "),
_xlpm.Unit,LOWER(_xlfn.TEXTAFTER(L18," ")),
_xlfn.SWITCH(_xlpm.Unit,
"hour",_xlpm.Num,
"hours",_xlpm.Num,
"day",_xlpm.Num*24,
"days",_xlpm.Num*24,
"week",_xlpm.Num*24*7,
"weeks",_xlpm.Num*24*7,
"month",_xlpm.Num*24*(365.25/12),
"months",_xlpm.Num*24*(365.25/12),
"")
))</f>
        <v/>
      </c>
      <c r="N18" s="51" t="str">
        <f t="shared" si="1"/>
        <v/>
      </c>
      <c r="O18"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19" spans="1:15" ht="21.75" customHeight="1" x14ac:dyDescent="0.35">
      <c r="A19" s="207">
        <v>14</v>
      </c>
      <c r="B19" s="9" t="str">
        <f t="shared" si="0"/>
        <v/>
      </c>
      <c r="C19" s="49"/>
      <c r="D19" s="49"/>
      <c r="E19" s="49"/>
      <c r="F19" s="49"/>
      <c r="G19" s="49"/>
      <c r="H19" s="49"/>
      <c r="I19" s="64"/>
      <c r="J19" s="64"/>
      <c r="K19" s="49"/>
      <c r="L19" s="65"/>
      <c r="M19" s="261" t="str" cm="1">
        <f t="array" ref="M19">IF(ISBLANK(L19),"",_xlfn.LET(
_xlpm.Num,--_xlfn.TEXTBEFORE(L19," "),
_xlpm.Unit,LOWER(_xlfn.TEXTAFTER(L19," ")),
_xlfn.SWITCH(_xlpm.Unit,
"hour",_xlpm.Num,
"hours",_xlpm.Num,
"day",_xlpm.Num*24,
"days",_xlpm.Num*24,
"week",_xlpm.Num*24*7,
"weeks",_xlpm.Num*24*7,
"month",_xlpm.Num*24*(365.25/12),
"months",_xlpm.Num*24*(365.25/12),
"")
))</f>
        <v/>
      </c>
      <c r="N19" s="51" t="str">
        <f t="shared" si="1"/>
        <v/>
      </c>
      <c r="O19"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20" spans="1:15" ht="15" customHeight="1" x14ac:dyDescent="0.35">
      <c r="A20" s="207">
        <v>15</v>
      </c>
      <c r="B20" s="9" t="str">
        <f t="shared" si="0"/>
        <v/>
      </c>
      <c r="C20" s="49"/>
      <c r="D20" s="49"/>
      <c r="E20" s="49"/>
      <c r="F20" s="49"/>
      <c r="G20" s="49"/>
      <c r="H20" s="49"/>
      <c r="I20" s="64"/>
      <c r="J20" s="64"/>
      <c r="K20" s="49"/>
      <c r="L20" s="65"/>
      <c r="M20" s="261" t="str" cm="1">
        <f t="array" ref="M20">IF(ISBLANK(L20),"",_xlfn.LET(
_xlpm.Num,--_xlfn.TEXTBEFORE(L20," "),
_xlpm.Unit,LOWER(_xlfn.TEXTAFTER(L20," ")),
_xlfn.SWITCH(_xlpm.Unit,
"hour",_xlpm.Num,
"hours",_xlpm.Num,
"day",_xlpm.Num*24,
"days",_xlpm.Num*24,
"week",_xlpm.Num*24*7,
"weeks",_xlpm.Num*24*7,
"month",_xlpm.Num*24*(365.25/12),
"months",_xlpm.Num*24*(365.25/12),
"")
))</f>
        <v/>
      </c>
      <c r="N20" s="51" t="str">
        <f t="shared" si="1"/>
        <v/>
      </c>
      <c r="O20"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21" spans="1:15" ht="21.75" customHeight="1" x14ac:dyDescent="0.35">
      <c r="A21" s="207">
        <v>16</v>
      </c>
      <c r="B21" s="9" t="str">
        <f t="shared" si="0"/>
        <v/>
      </c>
      <c r="C21" s="49"/>
      <c r="D21" s="49"/>
      <c r="E21" s="49"/>
      <c r="F21" s="49"/>
      <c r="G21" s="49"/>
      <c r="H21" s="49"/>
      <c r="I21" s="64"/>
      <c r="J21" s="64"/>
      <c r="K21" s="49"/>
      <c r="L21" s="65"/>
      <c r="M21" s="261" t="str" cm="1">
        <f t="array" ref="M21">IF(ISBLANK(L21),"",_xlfn.LET(
_xlpm.Num,--_xlfn.TEXTBEFORE(L21," "),
_xlpm.Unit,LOWER(_xlfn.TEXTAFTER(L21," ")),
_xlfn.SWITCH(_xlpm.Unit,
"hour",_xlpm.Num,
"hours",_xlpm.Num,
"day",_xlpm.Num*24,
"days",_xlpm.Num*24,
"week",_xlpm.Num*24*7,
"weeks",_xlpm.Num*24*7,
"month",_xlpm.Num*24*(365.25/12),
"months",_xlpm.Num*24*(365.25/12),
"")
))</f>
        <v/>
      </c>
      <c r="N21" s="51" t="str">
        <f t="shared" si="1"/>
        <v/>
      </c>
      <c r="O21"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22" spans="1:15" ht="21.75" customHeight="1" x14ac:dyDescent="0.35">
      <c r="A22" s="207">
        <v>17</v>
      </c>
      <c r="B22" s="9" t="str">
        <f t="shared" si="0"/>
        <v/>
      </c>
      <c r="C22" s="49"/>
      <c r="D22" s="49"/>
      <c r="E22" s="49"/>
      <c r="F22" s="49"/>
      <c r="G22" s="49"/>
      <c r="H22" s="49"/>
      <c r="I22" s="64"/>
      <c r="J22" s="64"/>
      <c r="K22" s="49"/>
      <c r="L22" s="65"/>
      <c r="M22" s="261" t="str" cm="1">
        <f t="array" ref="M22">IF(ISBLANK(L22),"",_xlfn.LET(
_xlpm.Num,--_xlfn.TEXTBEFORE(L22," "),
_xlpm.Unit,LOWER(_xlfn.TEXTAFTER(L22," ")),
_xlfn.SWITCH(_xlpm.Unit,
"hour",_xlpm.Num,
"hours",_xlpm.Num,
"day",_xlpm.Num*24,
"days",_xlpm.Num*24,
"week",_xlpm.Num*24*7,
"weeks",_xlpm.Num*24*7,
"month",_xlpm.Num*24*(365.25/12),
"months",_xlpm.Num*24*(365.25/12),
"")
))</f>
        <v/>
      </c>
      <c r="N22" s="51" t="str">
        <f t="shared" si="1"/>
        <v/>
      </c>
      <c r="O22"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23" spans="1:15" ht="21.75" customHeight="1" x14ac:dyDescent="0.35">
      <c r="A23" s="207">
        <v>18</v>
      </c>
      <c r="B23" s="9" t="str">
        <f t="shared" si="0"/>
        <v/>
      </c>
      <c r="C23" s="49"/>
      <c r="D23" s="49"/>
      <c r="E23" s="49"/>
      <c r="F23" s="49"/>
      <c r="G23" s="49"/>
      <c r="H23" s="49"/>
      <c r="I23" s="64"/>
      <c r="J23" s="64"/>
      <c r="K23" s="49"/>
      <c r="L23" s="65"/>
      <c r="M23" s="261" t="str" cm="1">
        <f t="array" ref="M23">IF(ISBLANK(L23),"",_xlfn.LET(
_xlpm.Num,--_xlfn.TEXTBEFORE(L23," "),
_xlpm.Unit,LOWER(_xlfn.TEXTAFTER(L23," ")),
_xlfn.SWITCH(_xlpm.Unit,
"hour",_xlpm.Num,
"hours",_xlpm.Num,
"day",_xlpm.Num*24,
"days",_xlpm.Num*24,
"week",_xlpm.Num*24*7,
"weeks",_xlpm.Num*24*7,
"month",_xlpm.Num*24*(365.25/12),
"months",_xlpm.Num*24*(365.25/12),
"")
))</f>
        <v/>
      </c>
      <c r="N23" s="51" t="str">
        <f t="shared" si="1"/>
        <v/>
      </c>
      <c r="O23"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24" spans="1:15" ht="15" customHeight="1" x14ac:dyDescent="0.35">
      <c r="A24" s="207">
        <v>19</v>
      </c>
      <c r="B24" s="9" t="str">
        <f t="shared" si="0"/>
        <v/>
      </c>
      <c r="C24" s="49"/>
      <c r="D24" s="49"/>
      <c r="E24" s="49"/>
      <c r="F24" s="49"/>
      <c r="G24" s="49"/>
      <c r="H24" s="49"/>
      <c r="I24" s="64"/>
      <c r="J24" s="64"/>
      <c r="K24" s="49"/>
      <c r="L24" s="65"/>
      <c r="M24" s="261" t="str" cm="1">
        <f t="array" ref="M24">IF(ISBLANK(L24),"",_xlfn.LET(
_xlpm.Num,--_xlfn.TEXTBEFORE(L24," "),
_xlpm.Unit,LOWER(_xlfn.TEXTAFTER(L24," ")),
_xlfn.SWITCH(_xlpm.Unit,
"hour",_xlpm.Num,
"hours",_xlpm.Num,
"day",_xlpm.Num*24,
"days",_xlpm.Num*24,
"week",_xlpm.Num*24*7,
"weeks",_xlpm.Num*24*7,
"month",_xlpm.Num*24*(365.25/12),
"months",_xlpm.Num*24*(365.25/12),
"")
))</f>
        <v/>
      </c>
      <c r="N24" s="51" t="str">
        <f t="shared" si="1"/>
        <v/>
      </c>
      <c r="O24"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25" spans="1:15" ht="21.75" customHeight="1" x14ac:dyDescent="0.35">
      <c r="A25" s="207">
        <v>20</v>
      </c>
      <c r="B25" s="9" t="str">
        <f t="shared" si="0"/>
        <v/>
      </c>
      <c r="C25" s="49"/>
      <c r="D25" s="49"/>
      <c r="E25" s="49"/>
      <c r="F25" s="49"/>
      <c r="G25" s="49"/>
      <c r="H25" s="49"/>
      <c r="I25" s="64"/>
      <c r="J25" s="64"/>
      <c r="K25" s="49"/>
      <c r="L25" s="65"/>
      <c r="M25" s="261" t="str" cm="1">
        <f t="array" ref="M25">IF(ISBLANK(L25),"",_xlfn.LET(
_xlpm.Num,--_xlfn.TEXTBEFORE(L25," "),
_xlpm.Unit,LOWER(_xlfn.TEXTAFTER(L25," ")),
_xlfn.SWITCH(_xlpm.Unit,
"hour",_xlpm.Num,
"hours",_xlpm.Num,
"day",_xlpm.Num*24,
"days",_xlpm.Num*24,
"week",_xlpm.Num*24*7,
"weeks",_xlpm.Num*24*7,
"month",_xlpm.Num*24*(365.25/12),
"months",_xlpm.Num*24*(365.25/12),
"")
))</f>
        <v/>
      </c>
      <c r="N25" s="51" t="str">
        <f t="shared" si="1"/>
        <v/>
      </c>
      <c r="O25"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26" spans="1:15" ht="21.75" customHeight="1" x14ac:dyDescent="0.35">
      <c r="A26" s="207">
        <v>21</v>
      </c>
      <c r="B26" s="9" t="str">
        <f t="shared" si="0"/>
        <v/>
      </c>
      <c r="C26" s="49"/>
      <c r="D26" s="49"/>
      <c r="E26" s="49"/>
      <c r="F26" s="49"/>
      <c r="G26" s="49"/>
      <c r="H26" s="49"/>
      <c r="I26" s="64"/>
      <c r="J26" s="64"/>
      <c r="K26" s="49"/>
      <c r="L26" s="65"/>
      <c r="M26" s="261" t="str" cm="1">
        <f t="array" ref="M26">IF(ISBLANK(L26),"",_xlfn.LET(
_xlpm.Num,--_xlfn.TEXTBEFORE(L26," "),
_xlpm.Unit,LOWER(_xlfn.TEXTAFTER(L26," ")),
_xlfn.SWITCH(_xlpm.Unit,
"hour",_xlpm.Num,
"hours",_xlpm.Num,
"day",_xlpm.Num*24,
"days",_xlpm.Num*24,
"week",_xlpm.Num*24*7,
"weeks",_xlpm.Num*24*7,
"month",_xlpm.Num*24*(365.25/12),
"months",_xlpm.Num*24*(365.25/12),
"")
))</f>
        <v/>
      </c>
      <c r="N26" s="51" t="str">
        <f t="shared" si="1"/>
        <v/>
      </c>
      <c r="O26"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27" spans="1:15" ht="21.75" customHeight="1" x14ac:dyDescent="0.35">
      <c r="A27" s="207">
        <v>22</v>
      </c>
      <c r="B27" s="9" t="str">
        <f t="shared" si="0"/>
        <v/>
      </c>
      <c r="C27" s="49"/>
      <c r="D27" s="49"/>
      <c r="E27" s="49"/>
      <c r="F27" s="49"/>
      <c r="G27" s="49"/>
      <c r="H27" s="49"/>
      <c r="I27" s="64"/>
      <c r="J27" s="64"/>
      <c r="K27" s="49"/>
      <c r="L27" s="65"/>
      <c r="M27" s="261" t="str" cm="1">
        <f t="array" ref="M27">IF(ISBLANK(L27),"",_xlfn.LET(
_xlpm.Num,--_xlfn.TEXTBEFORE(L27," "),
_xlpm.Unit,LOWER(_xlfn.TEXTAFTER(L27," ")),
_xlfn.SWITCH(_xlpm.Unit,
"hour",_xlpm.Num,
"hours",_xlpm.Num,
"day",_xlpm.Num*24,
"days",_xlpm.Num*24,
"week",_xlpm.Num*24*7,
"weeks",_xlpm.Num*24*7,
"month",_xlpm.Num*24*(365.25/12),
"months",_xlpm.Num*24*(365.25/12),
"")
))</f>
        <v/>
      </c>
      <c r="N27" s="51" t="str">
        <f t="shared" si="1"/>
        <v/>
      </c>
      <c r="O27"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28" spans="1:15" ht="21.75" customHeight="1" x14ac:dyDescent="0.35">
      <c r="A28" s="207">
        <v>23</v>
      </c>
      <c r="B28" s="9" t="str">
        <f t="shared" si="0"/>
        <v/>
      </c>
      <c r="C28" s="49"/>
      <c r="D28" s="49"/>
      <c r="E28" s="49"/>
      <c r="F28" s="49"/>
      <c r="G28" s="49"/>
      <c r="H28" s="49"/>
      <c r="I28" s="64"/>
      <c r="J28" s="64"/>
      <c r="K28" s="49"/>
      <c r="L28" s="65"/>
      <c r="M28" s="261" t="str" cm="1">
        <f t="array" ref="M28">IF(ISBLANK(L28),"",_xlfn.LET(
_xlpm.Num,--_xlfn.TEXTBEFORE(L28," "),
_xlpm.Unit,LOWER(_xlfn.TEXTAFTER(L28," ")),
_xlfn.SWITCH(_xlpm.Unit,
"hour",_xlpm.Num,
"hours",_xlpm.Num,
"day",_xlpm.Num*24,
"days",_xlpm.Num*24,
"week",_xlpm.Num*24*7,
"weeks",_xlpm.Num*24*7,
"month",_xlpm.Num*24*(365.25/12),
"months",_xlpm.Num*24*(365.25/12),
"")
))</f>
        <v/>
      </c>
      <c r="N28" s="51" t="str">
        <f t="shared" si="1"/>
        <v/>
      </c>
      <c r="O28"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29" spans="1:15" ht="15" customHeight="1" x14ac:dyDescent="0.35">
      <c r="A29" s="207">
        <v>24</v>
      </c>
      <c r="B29" s="9" t="str">
        <f t="shared" si="0"/>
        <v/>
      </c>
      <c r="C29" s="49"/>
      <c r="D29" s="49"/>
      <c r="E29" s="49"/>
      <c r="F29" s="49"/>
      <c r="G29" s="49"/>
      <c r="H29" s="49"/>
      <c r="I29" s="64"/>
      <c r="J29" s="64"/>
      <c r="K29" s="49"/>
      <c r="L29" s="65"/>
      <c r="M29" s="261" t="str" cm="1">
        <f t="array" ref="M29">IF(ISBLANK(L29),"",_xlfn.LET(
_xlpm.Num,--_xlfn.TEXTBEFORE(L29," "),
_xlpm.Unit,LOWER(_xlfn.TEXTAFTER(L29," ")),
_xlfn.SWITCH(_xlpm.Unit,
"hour",_xlpm.Num,
"hours",_xlpm.Num,
"day",_xlpm.Num*24,
"days",_xlpm.Num*24,
"week",_xlpm.Num*24*7,
"weeks",_xlpm.Num*24*7,
"month",_xlpm.Num*24*(365.25/12),
"months",_xlpm.Num*24*(365.25/12),
"")
))</f>
        <v/>
      </c>
      <c r="N29" s="51" t="str">
        <f t="shared" si="1"/>
        <v/>
      </c>
      <c r="O29"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30" spans="1:15" ht="21.75" customHeight="1" x14ac:dyDescent="0.35">
      <c r="A30" s="207">
        <v>25</v>
      </c>
      <c r="B30" s="9" t="str">
        <f t="shared" si="0"/>
        <v/>
      </c>
      <c r="C30" s="49"/>
      <c r="D30" s="49"/>
      <c r="E30" s="49"/>
      <c r="F30" s="49"/>
      <c r="G30" s="49"/>
      <c r="H30" s="49"/>
      <c r="I30" s="64"/>
      <c r="J30" s="64"/>
      <c r="K30" s="49"/>
      <c r="L30" s="65"/>
      <c r="M30" s="261" t="str" cm="1">
        <f t="array" ref="M30">IF(ISBLANK(L30),"",_xlfn.LET(
_xlpm.Num,--_xlfn.TEXTBEFORE(L30," "),
_xlpm.Unit,LOWER(_xlfn.TEXTAFTER(L30," ")),
_xlfn.SWITCH(_xlpm.Unit,
"hour",_xlpm.Num,
"hours",_xlpm.Num,
"day",_xlpm.Num*24,
"days",_xlpm.Num*24,
"week",_xlpm.Num*24*7,
"weeks",_xlpm.Num*24*7,
"month",_xlpm.Num*24*(365.25/12),
"months",_xlpm.Num*24*(365.25/12),
"")
))</f>
        <v/>
      </c>
      <c r="N30" s="51" t="str">
        <f t="shared" si="1"/>
        <v/>
      </c>
      <c r="O30"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31" spans="1:15" ht="15" customHeight="1" x14ac:dyDescent="0.35">
      <c r="A31" s="207">
        <v>26</v>
      </c>
      <c r="B31" s="9" t="str">
        <f t="shared" si="0"/>
        <v/>
      </c>
      <c r="C31" s="49"/>
      <c r="D31" s="49"/>
      <c r="E31" s="49"/>
      <c r="F31" s="49"/>
      <c r="G31" s="49"/>
      <c r="H31" s="49"/>
      <c r="I31" s="64"/>
      <c r="J31" s="64"/>
      <c r="K31" s="49"/>
      <c r="L31" s="65"/>
      <c r="M31" s="261" t="str" cm="1">
        <f t="array" ref="M31">IF(ISBLANK(L31),"",_xlfn.LET(
_xlpm.Num,--_xlfn.TEXTBEFORE(L31," "),
_xlpm.Unit,LOWER(_xlfn.TEXTAFTER(L31," ")),
_xlfn.SWITCH(_xlpm.Unit,
"hour",_xlpm.Num,
"hours",_xlpm.Num,
"day",_xlpm.Num*24,
"days",_xlpm.Num*24,
"week",_xlpm.Num*24*7,
"weeks",_xlpm.Num*24*7,
"month",_xlpm.Num*24*(365.25/12),
"months",_xlpm.Num*24*(365.25/12),
"")
))</f>
        <v/>
      </c>
      <c r="N31" s="51" t="str">
        <f t="shared" si="1"/>
        <v/>
      </c>
      <c r="O31"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32" spans="1:15" ht="15" customHeight="1" x14ac:dyDescent="0.35">
      <c r="A32" s="207">
        <v>27</v>
      </c>
      <c r="B32" s="9" t="str">
        <f t="shared" si="0"/>
        <v/>
      </c>
      <c r="C32" s="49"/>
      <c r="D32" s="49"/>
      <c r="E32" s="49"/>
      <c r="F32" s="49"/>
      <c r="G32" s="49"/>
      <c r="H32" s="49"/>
      <c r="I32" s="64"/>
      <c r="J32" s="64"/>
      <c r="K32" s="49"/>
      <c r="L32" s="65"/>
      <c r="M32" s="261" t="str" cm="1">
        <f t="array" ref="M32">IF(ISBLANK(L32),"",_xlfn.LET(
_xlpm.Num,--_xlfn.TEXTBEFORE(L32," "),
_xlpm.Unit,LOWER(_xlfn.TEXTAFTER(L32," ")),
_xlfn.SWITCH(_xlpm.Unit,
"hour",_xlpm.Num,
"hours",_xlpm.Num,
"day",_xlpm.Num*24,
"days",_xlpm.Num*24,
"week",_xlpm.Num*24*7,
"weeks",_xlpm.Num*24*7,
"month",_xlpm.Num*24*(365.25/12),
"months",_xlpm.Num*24*(365.25/12),
"")
))</f>
        <v/>
      </c>
      <c r="N32" s="51" t="str">
        <f t="shared" si="1"/>
        <v/>
      </c>
      <c r="O32"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33" spans="1:15" ht="15" customHeight="1" x14ac:dyDescent="0.35">
      <c r="A33" s="207">
        <v>28</v>
      </c>
      <c r="B33" s="9" t="str">
        <f t="shared" si="0"/>
        <v/>
      </c>
      <c r="C33" s="49"/>
      <c r="D33" s="49"/>
      <c r="E33" s="49"/>
      <c r="F33" s="49"/>
      <c r="G33" s="49"/>
      <c r="H33" s="49"/>
      <c r="I33" s="64"/>
      <c r="J33" s="64"/>
      <c r="K33" s="49"/>
      <c r="L33" s="65"/>
      <c r="M33" s="261" t="str" cm="1">
        <f t="array" ref="M33">IF(ISBLANK(L33),"",_xlfn.LET(
_xlpm.Num,--_xlfn.TEXTBEFORE(L33," "),
_xlpm.Unit,LOWER(_xlfn.TEXTAFTER(L33," ")),
_xlfn.SWITCH(_xlpm.Unit,
"hour",_xlpm.Num,
"hours",_xlpm.Num,
"day",_xlpm.Num*24,
"days",_xlpm.Num*24,
"week",_xlpm.Num*24*7,
"weeks",_xlpm.Num*24*7,
"month",_xlpm.Num*24*(365.25/12),
"months",_xlpm.Num*24*(365.25/12),
"")
))</f>
        <v/>
      </c>
      <c r="N33" s="51" t="str">
        <f t="shared" si="1"/>
        <v/>
      </c>
      <c r="O33"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34" spans="1:15" ht="15" customHeight="1" x14ac:dyDescent="0.35">
      <c r="A34" s="207">
        <v>29</v>
      </c>
      <c r="B34" s="9" t="str">
        <f t="shared" si="0"/>
        <v/>
      </c>
      <c r="C34" s="49"/>
      <c r="D34" s="49"/>
      <c r="E34" s="49"/>
      <c r="F34" s="49"/>
      <c r="G34" s="49"/>
      <c r="H34" s="49"/>
      <c r="I34" s="64"/>
      <c r="J34" s="64"/>
      <c r="K34" s="49"/>
      <c r="L34" s="65"/>
      <c r="M34" s="261" t="str" cm="1">
        <f t="array" ref="M34">IF(ISBLANK(L34),"",_xlfn.LET(
_xlpm.Num,--_xlfn.TEXTBEFORE(L34," "),
_xlpm.Unit,LOWER(_xlfn.TEXTAFTER(L34," ")),
_xlfn.SWITCH(_xlpm.Unit,
"hour",_xlpm.Num,
"hours",_xlpm.Num,
"day",_xlpm.Num*24,
"days",_xlpm.Num*24,
"week",_xlpm.Num*24*7,
"weeks",_xlpm.Num*24*7,
"month",_xlpm.Num*24*(365.25/12),
"months",_xlpm.Num*24*(365.25/12),
"")
))</f>
        <v/>
      </c>
      <c r="N34" s="51" t="str">
        <f t="shared" si="1"/>
        <v/>
      </c>
      <c r="O34"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35" spans="1:15" ht="21.75" customHeight="1" x14ac:dyDescent="0.35">
      <c r="A35" s="207">
        <v>30</v>
      </c>
      <c r="B35" s="9" t="str">
        <f t="shared" si="0"/>
        <v/>
      </c>
      <c r="C35" s="49"/>
      <c r="D35" s="49"/>
      <c r="E35" s="49"/>
      <c r="F35" s="49"/>
      <c r="G35" s="49"/>
      <c r="H35" s="49"/>
      <c r="I35" s="64"/>
      <c r="J35" s="64"/>
      <c r="K35" s="49"/>
      <c r="L35" s="65"/>
      <c r="M35" s="261" t="str" cm="1">
        <f t="array" ref="M35">IF(ISBLANK(L35),"",_xlfn.LET(
_xlpm.Num,--_xlfn.TEXTBEFORE(L35," "),
_xlpm.Unit,LOWER(_xlfn.TEXTAFTER(L35," ")),
_xlfn.SWITCH(_xlpm.Unit,
"hour",_xlpm.Num,
"hours",_xlpm.Num,
"day",_xlpm.Num*24,
"days",_xlpm.Num*24,
"week",_xlpm.Num*24*7,
"weeks",_xlpm.Num*24*7,
"month",_xlpm.Num*24*(365.25/12),
"months",_xlpm.Num*24*(365.25/12),
"")
))</f>
        <v/>
      </c>
      <c r="N35" s="51" t="str">
        <f t="shared" si="1"/>
        <v/>
      </c>
      <c r="O35"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36" spans="1:15" ht="21.75" customHeight="1" x14ac:dyDescent="0.35">
      <c r="A36" s="207">
        <v>31</v>
      </c>
      <c r="B36" s="9" t="str">
        <f t="shared" si="0"/>
        <v/>
      </c>
      <c r="C36" s="49"/>
      <c r="D36" s="49"/>
      <c r="E36" s="49"/>
      <c r="F36" s="49"/>
      <c r="G36" s="49"/>
      <c r="H36" s="49"/>
      <c r="I36" s="64"/>
      <c r="J36" s="64"/>
      <c r="K36" s="49"/>
      <c r="L36" s="65"/>
      <c r="M36" s="261" t="str" cm="1">
        <f t="array" ref="M36">IF(ISBLANK(L36),"",_xlfn.LET(
_xlpm.Num,--_xlfn.TEXTBEFORE(L36," "),
_xlpm.Unit,LOWER(_xlfn.TEXTAFTER(L36," ")),
_xlfn.SWITCH(_xlpm.Unit,
"hour",_xlpm.Num,
"hours",_xlpm.Num,
"day",_xlpm.Num*24,
"days",_xlpm.Num*24,
"week",_xlpm.Num*24*7,
"weeks",_xlpm.Num*24*7,
"month",_xlpm.Num*24*(365.25/12),
"months",_xlpm.Num*24*(365.25/12),
"")
))</f>
        <v/>
      </c>
      <c r="N36" s="51" t="str">
        <f t="shared" si="1"/>
        <v/>
      </c>
      <c r="O36"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37" spans="1:15" ht="21.75" customHeight="1" x14ac:dyDescent="0.35">
      <c r="A37" s="207">
        <v>32</v>
      </c>
      <c r="B37" s="9" t="str">
        <f t="shared" si="0"/>
        <v/>
      </c>
      <c r="C37" s="49"/>
      <c r="D37" s="49"/>
      <c r="E37" s="49"/>
      <c r="F37" s="49"/>
      <c r="G37" s="49"/>
      <c r="H37" s="49"/>
      <c r="I37" s="64"/>
      <c r="J37" s="64"/>
      <c r="K37" s="49"/>
      <c r="L37" s="65"/>
      <c r="M37" s="261" t="str" cm="1">
        <f t="array" ref="M37">IF(ISBLANK(L37),"",_xlfn.LET(
_xlpm.Num,--_xlfn.TEXTBEFORE(L37," "),
_xlpm.Unit,LOWER(_xlfn.TEXTAFTER(L37," ")),
_xlfn.SWITCH(_xlpm.Unit,
"hour",_xlpm.Num,
"hours",_xlpm.Num,
"day",_xlpm.Num*24,
"days",_xlpm.Num*24,
"week",_xlpm.Num*24*7,
"weeks",_xlpm.Num*24*7,
"month",_xlpm.Num*24*(365.25/12),
"months",_xlpm.Num*24*(365.25/12),
"")
))</f>
        <v/>
      </c>
      <c r="N37" s="51" t="str">
        <f t="shared" si="1"/>
        <v/>
      </c>
      <c r="O37"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38" spans="1:15" ht="15" customHeight="1" x14ac:dyDescent="0.35">
      <c r="A38" s="207">
        <v>33</v>
      </c>
      <c r="B38" s="9" t="str">
        <f t="shared" si="0"/>
        <v/>
      </c>
      <c r="C38" s="49"/>
      <c r="D38" s="49"/>
      <c r="E38" s="49"/>
      <c r="F38" s="49"/>
      <c r="G38" s="49"/>
      <c r="H38" s="49"/>
      <c r="I38" s="64"/>
      <c r="J38" s="64"/>
      <c r="K38" s="49"/>
      <c r="L38" s="65"/>
      <c r="M38" s="261" t="str" cm="1">
        <f t="array" ref="M38">IF(ISBLANK(L38),"",_xlfn.LET(
_xlpm.Num,--_xlfn.TEXTBEFORE(L38," "),
_xlpm.Unit,LOWER(_xlfn.TEXTAFTER(L38," ")),
_xlfn.SWITCH(_xlpm.Unit,
"hour",_xlpm.Num,
"hours",_xlpm.Num,
"day",_xlpm.Num*24,
"days",_xlpm.Num*24,
"week",_xlpm.Num*24*7,
"weeks",_xlpm.Num*24*7,
"month",_xlpm.Num*24*(365.25/12),
"months",_xlpm.Num*24*(365.25/12),
"")
))</f>
        <v/>
      </c>
      <c r="N38" s="51" t="str">
        <f t="shared" si="1"/>
        <v/>
      </c>
      <c r="O38"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39" spans="1:15" ht="21.75" customHeight="1" x14ac:dyDescent="0.35">
      <c r="A39" s="207">
        <v>34</v>
      </c>
      <c r="B39" s="9" t="str">
        <f t="shared" si="0"/>
        <v/>
      </c>
      <c r="C39" s="49"/>
      <c r="D39" s="49"/>
      <c r="E39" s="49"/>
      <c r="F39" s="49"/>
      <c r="G39" s="49"/>
      <c r="H39" s="49"/>
      <c r="I39" s="64"/>
      <c r="J39" s="64"/>
      <c r="K39" s="49"/>
      <c r="L39" s="65"/>
      <c r="M39" s="261" t="str" cm="1">
        <f t="array" ref="M39">IF(ISBLANK(L39),"",_xlfn.LET(
_xlpm.Num,--_xlfn.TEXTBEFORE(L39," "),
_xlpm.Unit,LOWER(_xlfn.TEXTAFTER(L39," ")),
_xlfn.SWITCH(_xlpm.Unit,
"hour",_xlpm.Num,
"hours",_xlpm.Num,
"day",_xlpm.Num*24,
"days",_xlpm.Num*24,
"week",_xlpm.Num*24*7,
"weeks",_xlpm.Num*24*7,
"month",_xlpm.Num*24*(365.25/12),
"months",_xlpm.Num*24*(365.25/12),
"")
))</f>
        <v/>
      </c>
      <c r="N39" s="51" t="str">
        <f t="shared" si="1"/>
        <v/>
      </c>
      <c r="O39"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40" spans="1:15" ht="15" customHeight="1" x14ac:dyDescent="0.35">
      <c r="A40" s="207">
        <v>35</v>
      </c>
      <c r="B40" s="9" t="str">
        <f t="shared" si="0"/>
        <v/>
      </c>
      <c r="C40" s="49"/>
      <c r="D40" s="49"/>
      <c r="E40" s="49"/>
      <c r="F40" s="49"/>
      <c r="G40" s="49"/>
      <c r="H40" s="49"/>
      <c r="I40" s="64"/>
      <c r="J40" s="64"/>
      <c r="K40" s="49"/>
      <c r="L40" s="65"/>
      <c r="M40" s="261" t="str" cm="1">
        <f t="array" ref="M40">IF(ISBLANK(L40),"",_xlfn.LET(
_xlpm.Num,--_xlfn.TEXTBEFORE(L40," "),
_xlpm.Unit,LOWER(_xlfn.TEXTAFTER(L40," ")),
_xlfn.SWITCH(_xlpm.Unit,
"hour",_xlpm.Num,
"hours",_xlpm.Num,
"day",_xlpm.Num*24,
"days",_xlpm.Num*24,
"week",_xlpm.Num*24*7,
"weeks",_xlpm.Num*24*7,
"month",_xlpm.Num*24*(365.25/12),
"months",_xlpm.Num*24*(365.25/12),
"")
))</f>
        <v/>
      </c>
      <c r="N40" s="51" t="str">
        <f t="shared" si="1"/>
        <v/>
      </c>
      <c r="O40"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41" spans="1:15" ht="21.75" customHeight="1" x14ac:dyDescent="0.35">
      <c r="A41" s="207">
        <v>36</v>
      </c>
      <c r="B41" s="9" t="str">
        <f t="shared" si="0"/>
        <v/>
      </c>
      <c r="C41" s="49"/>
      <c r="D41" s="49"/>
      <c r="E41" s="49"/>
      <c r="F41" s="49"/>
      <c r="G41" s="49"/>
      <c r="H41" s="49"/>
      <c r="I41" s="64"/>
      <c r="J41" s="64"/>
      <c r="K41" s="49"/>
      <c r="L41" s="65"/>
      <c r="M41" s="261" t="str" cm="1">
        <f t="array" ref="M41">IF(ISBLANK(L41),"",_xlfn.LET(
_xlpm.Num,--_xlfn.TEXTBEFORE(L41," "),
_xlpm.Unit,LOWER(_xlfn.TEXTAFTER(L41," ")),
_xlfn.SWITCH(_xlpm.Unit,
"hour",_xlpm.Num,
"hours",_xlpm.Num,
"day",_xlpm.Num*24,
"days",_xlpm.Num*24,
"week",_xlpm.Num*24*7,
"weeks",_xlpm.Num*24*7,
"month",_xlpm.Num*24*(365.25/12),
"months",_xlpm.Num*24*(365.25/12),
"")
))</f>
        <v/>
      </c>
      <c r="N41" s="51" t="str">
        <f t="shared" si="1"/>
        <v/>
      </c>
      <c r="O41"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42" spans="1:15" ht="21.75" customHeight="1" x14ac:dyDescent="0.35">
      <c r="A42" s="207">
        <v>37</v>
      </c>
      <c r="B42" s="9" t="str">
        <f t="shared" si="0"/>
        <v/>
      </c>
      <c r="C42" s="49"/>
      <c r="D42" s="49"/>
      <c r="E42" s="49"/>
      <c r="F42" s="49"/>
      <c r="G42" s="49"/>
      <c r="H42" s="49"/>
      <c r="I42" s="64"/>
      <c r="J42" s="64"/>
      <c r="K42" s="49"/>
      <c r="L42" s="65"/>
      <c r="M42" s="261" t="str" cm="1">
        <f t="array" ref="M42">IF(ISBLANK(L42),"",_xlfn.LET(
_xlpm.Num,--_xlfn.TEXTBEFORE(L42," "),
_xlpm.Unit,LOWER(_xlfn.TEXTAFTER(L42," ")),
_xlfn.SWITCH(_xlpm.Unit,
"hour",_xlpm.Num,
"hours",_xlpm.Num,
"day",_xlpm.Num*24,
"days",_xlpm.Num*24,
"week",_xlpm.Num*24*7,
"weeks",_xlpm.Num*24*7,
"month",_xlpm.Num*24*(365.25/12),
"months",_xlpm.Num*24*(365.25/12),
"")
))</f>
        <v/>
      </c>
      <c r="N42" s="51" t="str">
        <f t="shared" si="1"/>
        <v/>
      </c>
      <c r="O42"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43" spans="1:15" ht="21.75" customHeight="1" x14ac:dyDescent="0.35">
      <c r="A43" s="207">
        <v>38</v>
      </c>
      <c r="B43" s="9" t="str">
        <f t="shared" si="0"/>
        <v/>
      </c>
      <c r="C43" s="49"/>
      <c r="D43" s="49"/>
      <c r="E43" s="49"/>
      <c r="F43" s="49"/>
      <c r="G43" s="49"/>
      <c r="H43" s="49"/>
      <c r="I43" s="64"/>
      <c r="J43" s="64"/>
      <c r="K43" s="49"/>
      <c r="L43" s="65"/>
      <c r="M43" s="261" t="str" cm="1">
        <f t="array" ref="M43">IF(ISBLANK(L43),"",_xlfn.LET(
_xlpm.Num,--_xlfn.TEXTBEFORE(L43," "),
_xlpm.Unit,LOWER(_xlfn.TEXTAFTER(L43," ")),
_xlfn.SWITCH(_xlpm.Unit,
"hour",_xlpm.Num,
"hours",_xlpm.Num,
"day",_xlpm.Num*24,
"days",_xlpm.Num*24,
"week",_xlpm.Num*24*7,
"weeks",_xlpm.Num*24*7,
"month",_xlpm.Num*24*(365.25/12),
"months",_xlpm.Num*24*(365.25/12),
"")
))</f>
        <v/>
      </c>
      <c r="N43" s="51" t="str">
        <f t="shared" si="1"/>
        <v/>
      </c>
      <c r="O43"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44" spans="1:15" ht="21.75" customHeight="1" x14ac:dyDescent="0.35">
      <c r="A44" s="207">
        <v>39</v>
      </c>
      <c r="B44" s="9" t="str">
        <f t="shared" si="0"/>
        <v/>
      </c>
      <c r="C44" s="49"/>
      <c r="D44" s="49"/>
      <c r="E44" s="49"/>
      <c r="F44" s="49"/>
      <c r="G44" s="49"/>
      <c r="H44" s="49"/>
      <c r="I44" s="64"/>
      <c r="J44" s="64"/>
      <c r="K44" s="49"/>
      <c r="L44" s="65"/>
      <c r="M44" s="261" t="str" cm="1">
        <f t="array" ref="M44">IF(ISBLANK(L44),"",_xlfn.LET(
_xlpm.Num,--_xlfn.TEXTBEFORE(L44," "),
_xlpm.Unit,LOWER(_xlfn.TEXTAFTER(L44," ")),
_xlfn.SWITCH(_xlpm.Unit,
"hour",_xlpm.Num,
"hours",_xlpm.Num,
"day",_xlpm.Num*24,
"days",_xlpm.Num*24,
"week",_xlpm.Num*24*7,
"weeks",_xlpm.Num*24*7,
"month",_xlpm.Num*24*(365.25/12),
"months",_xlpm.Num*24*(365.25/12),
"")
))</f>
        <v/>
      </c>
      <c r="N44" s="51" t="str">
        <f t="shared" si="1"/>
        <v/>
      </c>
      <c r="O44"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45" spans="1:15" ht="21.75" customHeight="1" x14ac:dyDescent="0.35">
      <c r="A45" s="207">
        <v>40</v>
      </c>
      <c r="B45" s="9" t="str">
        <f t="shared" si="0"/>
        <v/>
      </c>
      <c r="C45" s="49"/>
      <c r="D45" s="49"/>
      <c r="E45" s="49"/>
      <c r="F45" s="49"/>
      <c r="G45" s="49"/>
      <c r="H45" s="49"/>
      <c r="I45" s="64"/>
      <c r="J45" s="64"/>
      <c r="K45" s="49"/>
      <c r="L45" s="65"/>
      <c r="M45" s="261" t="str" cm="1">
        <f t="array" ref="M45">IF(ISBLANK(L45),"",_xlfn.LET(
_xlpm.Num,--_xlfn.TEXTBEFORE(L45," "),
_xlpm.Unit,LOWER(_xlfn.TEXTAFTER(L45," ")),
_xlfn.SWITCH(_xlpm.Unit,
"hour",_xlpm.Num,
"hours",_xlpm.Num,
"day",_xlpm.Num*24,
"days",_xlpm.Num*24,
"week",_xlpm.Num*24*7,
"weeks",_xlpm.Num*24*7,
"month",_xlpm.Num*24*(365.25/12),
"months",_xlpm.Num*24*(365.25/12),
"")
))</f>
        <v/>
      </c>
      <c r="N45" s="51" t="str">
        <f t="shared" si="1"/>
        <v/>
      </c>
      <c r="O45"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46" spans="1:15" ht="21.75" customHeight="1" x14ac:dyDescent="0.35">
      <c r="A46" s="207">
        <v>41</v>
      </c>
      <c r="B46" s="9" t="str">
        <f t="shared" si="0"/>
        <v/>
      </c>
      <c r="C46" s="49"/>
      <c r="D46" s="49"/>
      <c r="E46" s="49"/>
      <c r="F46" s="49"/>
      <c r="G46" s="49"/>
      <c r="H46" s="49"/>
      <c r="I46" s="64"/>
      <c r="J46" s="64"/>
      <c r="K46" s="49"/>
      <c r="L46" s="65"/>
      <c r="M46" s="261" t="str" cm="1">
        <f t="array" ref="M46">IF(ISBLANK(L46),"",_xlfn.LET(
_xlpm.Num,--_xlfn.TEXTBEFORE(L46," "),
_xlpm.Unit,LOWER(_xlfn.TEXTAFTER(L46," ")),
_xlfn.SWITCH(_xlpm.Unit,
"hour",_xlpm.Num,
"hours",_xlpm.Num,
"day",_xlpm.Num*24,
"days",_xlpm.Num*24,
"week",_xlpm.Num*24*7,
"weeks",_xlpm.Num*24*7,
"month",_xlpm.Num*24*(365.25/12),
"months",_xlpm.Num*24*(365.25/12),
"")
))</f>
        <v/>
      </c>
      <c r="N46" s="51" t="str">
        <f t="shared" si="1"/>
        <v/>
      </c>
      <c r="O46"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47" spans="1:15" ht="21.75" customHeight="1" x14ac:dyDescent="0.35">
      <c r="A47" s="207">
        <v>42</v>
      </c>
      <c r="B47" s="9" t="str">
        <f t="shared" si="0"/>
        <v/>
      </c>
      <c r="C47" s="49"/>
      <c r="D47" s="49"/>
      <c r="E47" s="49"/>
      <c r="F47" s="49"/>
      <c r="G47" s="49"/>
      <c r="H47" s="49"/>
      <c r="I47" s="64"/>
      <c r="J47" s="64"/>
      <c r="K47" s="49"/>
      <c r="L47" s="65"/>
      <c r="M47" s="261" t="str" cm="1">
        <f t="array" ref="M47">IF(ISBLANK(L47),"",_xlfn.LET(
_xlpm.Num,--_xlfn.TEXTBEFORE(L47," "),
_xlpm.Unit,LOWER(_xlfn.TEXTAFTER(L47," ")),
_xlfn.SWITCH(_xlpm.Unit,
"hour",_xlpm.Num,
"hours",_xlpm.Num,
"day",_xlpm.Num*24,
"days",_xlpm.Num*24,
"week",_xlpm.Num*24*7,
"weeks",_xlpm.Num*24*7,
"month",_xlpm.Num*24*(365.25/12),
"months",_xlpm.Num*24*(365.25/12),
"")
))</f>
        <v/>
      </c>
      <c r="N47" s="51" t="str">
        <f t="shared" si="1"/>
        <v/>
      </c>
      <c r="O47"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48" spans="1:15" ht="15" customHeight="1" x14ac:dyDescent="0.35">
      <c r="A48" s="207">
        <v>43</v>
      </c>
      <c r="B48" s="9" t="str">
        <f t="shared" si="0"/>
        <v/>
      </c>
      <c r="C48" s="49"/>
      <c r="D48" s="49"/>
      <c r="E48" s="49"/>
      <c r="F48" s="49"/>
      <c r="G48" s="49"/>
      <c r="H48" s="49"/>
      <c r="I48" s="64"/>
      <c r="J48" s="64"/>
      <c r="K48" s="49"/>
      <c r="L48" s="65"/>
      <c r="M48" s="261" t="str" cm="1">
        <f t="array" ref="M48">IF(ISBLANK(L48),"",_xlfn.LET(
_xlpm.Num,--_xlfn.TEXTBEFORE(L48," "),
_xlpm.Unit,LOWER(_xlfn.TEXTAFTER(L48," ")),
_xlfn.SWITCH(_xlpm.Unit,
"hour",_xlpm.Num,
"hours",_xlpm.Num,
"day",_xlpm.Num*24,
"days",_xlpm.Num*24,
"week",_xlpm.Num*24*7,
"weeks",_xlpm.Num*24*7,
"month",_xlpm.Num*24*(365.25/12),
"months",_xlpm.Num*24*(365.25/12),
"")
))</f>
        <v/>
      </c>
      <c r="N48" s="51" t="str">
        <f t="shared" si="1"/>
        <v/>
      </c>
      <c r="O48"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49" spans="1:15" ht="15" customHeight="1" x14ac:dyDescent="0.35">
      <c r="A49" s="207">
        <v>44</v>
      </c>
      <c r="B49" s="9" t="str">
        <f t="shared" si="0"/>
        <v/>
      </c>
      <c r="C49" s="49"/>
      <c r="D49" s="49"/>
      <c r="E49" s="49"/>
      <c r="F49" s="49"/>
      <c r="G49" s="49"/>
      <c r="H49" s="49"/>
      <c r="I49" s="64"/>
      <c r="J49" s="64"/>
      <c r="K49" s="49"/>
      <c r="L49" s="65"/>
      <c r="M49" s="261" t="str" cm="1">
        <f t="array" ref="M49">IF(ISBLANK(L49),"",_xlfn.LET(
_xlpm.Num,--_xlfn.TEXTBEFORE(L49," "),
_xlpm.Unit,LOWER(_xlfn.TEXTAFTER(L49," ")),
_xlfn.SWITCH(_xlpm.Unit,
"hour",_xlpm.Num,
"hours",_xlpm.Num,
"day",_xlpm.Num*24,
"days",_xlpm.Num*24,
"week",_xlpm.Num*24*7,
"weeks",_xlpm.Num*24*7,
"month",_xlpm.Num*24*(365.25/12),
"months",_xlpm.Num*24*(365.25/12),
"")
))</f>
        <v/>
      </c>
      <c r="N49" s="51" t="str">
        <f t="shared" si="1"/>
        <v/>
      </c>
      <c r="O49" s="20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50" spans="1:15" ht="15" customHeight="1" x14ac:dyDescent="0.35">
      <c r="A50" s="212">
        <v>45</v>
      </c>
      <c r="B50" s="213" t="str">
        <f t="shared" si="0"/>
        <v/>
      </c>
      <c r="C50" s="214"/>
      <c r="D50" s="214"/>
      <c r="E50" s="214"/>
      <c r="F50" s="214"/>
      <c r="G50" s="214"/>
      <c r="H50" s="214"/>
      <c r="I50" s="215"/>
      <c r="J50" s="215"/>
      <c r="K50" s="214"/>
      <c r="L50" s="216"/>
      <c r="M50" s="262" t="str" cm="1">
        <f t="array" ref="M50">IF(ISBLANK(L50),"",_xlfn.LET(
_xlpm.Num,--_xlfn.TEXTBEFORE(L50," "),
_xlpm.Unit,LOWER(_xlfn.TEXTAFTER(L50," ")),
_xlfn.SWITCH(_xlpm.Unit,
"hour",_xlpm.Num,
"hours",_xlpm.Num,
"day",_xlpm.Num*24,
"days",_xlpm.Num*24,
"week",_xlpm.Num*24*7,
"weeks",_xlpm.Num*24*7,
"month",_xlpm.Num*24*(365.25/12),
"months",_xlpm.Num*24*(365.25/12),
"")
))</f>
        <v/>
      </c>
      <c r="N50" s="217" t="str">
        <f t="shared" si="1"/>
        <v/>
      </c>
      <c r="O50" s="218" t="str">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v/>
      </c>
    </row>
    <row r="54" spans="1:15" x14ac:dyDescent="0.35">
      <c r="J54" s="50"/>
    </row>
  </sheetData>
  <sheetProtection selectLockedCells="1"/>
  <mergeCells count="5">
    <mergeCell ref="A1:O1"/>
    <mergeCell ref="N4:O4"/>
    <mergeCell ref="A2:O2"/>
    <mergeCell ref="J4:M4"/>
    <mergeCell ref="A4:I4"/>
  </mergeCells>
  <conditionalFormatting sqref="B6:E50">
    <cfRule type="expression" dxfId="124" priority="1">
      <formula>AND($B6&lt;&gt;"",COUNTIF(ProcessProductCodes,$B6)=0)</formula>
    </cfRule>
  </conditionalFormatting>
  <dataValidations count="4">
    <dataValidation type="list" allowBlank="1" sqref="I6:I50" xr:uid="{00000000-0002-0000-0400-000000000000}">
      <formula1>lstYN</formula1>
      <formula2>0</formula2>
    </dataValidation>
    <dataValidation type="list" allowBlank="1" sqref="J6:J50" xr:uid="{00000000-0002-0000-0400-000001000000}">
      <formula1>lstCorpCrit</formula1>
      <formula2>0</formula2>
    </dataValidation>
    <dataValidation type="custom" showInputMessage="1" showErrorMessage="1" sqref="G6:H50 C6:E50" xr:uid="{73E68037-2C54-4361-AF36-E9E5046EF39C}">
      <formula1>OR($B6="",LEN(TRIM(C6))&gt;0)</formula1>
    </dataValidation>
    <dataValidation type="custom" allowBlank="1" showInputMessage="1" showErrorMessage="1" sqref="L6:L50" xr:uid="{B89E785C-849E-48E8-9510-33B6FA0BE650}">
      <formula1>OR(L6="",IFERROR(ISNUMBER(M6),FALSE))</formula1>
    </dataValidation>
  </dataValidations>
  <pageMargins left="0.75" right="0.75" top="1" bottom="1" header="0.511811023622047" footer="0.51180555555555596"/>
  <pageSetup paperSize="9" orientation="portrait" horizontalDpi="300" verticalDpi="300"/>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9"/>
  <sheetViews>
    <sheetView topLeftCell="B2" zoomScale="150" workbookViewId="0">
      <selection activeCell="C5" sqref="C5"/>
    </sheetView>
  </sheetViews>
  <sheetFormatPr defaultRowHeight="14.5" x14ac:dyDescent="0.35"/>
  <cols>
    <col min="1" max="1" width="6.54296875" bestFit="1" customWidth="1"/>
    <col min="2" max="2" width="15.26953125" bestFit="1" customWidth="1"/>
    <col min="3" max="3" width="19.90625" style="7" bestFit="1" customWidth="1"/>
    <col min="4" max="4" width="37.7265625" bestFit="1" customWidth="1"/>
    <col min="5" max="5" width="21.6328125" bestFit="1" customWidth="1"/>
    <col min="6" max="6" width="13.7265625" bestFit="1" customWidth="1"/>
    <col min="7" max="7" width="25.90625" bestFit="1" customWidth="1"/>
    <col min="8" max="8" width="31.453125" bestFit="1" customWidth="1"/>
    <col min="9" max="9" width="36.36328125" bestFit="1" customWidth="1"/>
    <col min="10" max="10" width="24.26953125" bestFit="1" customWidth="1"/>
    <col min="11" max="11" width="23.453125" bestFit="1" customWidth="1"/>
    <col min="12" max="12" width="9.90625" bestFit="1" customWidth="1"/>
  </cols>
  <sheetData>
    <row r="1" spans="1:12" x14ac:dyDescent="0.35">
      <c r="A1" s="314" t="s">
        <v>233</v>
      </c>
      <c r="B1" s="315"/>
      <c r="C1" s="333"/>
      <c r="D1" s="315"/>
      <c r="E1" s="315"/>
      <c r="F1" s="315"/>
      <c r="G1" s="315"/>
      <c r="H1" s="315"/>
      <c r="I1" s="315"/>
      <c r="J1" s="315"/>
      <c r="K1" s="315"/>
      <c r="L1" s="315"/>
    </row>
    <row r="2" spans="1:12" x14ac:dyDescent="0.35">
      <c r="A2" s="316" t="s">
        <v>234</v>
      </c>
      <c r="B2" s="315"/>
      <c r="C2" s="333"/>
      <c r="D2" s="315"/>
      <c r="E2" s="315"/>
      <c r="F2" s="315"/>
      <c r="G2" s="315"/>
      <c r="H2" s="315"/>
      <c r="I2" s="315"/>
      <c r="J2" s="315"/>
      <c r="K2" s="315"/>
      <c r="L2" s="315"/>
    </row>
    <row r="4" spans="1:12" x14ac:dyDescent="0.35">
      <c r="A4" s="222" t="s">
        <v>252</v>
      </c>
      <c r="B4" s="223" t="s">
        <v>257</v>
      </c>
      <c r="C4" s="223" t="s">
        <v>258</v>
      </c>
      <c r="D4" s="223" t="s">
        <v>259</v>
      </c>
      <c r="E4" s="223" t="s">
        <v>260</v>
      </c>
      <c r="F4" s="223" t="s">
        <v>261</v>
      </c>
      <c r="G4" s="223" t="s">
        <v>262</v>
      </c>
      <c r="H4" s="223" t="s">
        <v>263</v>
      </c>
      <c r="I4" s="223" t="s">
        <v>264</v>
      </c>
      <c r="J4" s="223" t="s">
        <v>711</v>
      </c>
      <c r="K4" s="223" t="s">
        <v>712</v>
      </c>
      <c r="L4" s="224" t="s">
        <v>785</v>
      </c>
    </row>
    <row r="5" spans="1:12" s="75" customFormat="1" x14ac:dyDescent="0.35">
      <c r="A5" s="219">
        <v>1</v>
      </c>
      <c r="B5" s="67" t="s">
        <v>957</v>
      </c>
      <c r="C5" s="73" t="str">
        <f>IFERROR(VLOOKUP(B5,'04. Products &amp; Services'!$B$6:$E$50,4,FALSE),"")</f>
        <v>cb</v>
      </c>
      <c r="D5" s="69"/>
      <c r="E5" s="67"/>
      <c r="F5" s="66"/>
      <c r="G5" s="66"/>
      <c r="H5" s="66"/>
      <c r="I5" s="67"/>
      <c r="J5" s="152">
        <f>IF($B5="","",_xlfn.LET(_xlpm.x,_xlfn.XLOOKUP($B5,'07. BIA'!$F$6:$F$285,'07. BIA'!$AA$6:$AA$285,""),IF(_xlpm.x=0,"",_xlpm.x)))</f>
        <v>6</v>
      </c>
      <c r="K5" s="152">
        <f>IF($B5="","",_xlfn.LET(_xlpm.x,_xlfn.XLOOKUP($B5,'07. BIA'!$F$6:$F$285,'07. BIA'!$AD$6:$AD$285,""),IF(_xlpm.x=0,"",_xlpm.x)))</f>
        <v>168</v>
      </c>
      <c r="L5" s="220"/>
    </row>
    <row r="6" spans="1:12" s="75" customFormat="1" x14ac:dyDescent="0.35">
      <c r="A6" s="219">
        <v>2</v>
      </c>
      <c r="B6" s="67"/>
      <c r="C6" s="73" t="str">
        <f>IFERROR(VLOOKUP(B6,'04. Products &amp; Services'!$B$6:$E$50,4,FALSE),"")</f>
        <v/>
      </c>
      <c r="D6" s="68"/>
      <c r="E6" s="67"/>
      <c r="F6" s="66"/>
      <c r="G6" s="66"/>
      <c r="H6" s="66"/>
      <c r="I6" s="67"/>
      <c r="J6" s="152" t="str">
        <f>IF($B6="","",_xlfn.LET(_xlpm.x,_xlfn.XLOOKUP($B6,'07. BIA'!$F$6:$F$285,'07. BIA'!$AA$6:$AA$285,""),IF(_xlpm.x=0,"",_xlpm.x)))</f>
        <v/>
      </c>
      <c r="K6" s="152" t="str">
        <f>IF($B6="","",_xlfn.LET(_xlpm.x,_xlfn.XLOOKUP($B6,'07. BIA'!$F$6:$F$285,'07. BIA'!$AD$6:$AD$285,""),IF(_xlpm.x=0,"",_xlpm.x)))</f>
        <v/>
      </c>
      <c r="L6" s="220"/>
    </row>
    <row r="7" spans="1:12" s="75" customFormat="1" x14ac:dyDescent="0.35">
      <c r="A7" s="219">
        <v>3</v>
      </c>
      <c r="B7" s="67"/>
      <c r="C7" s="73" t="str">
        <f>IFERROR(VLOOKUP(B7,'04. Products &amp; Services'!$B$6:$E$50,4,FALSE),"")</f>
        <v/>
      </c>
      <c r="D7" s="68"/>
      <c r="E7" s="67"/>
      <c r="F7" s="66"/>
      <c r="G7" s="66"/>
      <c r="H7" s="66"/>
      <c r="I7" s="67"/>
      <c r="J7" s="152" t="str">
        <f>IF($B7="","",_xlfn.LET(_xlpm.x,_xlfn.XLOOKUP($B7,'07. BIA'!$F$6:$F$285,'07. BIA'!$AA$6:$AA$285,""),IF(_xlpm.x=0,"",_xlpm.x)))</f>
        <v/>
      </c>
      <c r="K7" s="152" t="str">
        <f>IF($B7="","",_xlfn.LET(_xlpm.x,_xlfn.XLOOKUP($B7,'07. BIA'!$F$6:$F$285,'07. BIA'!$AD$6:$AD$285,""),IF(_xlpm.x=0,"",_xlpm.x)))</f>
        <v/>
      </c>
      <c r="L7" s="220"/>
    </row>
    <row r="8" spans="1:12" s="75" customFormat="1" x14ac:dyDescent="0.35">
      <c r="A8" s="219">
        <v>4</v>
      </c>
      <c r="B8" s="67"/>
      <c r="C8" s="73" t="str">
        <f>IFERROR(VLOOKUP(B8,'04. Products &amp; Services'!$B$6:$E$50,4,FALSE),"")</f>
        <v/>
      </c>
      <c r="D8" s="69"/>
      <c r="E8" s="67"/>
      <c r="F8" s="66"/>
      <c r="G8" s="66"/>
      <c r="H8" s="66"/>
      <c r="I8" s="67"/>
      <c r="J8" s="152" t="str">
        <f>IF($B8="","",_xlfn.LET(_xlpm.x,_xlfn.XLOOKUP($B8,'07. BIA'!$F$6:$F$285,'07. BIA'!$AA$6:$AA$285,""),IF(_xlpm.x=0,"",_xlpm.x)))</f>
        <v/>
      </c>
      <c r="K8" s="152" t="str">
        <f>IF($B8="","",_xlfn.LET(_xlpm.x,_xlfn.XLOOKUP($B8,'07. BIA'!$F$6:$F$285,'07. BIA'!$AD$6:$AD$285,""),IF(_xlpm.x=0,"",_xlpm.x)))</f>
        <v/>
      </c>
      <c r="L8" s="220"/>
    </row>
    <row r="9" spans="1:12" s="75" customFormat="1" x14ac:dyDescent="0.35">
      <c r="A9" s="219">
        <v>5</v>
      </c>
      <c r="B9" s="67"/>
      <c r="C9" s="73" t="str">
        <f>IFERROR(VLOOKUP(B9,'04. Products &amp; Services'!$B$6:$E$50,4,FALSE),"")</f>
        <v/>
      </c>
      <c r="D9" s="68"/>
      <c r="E9" s="67"/>
      <c r="F9" s="66"/>
      <c r="G9" s="66"/>
      <c r="H9" s="66"/>
      <c r="I9" s="67"/>
      <c r="J9" s="152" t="str">
        <f>IF($B9="","",_xlfn.LET(_xlpm.x,_xlfn.XLOOKUP($B9,'07. BIA'!$F$6:$F$285,'07. BIA'!$AA$6:$AA$285,""),IF(_xlpm.x=0,"",_xlpm.x)))</f>
        <v/>
      </c>
      <c r="K9" s="152" t="str">
        <f>IF($B9="","",_xlfn.LET(_xlpm.x,_xlfn.XLOOKUP($B9,'07. BIA'!$F$6:$F$285,'07. BIA'!$AD$6:$AD$285,""),IF(_xlpm.x=0,"",_xlpm.x)))</f>
        <v/>
      </c>
      <c r="L9" s="220"/>
    </row>
    <row r="10" spans="1:12" s="75" customFormat="1" x14ac:dyDescent="0.35">
      <c r="A10" s="219">
        <v>6</v>
      </c>
      <c r="B10" s="67"/>
      <c r="C10" s="73" t="str">
        <f>IFERROR(VLOOKUP(B10,'04. Products &amp; Services'!$B$6:$E$50,4,FALSE),"")</f>
        <v/>
      </c>
      <c r="D10" s="68"/>
      <c r="E10" s="67"/>
      <c r="F10" s="66"/>
      <c r="G10" s="66"/>
      <c r="H10" s="66"/>
      <c r="I10" s="67"/>
      <c r="J10" s="152" t="str">
        <f>IF($B10="","",_xlfn.LET(_xlpm.x,_xlfn.XLOOKUP($B10,'07. BIA'!$F$6:$F$285,'07. BIA'!$AA$6:$AA$285,""),IF(_xlpm.x=0,"",_xlpm.x)))</f>
        <v/>
      </c>
      <c r="K10" s="152" t="str">
        <f>IF($B10="","",_xlfn.LET(_xlpm.x,_xlfn.XLOOKUP($B10,'07. BIA'!$F$6:$F$285,'07. BIA'!$AD$6:$AD$285,""),IF(_xlpm.x=0,"",_xlpm.x)))</f>
        <v/>
      </c>
      <c r="L10" s="220"/>
    </row>
    <row r="11" spans="1:12" s="75" customFormat="1" x14ac:dyDescent="0.35">
      <c r="A11" s="219">
        <v>7</v>
      </c>
      <c r="B11" s="67"/>
      <c r="C11" s="73" t="str">
        <f>IFERROR(VLOOKUP(B11,'04. Products &amp; Services'!$B$6:$E$50,4,FALSE),"")</f>
        <v/>
      </c>
      <c r="D11" s="68"/>
      <c r="E11" s="67"/>
      <c r="F11" s="66"/>
      <c r="G11" s="66"/>
      <c r="H11" s="66"/>
      <c r="I11" s="67"/>
      <c r="J11" s="152" t="str">
        <f>IF($B11="","",_xlfn.LET(_xlpm.x,_xlfn.XLOOKUP($B11,'07. BIA'!$F$6:$F$285,'07. BIA'!$AA$6:$AA$285,""),IF(_xlpm.x=0,"",_xlpm.x)))</f>
        <v/>
      </c>
      <c r="K11" s="152" t="str">
        <f>IF($B11="","",_xlfn.LET(_xlpm.x,_xlfn.XLOOKUP($B11,'07. BIA'!$F$6:$F$285,'07. BIA'!$AD$6:$AD$285,""),IF(_xlpm.x=0,"",_xlpm.x)))</f>
        <v/>
      </c>
      <c r="L11" s="220"/>
    </row>
    <row r="12" spans="1:12" s="75" customFormat="1" x14ac:dyDescent="0.35">
      <c r="A12" s="219">
        <v>8</v>
      </c>
      <c r="B12" s="67"/>
      <c r="C12" s="73" t="str">
        <f>IFERROR(VLOOKUP(B12,'04. Products &amp; Services'!$B$6:$E$50,4,FALSE),"")</f>
        <v/>
      </c>
      <c r="D12" s="68"/>
      <c r="E12" s="67"/>
      <c r="F12" s="66"/>
      <c r="G12" s="66"/>
      <c r="H12" s="66"/>
      <c r="I12" s="67"/>
      <c r="J12" s="152" t="str">
        <f>IF($B12="","",_xlfn.LET(_xlpm.x,_xlfn.XLOOKUP($B12,'07. BIA'!$F$6:$F$285,'07. BIA'!$AA$6:$AA$285,""),IF(_xlpm.x=0,"",_xlpm.x)))</f>
        <v/>
      </c>
      <c r="K12" s="152" t="str">
        <f>IF($B12="","",_xlfn.LET(_xlpm.x,_xlfn.XLOOKUP($B12,'07. BIA'!$F$6:$F$285,'07. BIA'!$AD$6:$AD$285,""),IF(_xlpm.x=0,"",_xlpm.x)))</f>
        <v/>
      </c>
      <c r="L12" s="220"/>
    </row>
    <row r="13" spans="1:12" s="75" customFormat="1" x14ac:dyDescent="0.35">
      <c r="A13" s="219">
        <v>9</v>
      </c>
      <c r="B13" s="67"/>
      <c r="C13" s="73" t="str">
        <f>IFERROR(VLOOKUP(B13,'04. Products &amp; Services'!$B$6:$E$50,4,FALSE),"")</f>
        <v/>
      </c>
      <c r="D13" s="68"/>
      <c r="E13" s="67"/>
      <c r="F13" s="66"/>
      <c r="G13" s="66"/>
      <c r="H13" s="66"/>
      <c r="I13" s="67"/>
      <c r="J13" s="152" t="str">
        <f>IF($B13="","",_xlfn.LET(_xlpm.x,_xlfn.XLOOKUP($B13,'07. BIA'!$F$6:$F$285,'07. BIA'!$AA$6:$AA$285,""),IF(_xlpm.x=0,"",_xlpm.x)))</f>
        <v/>
      </c>
      <c r="K13" s="152" t="str">
        <f>IF($B13="","",_xlfn.LET(_xlpm.x,_xlfn.XLOOKUP($B13,'07. BIA'!$F$6:$F$285,'07. BIA'!$AD$6:$AD$285,""),IF(_xlpm.x=0,"",_xlpm.x)))</f>
        <v/>
      </c>
      <c r="L13" s="220"/>
    </row>
    <row r="14" spans="1:12" s="75" customFormat="1" x14ac:dyDescent="0.35">
      <c r="A14" s="219">
        <v>10</v>
      </c>
      <c r="B14" s="67"/>
      <c r="C14" s="73" t="str">
        <f>IFERROR(VLOOKUP(B14,'04. Products &amp; Services'!$B$6:$E$50,4,FALSE),"")</f>
        <v/>
      </c>
      <c r="D14" s="68"/>
      <c r="E14" s="67"/>
      <c r="F14" s="66"/>
      <c r="G14" s="66"/>
      <c r="H14" s="66"/>
      <c r="I14" s="67"/>
      <c r="J14" s="152" t="str">
        <f>IF($B14="","",_xlfn.LET(_xlpm.x,_xlfn.XLOOKUP($B14,'07. BIA'!$F$6:$F$285,'07. BIA'!$AA$6:$AA$285,""),IF(_xlpm.x=0,"",_xlpm.x)))</f>
        <v/>
      </c>
      <c r="K14" s="152" t="str">
        <f>IF($B14="","",_xlfn.LET(_xlpm.x,_xlfn.XLOOKUP($B14,'07. BIA'!$F$6:$F$285,'07. BIA'!$AD$6:$AD$285,""),IF(_xlpm.x=0,"",_xlpm.x)))</f>
        <v/>
      </c>
      <c r="L14" s="220"/>
    </row>
    <row r="15" spans="1:12" s="75" customFormat="1" x14ac:dyDescent="0.35">
      <c r="A15" s="219">
        <v>11</v>
      </c>
      <c r="B15" s="67"/>
      <c r="C15" s="73" t="str">
        <f>IFERROR(VLOOKUP(B15,'04. Products &amp; Services'!$B$6:$E$50,4,FALSE),"")</f>
        <v/>
      </c>
      <c r="D15" s="68"/>
      <c r="E15" s="67"/>
      <c r="F15" s="66"/>
      <c r="G15" s="66"/>
      <c r="H15" s="66"/>
      <c r="I15" s="67"/>
      <c r="J15" s="152" t="str">
        <f>IF($B15="","",_xlfn.LET(_xlpm.x,_xlfn.XLOOKUP($B15,'07. BIA'!$F$6:$F$285,'07. BIA'!$AA$6:$AA$285,""),IF(_xlpm.x=0,"",_xlpm.x)))</f>
        <v/>
      </c>
      <c r="K15" s="152" t="str">
        <f>IF($B15="","",_xlfn.LET(_xlpm.x,_xlfn.XLOOKUP($B15,'07. BIA'!$F$6:$F$285,'07. BIA'!$AD$6:$AD$285,""),IF(_xlpm.x=0,"",_xlpm.x)))</f>
        <v/>
      </c>
      <c r="L15" s="220"/>
    </row>
    <row r="16" spans="1:12" s="75" customFormat="1" x14ac:dyDescent="0.35">
      <c r="A16" s="219">
        <v>12</v>
      </c>
      <c r="B16" s="67"/>
      <c r="C16" s="73" t="str">
        <f>IFERROR(VLOOKUP(B16,'04. Products &amp; Services'!$B$6:$E$50,4,FALSE),"")</f>
        <v/>
      </c>
      <c r="D16" s="68"/>
      <c r="E16" s="67"/>
      <c r="F16" s="66"/>
      <c r="G16" s="66"/>
      <c r="H16" s="66"/>
      <c r="I16" s="67"/>
      <c r="J16" s="152" t="str">
        <f>IF($B16="","",_xlfn.LET(_xlpm.x,_xlfn.XLOOKUP($B16,'07. BIA'!$F$6:$F$285,'07. BIA'!$AA$6:$AA$285,""),IF(_xlpm.x=0,"",_xlpm.x)))</f>
        <v/>
      </c>
      <c r="K16" s="152" t="str">
        <f>IF($B16="","",_xlfn.LET(_xlpm.x,_xlfn.XLOOKUP($B16,'07. BIA'!$F$6:$F$285,'07. BIA'!$AD$6:$AD$285,""),IF(_xlpm.x=0,"",_xlpm.x)))</f>
        <v/>
      </c>
      <c r="L16" s="220"/>
    </row>
    <row r="17" spans="1:12" x14ac:dyDescent="0.35">
      <c r="A17" s="219">
        <v>13</v>
      </c>
      <c r="B17" s="70"/>
      <c r="C17" s="74" t="str">
        <f>IFERROR(VLOOKUP(B17,'04. Products &amp; Services'!$B$6:$E$50,4,FALSE),"")</f>
        <v/>
      </c>
      <c r="D17" s="71"/>
      <c r="E17" s="67"/>
      <c r="F17" s="72"/>
      <c r="G17" s="72"/>
      <c r="H17" s="72"/>
      <c r="I17" s="67"/>
      <c r="J17" s="152" t="str">
        <f>IF($B17="","",_xlfn.LET(_xlpm.x,_xlfn.XLOOKUP($B17,'07. BIA'!$F$6:$F$285,'07. BIA'!$AA$6:$AA$285,""),IF(_xlpm.x=0,"",_xlpm.x)))</f>
        <v/>
      </c>
      <c r="K17" s="152" t="str">
        <f>IF($B17="","",_xlfn.LET(_xlpm.x,_xlfn.XLOOKUP($B17,'07. BIA'!$F$6:$F$285,'07. BIA'!$AD$6:$AD$285,""),IF(_xlpm.x=0,"",_xlpm.x)))</f>
        <v/>
      </c>
      <c r="L17" s="221"/>
    </row>
    <row r="18" spans="1:12" x14ac:dyDescent="0.35">
      <c r="A18" s="219">
        <v>14</v>
      </c>
      <c r="B18" s="70"/>
      <c r="C18" s="74" t="str">
        <f>IFERROR(VLOOKUP(B18,'04. Products &amp; Services'!$B$6:$E$50,4,FALSE),"")</f>
        <v/>
      </c>
      <c r="D18" s="71"/>
      <c r="E18" s="67"/>
      <c r="F18" s="72"/>
      <c r="G18" s="72"/>
      <c r="H18" s="72"/>
      <c r="I18" s="67"/>
      <c r="J18" s="152" t="str">
        <f>IF($B18="","",_xlfn.LET(_xlpm.x,_xlfn.XLOOKUP($B18,'07. BIA'!$F$6:$F$285,'07. BIA'!$AA$6:$AA$285,""),IF(_xlpm.x=0,"",_xlpm.x)))</f>
        <v/>
      </c>
      <c r="K18" s="152" t="str">
        <f>IF($B18="","",_xlfn.LET(_xlpm.x,_xlfn.XLOOKUP($B18,'07. BIA'!$F$6:$F$285,'07. BIA'!$AD$6:$AD$285,""),IF(_xlpm.x=0,"",_xlpm.x)))</f>
        <v/>
      </c>
      <c r="L18" s="221"/>
    </row>
    <row r="19" spans="1:12" x14ac:dyDescent="0.35">
      <c r="A19" s="219">
        <v>15</v>
      </c>
      <c r="B19" s="70"/>
      <c r="C19" s="74" t="str">
        <f>IFERROR(VLOOKUP(B19,'04. Products &amp; Services'!$B$6:$E$50,4,FALSE),"")</f>
        <v/>
      </c>
      <c r="D19" s="71"/>
      <c r="E19" s="67"/>
      <c r="F19" s="72"/>
      <c r="G19" s="72"/>
      <c r="H19" s="72"/>
      <c r="I19" s="67"/>
      <c r="J19" s="152" t="str">
        <f>IF($B19="","",_xlfn.LET(_xlpm.x,_xlfn.XLOOKUP($B19,'07. BIA'!$F$6:$F$285,'07. BIA'!$AA$6:$AA$285,""),IF(_xlpm.x=0,"",_xlpm.x)))</f>
        <v/>
      </c>
      <c r="K19" s="152" t="str">
        <f>IF($B19="","",_xlfn.LET(_xlpm.x,_xlfn.XLOOKUP($B19,'07. BIA'!$F$6:$F$285,'07. BIA'!$AD$6:$AD$285,""),IF(_xlpm.x=0,"",_xlpm.x)))</f>
        <v/>
      </c>
      <c r="L19" s="221"/>
    </row>
    <row r="20" spans="1:12" x14ac:dyDescent="0.35">
      <c r="A20" s="219">
        <v>16</v>
      </c>
      <c r="B20" s="70"/>
      <c r="C20" s="74" t="str">
        <f>IFERROR(VLOOKUP(B20,'04. Products &amp; Services'!$B$6:$E$50,4,FALSE),"")</f>
        <v/>
      </c>
      <c r="D20" s="71"/>
      <c r="E20" s="67"/>
      <c r="F20" s="72"/>
      <c r="G20" s="72"/>
      <c r="H20" s="72"/>
      <c r="I20" s="67"/>
      <c r="J20" s="152" t="str">
        <f>IF($B20="","",_xlfn.LET(_xlpm.x,_xlfn.XLOOKUP($B20,'07. BIA'!$F$6:$F$285,'07. BIA'!$AA$6:$AA$285,""),IF(_xlpm.x=0,"",_xlpm.x)))</f>
        <v/>
      </c>
      <c r="K20" s="152" t="str">
        <f>IF($B20="","",_xlfn.LET(_xlpm.x,_xlfn.XLOOKUP($B20,'07. BIA'!$F$6:$F$285,'07. BIA'!$AD$6:$AD$285,""),IF(_xlpm.x=0,"",_xlpm.x)))</f>
        <v/>
      </c>
      <c r="L20" s="221"/>
    </row>
    <row r="21" spans="1:12" x14ac:dyDescent="0.35">
      <c r="A21" s="219">
        <v>17</v>
      </c>
      <c r="B21" s="70"/>
      <c r="C21" s="74" t="str">
        <f>IFERROR(VLOOKUP(B21,'04. Products &amp; Services'!$B$6:$E$50,4,FALSE),"")</f>
        <v/>
      </c>
      <c r="D21" s="71"/>
      <c r="E21" s="67"/>
      <c r="F21" s="72"/>
      <c r="G21" s="72"/>
      <c r="H21" s="72"/>
      <c r="I21" s="67"/>
      <c r="J21" s="152" t="str">
        <f>IF($B21="","",_xlfn.LET(_xlpm.x,_xlfn.XLOOKUP($B21,'07. BIA'!$F$6:$F$285,'07. BIA'!$AA$6:$AA$285,""),IF(_xlpm.x=0,"",_xlpm.x)))</f>
        <v/>
      </c>
      <c r="K21" s="152" t="str">
        <f>IF($B21="","",_xlfn.LET(_xlpm.x,_xlfn.XLOOKUP($B21,'07. BIA'!$F$6:$F$285,'07. BIA'!$AD$6:$AD$285,""),IF(_xlpm.x=0,"",_xlpm.x)))</f>
        <v/>
      </c>
      <c r="L21" s="221"/>
    </row>
    <row r="22" spans="1:12" x14ac:dyDescent="0.35">
      <c r="A22" s="219">
        <v>18</v>
      </c>
      <c r="B22" s="70"/>
      <c r="C22" s="74" t="str">
        <f>IFERROR(VLOOKUP(B22,'04. Products &amp; Services'!$B$6:$E$50,4,FALSE),"")</f>
        <v/>
      </c>
      <c r="D22" s="71"/>
      <c r="E22" s="67"/>
      <c r="F22" s="72"/>
      <c r="G22" s="72"/>
      <c r="H22" s="72"/>
      <c r="I22" s="67"/>
      <c r="J22" s="152" t="str">
        <f>IF($B22="","",_xlfn.LET(_xlpm.x,_xlfn.XLOOKUP($B22,'07. BIA'!$F$6:$F$285,'07. BIA'!$AA$6:$AA$285,""),IF(_xlpm.x=0,"",_xlpm.x)))</f>
        <v/>
      </c>
      <c r="K22" s="152" t="str">
        <f>IF($B22="","",_xlfn.LET(_xlpm.x,_xlfn.XLOOKUP($B22,'07. BIA'!$F$6:$F$285,'07. BIA'!$AD$6:$AD$285,""),IF(_xlpm.x=0,"",_xlpm.x)))</f>
        <v/>
      </c>
      <c r="L22" s="221"/>
    </row>
    <row r="23" spans="1:12" x14ac:dyDescent="0.35">
      <c r="A23" s="219">
        <v>19</v>
      </c>
      <c r="B23" s="70"/>
      <c r="C23" s="74" t="str">
        <f>IFERROR(VLOOKUP(B23,'04. Products &amp; Services'!$B$6:$E$50,4,FALSE),"")</f>
        <v/>
      </c>
      <c r="D23" s="72"/>
      <c r="E23" s="67"/>
      <c r="F23" s="72"/>
      <c r="G23" s="72"/>
      <c r="H23" s="72"/>
      <c r="I23" s="67"/>
      <c r="J23" s="152" t="str">
        <f>IF($B23="","",_xlfn.LET(_xlpm.x,_xlfn.XLOOKUP($B23,'07. BIA'!$F$6:$F$285,'07. BIA'!$AA$6:$AA$285,""),IF(_xlpm.x=0,"",_xlpm.x)))</f>
        <v/>
      </c>
      <c r="K23" s="152" t="str">
        <f>IF($B23="","",_xlfn.LET(_xlpm.x,_xlfn.XLOOKUP($B23,'07. BIA'!$F$6:$F$285,'07. BIA'!$AD$6:$AD$285,""),IF(_xlpm.x=0,"",_xlpm.x)))</f>
        <v/>
      </c>
      <c r="L23" s="221"/>
    </row>
    <row r="24" spans="1:12" x14ac:dyDescent="0.35">
      <c r="A24" s="219">
        <v>20</v>
      </c>
      <c r="B24" s="70"/>
      <c r="C24" s="74" t="str">
        <f>IFERROR(VLOOKUP(B24,'04. Products &amp; Services'!$B$6:$E$50,4,FALSE),"")</f>
        <v/>
      </c>
      <c r="D24" s="72"/>
      <c r="E24" s="67"/>
      <c r="F24" s="72"/>
      <c r="G24" s="72"/>
      <c r="H24" s="72"/>
      <c r="I24" s="67"/>
      <c r="J24" s="152" t="str">
        <f>IF($B24="","",_xlfn.LET(_xlpm.x,_xlfn.XLOOKUP($B24,'07. BIA'!$F$6:$F$285,'07. BIA'!$AA$6:$AA$285,""),IF(_xlpm.x=0,"",_xlpm.x)))</f>
        <v/>
      </c>
      <c r="K24" s="152" t="str">
        <f>IF($B24="","",_xlfn.LET(_xlpm.x,_xlfn.XLOOKUP($B24,'07. BIA'!$F$6:$F$285,'07. BIA'!$AD$6:$AD$285,""),IF(_xlpm.x=0,"",_xlpm.x)))</f>
        <v/>
      </c>
      <c r="L24" s="221"/>
    </row>
    <row r="25" spans="1:12" x14ac:dyDescent="0.35">
      <c r="A25" s="219">
        <v>21</v>
      </c>
      <c r="B25" s="70"/>
      <c r="C25" s="74" t="str">
        <f>IFERROR(VLOOKUP(B25,'04. Products &amp; Services'!$B$6:$E$50,4,FALSE),"")</f>
        <v/>
      </c>
      <c r="D25" s="72"/>
      <c r="E25" s="67"/>
      <c r="F25" s="72"/>
      <c r="G25" s="72"/>
      <c r="H25" s="72"/>
      <c r="I25" s="67"/>
      <c r="J25" s="152" t="str">
        <f>IF($B25="","",_xlfn.LET(_xlpm.x,_xlfn.XLOOKUP($B25,'07. BIA'!$F$6:$F$285,'07. BIA'!$AA$6:$AA$285,""),IF(_xlpm.x=0,"",_xlpm.x)))</f>
        <v/>
      </c>
      <c r="K25" s="152" t="str">
        <f>IF($B25="","",_xlfn.LET(_xlpm.x,_xlfn.XLOOKUP($B25,'07. BIA'!$F$6:$F$285,'07. BIA'!$AD$6:$AD$285,""),IF(_xlpm.x=0,"",_xlpm.x)))</f>
        <v/>
      </c>
      <c r="L25" s="221"/>
    </row>
    <row r="26" spans="1:12" x14ac:dyDescent="0.35">
      <c r="A26" s="219">
        <v>22</v>
      </c>
      <c r="B26" s="70"/>
      <c r="C26" s="74" t="str">
        <f>IFERROR(VLOOKUP(B26,'04. Products &amp; Services'!$B$6:$E$50,4,FALSE),"")</f>
        <v/>
      </c>
      <c r="D26" s="72"/>
      <c r="E26" s="67"/>
      <c r="F26" s="72"/>
      <c r="G26" s="72"/>
      <c r="H26" s="72"/>
      <c r="I26" s="67"/>
      <c r="J26" s="152" t="str">
        <f>IF($B26="","",_xlfn.LET(_xlpm.x,_xlfn.XLOOKUP($B26,'07. BIA'!$F$6:$F$285,'07. BIA'!$AA$6:$AA$285,""),IF(_xlpm.x=0,"",_xlpm.x)))</f>
        <v/>
      </c>
      <c r="K26" s="152" t="str">
        <f>IF($B26="","",_xlfn.LET(_xlpm.x,_xlfn.XLOOKUP($B26,'07. BIA'!$F$6:$F$285,'07. BIA'!$AD$6:$AD$285,""),IF(_xlpm.x=0,"",_xlpm.x)))</f>
        <v/>
      </c>
      <c r="L26" s="221"/>
    </row>
    <row r="27" spans="1:12" x14ac:dyDescent="0.35">
      <c r="A27" s="219">
        <v>23</v>
      </c>
      <c r="B27" s="70"/>
      <c r="C27" s="74" t="str">
        <f>IFERROR(VLOOKUP(B27,'04. Products &amp; Services'!$B$6:$E$50,4,FALSE),"")</f>
        <v/>
      </c>
      <c r="D27" s="72"/>
      <c r="E27" s="67"/>
      <c r="F27" s="72"/>
      <c r="G27" s="72"/>
      <c r="H27" s="72"/>
      <c r="I27" s="67"/>
      <c r="J27" s="152" t="str">
        <f>IF($B27="","",_xlfn.LET(_xlpm.x,_xlfn.XLOOKUP($B27,'07. BIA'!$F$6:$F$285,'07. BIA'!$AA$6:$AA$285,""),IF(_xlpm.x=0,"",_xlpm.x)))</f>
        <v/>
      </c>
      <c r="K27" s="152" t="str">
        <f>IF($B27="","",_xlfn.LET(_xlpm.x,_xlfn.XLOOKUP($B27,'07. BIA'!$F$6:$F$285,'07. BIA'!$AD$6:$AD$285,""),IF(_xlpm.x=0,"",_xlpm.x)))</f>
        <v/>
      </c>
      <c r="L27" s="221"/>
    </row>
    <row r="28" spans="1:12" x14ac:dyDescent="0.35">
      <c r="A28" s="219">
        <v>24</v>
      </c>
      <c r="B28" s="70"/>
      <c r="C28" s="74" t="str">
        <f>IFERROR(VLOOKUP(B28,'04. Products &amp; Services'!$B$6:$E$50,4,FALSE),"")</f>
        <v/>
      </c>
      <c r="D28" s="72"/>
      <c r="E28" s="67"/>
      <c r="F28" s="72"/>
      <c r="G28" s="72"/>
      <c r="H28" s="72"/>
      <c r="I28" s="67"/>
      <c r="J28" s="152" t="str">
        <f>IF($B28="","",_xlfn.LET(_xlpm.x,_xlfn.XLOOKUP($B28,'07. BIA'!$F$6:$F$285,'07. BIA'!$AA$6:$AA$285,""),IF(_xlpm.x=0,"",_xlpm.x)))</f>
        <v/>
      </c>
      <c r="K28" s="152" t="str">
        <f>IF($B28="","",_xlfn.LET(_xlpm.x,_xlfn.XLOOKUP($B28,'07. BIA'!$F$6:$F$285,'07. BIA'!$AD$6:$AD$285,""),IF(_xlpm.x=0,"",_xlpm.x)))</f>
        <v/>
      </c>
      <c r="L28" s="221"/>
    </row>
    <row r="29" spans="1:12" x14ac:dyDescent="0.35">
      <c r="A29" s="219">
        <v>25</v>
      </c>
      <c r="B29" s="70"/>
      <c r="C29" s="74" t="str">
        <f>IFERROR(VLOOKUP(B29,'04. Products &amp; Services'!$B$6:$E$50,4,FALSE),"")</f>
        <v/>
      </c>
      <c r="D29" s="72"/>
      <c r="E29" s="67"/>
      <c r="F29" s="72"/>
      <c r="G29" s="72"/>
      <c r="H29" s="72"/>
      <c r="I29" s="67"/>
      <c r="J29" s="152" t="str">
        <f>IF($B29="","",_xlfn.LET(_xlpm.x,_xlfn.XLOOKUP($B29,'07. BIA'!$F$6:$F$285,'07. BIA'!$AA$6:$AA$285,""),IF(_xlpm.x=0,"",_xlpm.x)))</f>
        <v/>
      </c>
      <c r="K29" s="152" t="str">
        <f>IF($B29="","",_xlfn.LET(_xlpm.x,_xlfn.XLOOKUP($B29,'07. BIA'!$F$6:$F$285,'07. BIA'!$AD$6:$AD$285,""),IF(_xlpm.x=0,"",_xlpm.x)))</f>
        <v/>
      </c>
      <c r="L29" s="221"/>
    </row>
    <row r="30" spans="1:12" x14ac:dyDescent="0.35">
      <c r="A30" s="219">
        <v>26</v>
      </c>
      <c r="B30" s="70"/>
      <c r="C30" s="74" t="str">
        <f>IFERROR(VLOOKUP(B30,'04. Products &amp; Services'!$B$6:$E$50,4,FALSE),"")</f>
        <v/>
      </c>
      <c r="D30" s="72"/>
      <c r="E30" s="67"/>
      <c r="F30" s="72"/>
      <c r="G30" s="72"/>
      <c r="H30" s="72"/>
      <c r="I30" s="67"/>
      <c r="J30" s="152" t="str">
        <f>IF($B30="","",_xlfn.LET(_xlpm.x,_xlfn.XLOOKUP($B30,'07. BIA'!$F$6:$F$285,'07. BIA'!$AA$6:$AA$285,""),IF(_xlpm.x=0,"",_xlpm.x)))</f>
        <v/>
      </c>
      <c r="K30" s="152" t="str">
        <f>IF($B30="","",_xlfn.LET(_xlpm.x,_xlfn.XLOOKUP($B30,'07. BIA'!$F$6:$F$285,'07. BIA'!$AD$6:$AD$285,""),IF(_xlpm.x=0,"",_xlpm.x)))</f>
        <v/>
      </c>
      <c r="L30" s="221"/>
    </row>
    <row r="31" spans="1:12" x14ac:dyDescent="0.35">
      <c r="A31" s="219">
        <v>27</v>
      </c>
      <c r="B31" s="70"/>
      <c r="C31" s="74" t="str">
        <f>IFERROR(VLOOKUP(B31,'04. Products &amp; Services'!$B$6:$E$50,4,FALSE),"")</f>
        <v/>
      </c>
      <c r="D31" s="72"/>
      <c r="E31" s="67"/>
      <c r="F31" s="72"/>
      <c r="G31" s="72"/>
      <c r="H31" s="72"/>
      <c r="I31" s="67"/>
      <c r="J31" s="152" t="str">
        <f>IF($B31="","",_xlfn.LET(_xlpm.x,_xlfn.XLOOKUP($B31,'07. BIA'!$F$6:$F$285,'07. BIA'!$AA$6:$AA$285,""),IF(_xlpm.x=0,"",_xlpm.x)))</f>
        <v/>
      </c>
      <c r="K31" s="152" t="str">
        <f>IF($B31="","",_xlfn.LET(_xlpm.x,_xlfn.XLOOKUP($B31,'07. BIA'!$F$6:$F$285,'07. BIA'!$AD$6:$AD$285,""),IF(_xlpm.x=0,"",_xlpm.x)))</f>
        <v/>
      </c>
      <c r="L31" s="221"/>
    </row>
    <row r="32" spans="1:12" x14ac:dyDescent="0.35">
      <c r="A32" s="219">
        <v>28</v>
      </c>
      <c r="B32" s="70"/>
      <c r="C32" s="74" t="str">
        <f>IFERROR(VLOOKUP(B32,'04. Products &amp; Services'!$B$6:$E$50,4,FALSE),"")</f>
        <v/>
      </c>
      <c r="D32" s="72"/>
      <c r="E32" s="67"/>
      <c r="F32" s="72"/>
      <c r="G32" s="72"/>
      <c r="H32" s="72"/>
      <c r="I32" s="67"/>
      <c r="J32" s="152" t="str">
        <f>IF($B32="","",_xlfn.LET(_xlpm.x,_xlfn.XLOOKUP($B32,'07. BIA'!$F$6:$F$285,'07. BIA'!$AA$6:$AA$285,""),IF(_xlpm.x=0,"",_xlpm.x)))</f>
        <v/>
      </c>
      <c r="K32" s="152" t="str">
        <f>IF($B32="","",_xlfn.LET(_xlpm.x,_xlfn.XLOOKUP($B32,'07. BIA'!$F$6:$F$285,'07. BIA'!$AD$6:$AD$285,""),IF(_xlpm.x=0,"",_xlpm.x)))</f>
        <v/>
      </c>
      <c r="L32" s="221"/>
    </row>
    <row r="33" spans="1:12" x14ac:dyDescent="0.35">
      <c r="A33" s="219">
        <v>29</v>
      </c>
      <c r="B33" s="70"/>
      <c r="C33" s="74" t="str">
        <f>IFERROR(VLOOKUP(B33,'04. Products &amp; Services'!$B$6:$E$50,4,FALSE),"")</f>
        <v/>
      </c>
      <c r="D33" s="72"/>
      <c r="E33" s="67"/>
      <c r="F33" s="72"/>
      <c r="G33" s="72"/>
      <c r="H33" s="72"/>
      <c r="I33" s="67"/>
      <c r="J33" s="152" t="str">
        <f>IF($B33="","",_xlfn.LET(_xlpm.x,_xlfn.XLOOKUP($B33,'07. BIA'!$F$6:$F$285,'07. BIA'!$AA$6:$AA$285,""),IF(_xlpm.x=0,"",_xlpm.x)))</f>
        <v/>
      </c>
      <c r="K33" s="152" t="str">
        <f>IF($B33="","",_xlfn.LET(_xlpm.x,_xlfn.XLOOKUP($B33,'07. BIA'!$F$6:$F$285,'07. BIA'!$AD$6:$AD$285,""),IF(_xlpm.x=0,"",_xlpm.x)))</f>
        <v/>
      </c>
      <c r="L33" s="221"/>
    </row>
    <row r="34" spans="1:12" x14ac:dyDescent="0.35">
      <c r="A34" s="219">
        <v>30</v>
      </c>
      <c r="B34" s="70"/>
      <c r="C34" s="74" t="str">
        <f>IFERROR(VLOOKUP(B34,'04. Products &amp; Services'!$B$6:$E$50,4,FALSE),"")</f>
        <v/>
      </c>
      <c r="D34" s="72"/>
      <c r="E34" s="67"/>
      <c r="F34" s="72"/>
      <c r="G34" s="72"/>
      <c r="H34" s="72"/>
      <c r="I34" s="67"/>
      <c r="J34" s="152" t="str">
        <f>IF($B34="","",_xlfn.LET(_xlpm.x,_xlfn.XLOOKUP($B34,'07. BIA'!$F$6:$F$285,'07. BIA'!$AA$6:$AA$285,""),IF(_xlpm.x=0,"",_xlpm.x)))</f>
        <v/>
      </c>
      <c r="K34" s="152" t="str">
        <f>IF($B34="","",_xlfn.LET(_xlpm.x,_xlfn.XLOOKUP($B34,'07. BIA'!$F$6:$F$285,'07. BIA'!$AD$6:$AD$285,""),IF(_xlpm.x=0,"",_xlpm.x)))</f>
        <v/>
      </c>
      <c r="L34" s="221"/>
    </row>
    <row r="35" spans="1:12" x14ac:dyDescent="0.35">
      <c r="A35" s="219">
        <v>31</v>
      </c>
      <c r="B35" s="70"/>
      <c r="C35" s="74" t="str">
        <f>IFERROR(VLOOKUP(B35,'04. Products &amp; Services'!$B$6:$E$50,4,FALSE),"")</f>
        <v/>
      </c>
      <c r="D35" s="72"/>
      <c r="E35" s="67"/>
      <c r="F35" s="72"/>
      <c r="G35" s="72"/>
      <c r="H35" s="72"/>
      <c r="I35" s="67"/>
      <c r="J35" s="152" t="str">
        <f>IF($B35="","",_xlfn.LET(_xlpm.x,_xlfn.XLOOKUP($B35,'07. BIA'!$F$6:$F$285,'07. BIA'!$AA$6:$AA$285,""),IF(_xlpm.x=0,"",_xlpm.x)))</f>
        <v/>
      </c>
      <c r="K35" s="152" t="str">
        <f>IF($B35="","",_xlfn.LET(_xlpm.x,_xlfn.XLOOKUP($B35,'07. BIA'!$F$6:$F$285,'07. BIA'!$AD$6:$AD$285,""),IF(_xlpm.x=0,"",_xlpm.x)))</f>
        <v/>
      </c>
      <c r="L35" s="221"/>
    </row>
    <row r="36" spans="1:12" x14ac:dyDescent="0.35">
      <c r="A36" s="219">
        <v>32</v>
      </c>
      <c r="B36" s="70"/>
      <c r="C36" s="74" t="str">
        <f>IFERROR(VLOOKUP(B36,'04. Products &amp; Services'!$B$6:$E$50,4,FALSE),"")</f>
        <v/>
      </c>
      <c r="D36" s="72"/>
      <c r="E36" s="67"/>
      <c r="F36" s="72"/>
      <c r="G36" s="72"/>
      <c r="H36" s="72"/>
      <c r="I36" s="67"/>
      <c r="J36" s="152" t="str">
        <f>IF($B36="","",_xlfn.LET(_xlpm.x,_xlfn.XLOOKUP($B36,'07. BIA'!$F$6:$F$285,'07. BIA'!$AA$6:$AA$285,""),IF(_xlpm.x=0,"",_xlpm.x)))</f>
        <v/>
      </c>
      <c r="K36" s="152" t="str">
        <f>IF($B36="","",_xlfn.LET(_xlpm.x,_xlfn.XLOOKUP($B36,'07. BIA'!$F$6:$F$285,'07. BIA'!$AD$6:$AD$285,""),IF(_xlpm.x=0,"",_xlpm.x)))</f>
        <v/>
      </c>
      <c r="L36" s="221"/>
    </row>
    <row r="37" spans="1:12" x14ac:dyDescent="0.35">
      <c r="A37" s="219">
        <v>33</v>
      </c>
      <c r="B37" s="70"/>
      <c r="C37" s="74" t="str">
        <f>IFERROR(VLOOKUP(B37,'04. Products &amp; Services'!$B$6:$E$50,4,FALSE),"")</f>
        <v/>
      </c>
      <c r="D37" s="72"/>
      <c r="E37" s="67"/>
      <c r="F37" s="72"/>
      <c r="G37" s="72"/>
      <c r="H37" s="72"/>
      <c r="I37" s="67"/>
      <c r="J37" s="152" t="str">
        <f>IF($B37="","",_xlfn.LET(_xlpm.x,_xlfn.XLOOKUP($B37,'07. BIA'!$F$6:$F$285,'07. BIA'!$AA$6:$AA$285,""),IF(_xlpm.x=0,"",_xlpm.x)))</f>
        <v/>
      </c>
      <c r="K37" s="152" t="str">
        <f>IF($B37="","",_xlfn.LET(_xlpm.x,_xlfn.XLOOKUP($B37,'07. BIA'!$F$6:$F$285,'07. BIA'!$AD$6:$AD$285,""),IF(_xlpm.x=0,"",_xlpm.x)))</f>
        <v/>
      </c>
      <c r="L37" s="221"/>
    </row>
    <row r="38" spans="1:12" x14ac:dyDescent="0.35">
      <c r="A38" s="219">
        <v>34</v>
      </c>
      <c r="B38" s="70"/>
      <c r="C38" s="74" t="str">
        <f>IFERROR(VLOOKUP(B38,'04. Products &amp; Services'!$B$6:$E$50,4,FALSE),"")</f>
        <v/>
      </c>
      <c r="D38" s="72"/>
      <c r="E38" s="67"/>
      <c r="F38" s="72"/>
      <c r="G38" s="72"/>
      <c r="H38" s="72"/>
      <c r="I38" s="67"/>
      <c r="J38" s="152" t="str">
        <f>IF($B38="","",_xlfn.LET(_xlpm.x,_xlfn.XLOOKUP($B38,'07. BIA'!$F$6:$F$285,'07. BIA'!$AA$6:$AA$285,""),IF(_xlpm.x=0,"",_xlpm.x)))</f>
        <v/>
      </c>
      <c r="K38" s="152" t="str">
        <f>IF($B38="","",_xlfn.LET(_xlpm.x,_xlfn.XLOOKUP($B38,'07. BIA'!$F$6:$F$285,'07. BIA'!$AD$6:$AD$285,""),IF(_xlpm.x=0,"",_xlpm.x)))</f>
        <v/>
      </c>
      <c r="L38" s="221"/>
    </row>
    <row r="39" spans="1:12" x14ac:dyDescent="0.35">
      <c r="A39" s="219">
        <v>35</v>
      </c>
      <c r="B39" s="70"/>
      <c r="C39" s="74" t="str">
        <f>IFERROR(VLOOKUP(B39,'04. Products &amp; Services'!$B$6:$E$50,4,FALSE),"")</f>
        <v/>
      </c>
      <c r="D39" s="72"/>
      <c r="E39" s="67"/>
      <c r="F39" s="72"/>
      <c r="G39" s="72"/>
      <c r="H39" s="72"/>
      <c r="I39" s="67"/>
      <c r="J39" s="152" t="str">
        <f>IF($B39="","",_xlfn.LET(_xlpm.x,_xlfn.XLOOKUP($B39,'07. BIA'!$F$6:$F$285,'07. BIA'!$AA$6:$AA$285,""),IF(_xlpm.x=0,"",_xlpm.x)))</f>
        <v/>
      </c>
      <c r="K39" s="152" t="str">
        <f>IF($B39="","",_xlfn.LET(_xlpm.x,_xlfn.XLOOKUP($B39,'07. BIA'!$F$6:$F$285,'07. BIA'!$AD$6:$AD$285,""),IF(_xlpm.x=0,"",_xlpm.x)))</f>
        <v/>
      </c>
      <c r="L39" s="221"/>
    </row>
    <row r="40" spans="1:12" x14ac:dyDescent="0.35">
      <c r="A40" s="219">
        <v>36</v>
      </c>
      <c r="B40" s="70"/>
      <c r="C40" s="74" t="str">
        <f>IFERROR(VLOOKUP(B40,'04. Products &amp; Services'!$B$6:$E$50,4,FALSE),"")</f>
        <v/>
      </c>
      <c r="D40" s="72"/>
      <c r="E40" s="67"/>
      <c r="F40" s="72"/>
      <c r="G40" s="72"/>
      <c r="H40" s="72"/>
      <c r="I40" s="67"/>
      <c r="J40" s="152" t="str">
        <f>IF($B40="","",_xlfn.LET(_xlpm.x,_xlfn.XLOOKUP($B40,'07. BIA'!$F$6:$F$285,'07. BIA'!$AA$6:$AA$285,""),IF(_xlpm.x=0,"",_xlpm.x)))</f>
        <v/>
      </c>
      <c r="K40" s="152" t="str">
        <f>IF($B40="","",_xlfn.LET(_xlpm.x,_xlfn.XLOOKUP($B40,'07. BIA'!$F$6:$F$285,'07. BIA'!$AD$6:$AD$285,""),IF(_xlpm.x=0,"",_xlpm.x)))</f>
        <v/>
      </c>
      <c r="L40" s="221"/>
    </row>
    <row r="41" spans="1:12" x14ac:dyDescent="0.35">
      <c r="A41" s="219">
        <v>37</v>
      </c>
      <c r="B41" s="70"/>
      <c r="C41" s="74" t="str">
        <f>IFERROR(VLOOKUP(B41,'04. Products &amp; Services'!$B$6:$E$50,4,FALSE),"")</f>
        <v/>
      </c>
      <c r="D41" s="72"/>
      <c r="E41" s="67"/>
      <c r="F41" s="72"/>
      <c r="G41" s="72"/>
      <c r="H41" s="72"/>
      <c r="I41" s="67"/>
      <c r="J41" s="152" t="str">
        <f>IF($B41="","",_xlfn.LET(_xlpm.x,_xlfn.XLOOKUP($B41,'07. BIA'!$F$6:$F$285,'07. BIA'!$AA$6:$AA$285,""),IF(_xlpm.x=0,"",_xlpm.x)))</f>
        <v/>
      </c>
      <c r="K41" s="152" t="str">
        <f>IF($B41="","",_xlfn.LET(_xlpm.x,_xlfn.XLOOKUP($B41,'07. BIA'!$F$6:$F$285,'07. BIA'!$AD$6:$AD$285,""),IF(_xlpm.x=0,"",_xlpm.x)))</f>
        <v/>
      </c>
      <c r="L41" s="221"/>
    </row>
    <row r="42" spans="1:12" x14ac:dyDescent="0.35">
      <c r="A42" s="219">
        <v>38</v>
      </c>
      <c r="B42" s="70"/>
      <c r="C42" s="74" t="str">
        <f>IFERROR(VLOOKUP(B42,'04. Products &amp; Services'!$B$6:$E$50,4,FALSE),"")</f>
        <v/>
      </c>
      <c r="D42" s="72"/>
      <c r="E42" s="67"/>
      <c r="F42" s="72"/>
      <c r="G42" s="72"/>
      <c r="H42" s="72"/>
      <c r="I42" s="67"/>
      <c r="J42" s="152" t="str">
        <f>IF($B42="","",_xlfn.LET(_xlpm.x,_xlfn.XLOOKUP($B42,'07. BIA'!$F$6:$F$285,'07. BIA'!$AA$6:$AA$285,""),IF(_xlpm.x=0,"",_xlpm.x)))</f>
        <v/>
      </c>
      <c r="K42" s="152" t="str">
        <f>IF($B42="","",_xlfn.LET(_xlpm.x,_xlfn.XLOOKUP($B42,'07. BIA'!$F$6:$F$285,'07. BIA'!$AD$6:$AD$285,""),IF(_xlpm.x=0,"",_xlpm.x)))</f>
        <v/>
      </c>
      <c r="L42" s="221"/>
    </row>
    <row r="43" spans="1:12" x14ac:dyDescent="0.35">
      <c r="A43" s="219">
        <v>39</v>
      </c>
      <c r="B43" s="70"/>
      <c r="C43" s="74" t="str">
        <f>IFERROR(VLOOKUP(B43,'04. Products &amp; Services'!$B$6:$E$50,4,FALSE),"")</f>
        <v/>
      </c>
      <c r="D43" s="72"/>
      <c r="E43" s="67"/>
      <c r="F43" s="72"/>
      <c r="G43" s="72"/>
      <c r="H43" s="72"/>
      <c r="I43" s="67"/>
      <c r="J43" s="152" t="str">
        <f>IF($B43="","",_xlfn.LET(_xlpm.x,_xlfn.XLOOKUP($B43,'07. BIA'!$F$6:$F$285,'07. BIA'!$AA$6:$AA$285,""),IF(_xlpm.x=0,"",_xlpm.x)))</f>
        <v/>
      </c>
      <c r="K43" s="152" t="str">
        <f>IF($B43="","",_xlfn.LET(_xlpm.x,_xlfn.XLOOKUP($B43,'07. BIA'!$F$6:$F$285,'07. BIA'!$AD$6:$AD$285,""),IF(_xlpm.x=0,"",_xlpm.x)))</f>
        <v/>
      </c>
      <c r="L43" s="221"/>
    </row>
    <row r="44" spans="1:12" x14ac:dyDescent="0.35">
      <c r="A44" s="219">
        <v>40</v>
      </c>
      <c r="B44" s="70"/>
      <c r="C44" s="74" t="str">
        <f>IFERROR(VLOOKUP(B44,'04. Products &amp; Services'!$B$6:$E$50,4,FALSE),"")</f>
        <v/>
      </c>
      <c r="D44" s="72"/>
      <c r="E44" s="67"/>
      <c r="F44" s="72"/>
      <c r="G44" s="72"/>
      <c r="H44" s="72"/>
      <c r="I44" s="67"/>
      <c r="J44" s="152" t="str">
        <f>IF($B44="","",_xlfn.LET(_xlpm.x,_xlfn.XLOOKUP($B44,'07. BIA'!$F$6:$F$285,'07. BIA'!$AA$6:$AA$285,""),IF(_xlpm.x=0,"",_xlpm.x)))</f>
        <v/>
      </c>
      <c r="K44" s="152" t="str">
        <f>IF($B44="","",_xlfn.LET(_xlpm.x,_xlfn.XLOOKUP($B44,'07. BIA'!$F$6:$F$285,'07. BIA'!$AD$6:$AD$285,""),IF(_xlpm.x=0,"",_xlpm.x)))</f>
        <v/>
      </c>
      <c r="L44" s="221"/>
    </row>
    <row r="45" spans="1:12" x14ac:dyDescent="0.35">
      <c r="A45" s="219">
        <v>41</v>
      </c>
      <c r="B45" s="70"/>
      <c r="C45" s="74" t="str">
        <f>IFERROR(VLOOKUP(B45,'04. Products &amp; Services'!$B$6:$E$50,4,FALSE),"")</f>
        <v/>
      </c>
      <c r="D45" s="72"/>
      <c r="E45" s="67"/>
      <c r="F45" s="72"/>
      <c r="G45" s="72"/>
      <c r="H45" s="72"/>
      <c r="I45" s="67"/>
      <c r="J45" s="152" t="str">
        <f>IF($B45="","",_xlfn.LET(_xlpm.x,_xlfn.XLOOKUP($B45,'07. BIA'!$F$6:$F$285,'07. BIA'!$AA$6:$AA$285,""),IF(_xlpm.x=0,"",_xlpm.x)))</f>
        <v/>
      </c>
      <c r="K45" s="152" t="str">
        <f>IF($B45="","",_xlfn.LET(_xlpm.x,_xlfn.XLOOKUP($B45,'07. BIA'!$F$6:$F$285,'07. BIA'!$AD$6:$AD$285,""),IF(_xlpm.x=0,"",_xlpm.x)))</f>
        <v/>
      </c>
      <c r="L45" s="221"/>
    </row>
    <row r="46" spans="1:12" x14ac:dyDescent="0.35">
      <c r="A46" s="219">
        <v>42</v>
      </c>
      <c r="B46" s="70"/>
      <c r="C46" s="74" t="str">
        <f>IFERROR(VLOOKUP(B46,'04. Products &amp; Services'!$B$6:$E$50,4,FALSE),"")</f>
        <v/>
      </c>
      <c r="D46" s="72"/>
      <c r="E46" s="67"/>
      <c r="F46" s="72"/>
      <c r="G46" s="72"/>
      <c r="H46" s="72"/>
      <c r="I46" s="67"/>
      <c r="J46" s="152" t="str">
        <f>IF($B46="","",_xlfn.LET(_xlpm.x,_xlfn.XLOOKUP($B46,'07. BIA'!$F$6:$F$285,'07. BIA'!$AA$6:$AA$285,""),IF(_xlpm.x=0,"",_xlpm.x)))</f>
        <v/>
      </c>
      <c r="K46" s="152" t="str">
        <f>IF($B46="","",_xlfn.LET(_xlpm.x,_xlfn.XLOOKUP($B46,'07. BIA'!$F$6:$F$285,'07. BIA'!$AD$6:$AD$285,""),IF(_xlpm.x=0,"",_xlpm.x)))</f>
        <v/>
      </c>
      <c r="L46" s="221"/>
    </row>
    <row r="47" spans="1:12" x14ac:dyDescent="0.35">
      <c r="A47" s="219">
        <v>43</v>
      </c>
      <c r="B47" s="70"/>
      <c r="C47" s="74" t="str">
        <f>IFERROR(VLOOKUP(B47,'04. Products &amp; Services'!$B$6:$E$50,4,FALSE),"")</f>
        <v/>
      </c>
      <c r="D47" s="72"/>
      <c r="E47" s="67"/>
      <c r="F47" s="72"/>
      <c r="G47" s="72"/>
      <c r="H47" s="72"/>
      <c r="I47" s="67"/>
      <c r="J47" s="152" t="str">
        <f>IF($B47="","",_xlfn.LET(_xlpm.x,_xlfn.XLOOKUP($B47,'07. BIA'!$F$6:$F$285,'07. BIA'!$AA$6:$AA$285,""),IF(_xlpm.x=0,"",_xlpm.x)))</f>
        <v/>
      </c>
      <c r="K47" s="152" t="str">
        <f>IF($B47="","",_xlfn.LET(_xlpm.x,_xlfn.XLOOKUP($B47,'07. BIA'!$F$6:$F$285,'07. BIA'!$AD$6:$AD$285,""),IF(_xlpm.x=0,"",_xlpm.x)))</f>
        <v/>
      </c>
      <c r="L47" s="221"/>
    </row>
    <row r="48" spans="1:12" x14ac:dyDescent="0.35">
      <c r="A48" s="219">
        <v>44</v>
      </c>
      <c r="B48" s="70"/>
      <c r="C48" s="74" t="str">
        <f>IFERROR(VLOOKUP(B48,'04. Products &amp; Services'!$B$6:$E$50,4,FALSE),"")</f>
        <v/>
      </c>
      <c r="D48" s="72"/>
      <c r="E48" s="67"/>
      <c r="F48" s="72"/>
      <c r="G48" s="72"/>
      <c r="H48" s="72"/>
      <c r="I48" s="67"/>
      <c r="J48" s="152" t="str">
        <f>IF($B48="","",_xlfn.LET(_xlpm.x,_xlfn.XLOOKUP($B48,'07. BIA'!$F$6:$F$285,'07. BIA'!$AA$6:$AA$285,""),IF(_xlpm.x=0,"",_xlpm.x)))</f>
        <v/>
      </c>
      <c r="K48" s="152" t="str">
        <f>IF($B48="","",_xlfn.LET(_xlpm.x,_xlfn.XLOOKUP($B48,'07. BIA'!$F$6:$F$285,'07. BIA'!$AD$6:$AD$285,""),IF(_xlpm.x=0,"",_xlpm.x)))</f>
        <v/>
      </c>
      <c r="L48" s="221"/>
    </row>
    <row r="49" spans="1:12" x14ac:dyDescent="0.35">
      <c r="A49" s="219">
        <v>45</v>
      </c>
      <c r="B49" s="70"/>
      <c r="C49" s="74" t="str">
        <f>IFERROR(VLOOKUP(B49,'04. Products &amp; Services'!$B$6:$E$50,4,FALSE),"")</f>
        <v/>
      </c>
      <c r="D49" s="72"/>
      <c r="E49" s="67"/>
      <c r="F49" s="72"/>
      <c r="G49" s="72"/>
      <c r="H49" s="72"/>
      <c r="I49" s="67"/>
      <c r="J49" s="152" t="str">
        <f>IF($B49="","",_xlfn.LET(_xlpm.x,_xlfn.XLOOKUP($B49,'07. BIA'!$F$6:$F$285,'07. BIA'!$AA$6:$AA$285,""),IF(_xlpm.x=0,"",_xlpm.x)))</f>
        <v/>
      </c>
      <c r="K49" s="152" t="str">
        <f>IF($B49="","",_xlfn.LET(_xlpm.x,_xlfn.XLOOKUP($B49,'07. BIA'!$F$6:$F$285,'07. BIA'!$AD$6:$AD$285,""),IF(_xlpm.x=0,"",_xlpm.x)))</f>
        <v/>
      </c>
      <c r="L49" s="221"/>
    </row>
    <row r="50" spans="1:12" x14ac:dyDescent="0.35">
      <c r="A50" s="219">
        <v>46</v>
      </c>
      <c r="B50" s="70"/>
      <c r="C50" s="74" t="str">
        <f>IFERROR(VLOOKUP(B50,'04. Products &amp; Services'!$B$6:$E$50,4,FALSE),"")</f>
        <v/>
      </c>
      <c r="D50" s="72"/>
      <c r="E50" s="67"/>
      <c r="F50" s="72"/>
      <c r="G50" s="72"/>
      <c r="H50" s="72"/>
      <c r="I50" s="67"/>
      <c r="J50" s="152" t="str">
        <f>IF($B50="","",_xlfn.LET(_xlpm.x,_xlfn.XLOOKUP($B50,'07. BIA'!$F$6:$F$285,'07. BIA'!$AA$6:$AA$285,""),IF(_xlpm.x=0,"",_xlpm.x)))</f>
        <v/>
      </c>
      <c r="K50" s="152" t="str">
        <f>IF($B50="","",_xlfn.LET(_xlpm.x,_xlfn.XLOOKUP($B50,'07. BIA'!$F$6:$F$285,'07. BIA'!$AD$6:$AD$285,""),IF(_xlpm.x=0,"",_xlpm.x)))</f>
        <v/>
      </c>
      <c r="L50" s="221"/>
    </row>
    <row r="51" spans="1:12" x14ac:dyDescent="0.35">
      <c r="A51" s="219">
        <v>47</v>
      </c>
      <c r="B51" s="70"/>
      <c r="C51" s="74" t="str">
        <f>IFERROR(VLOOKUP(B51,'04. Products &amp; Services'!$B$6:$E$50,4,FALSE),"")</f>
        <v/>
      </c>
      <c r="D51" s="72"/>
      <c r="E51" s="67"/>
      <c r="F51" s="72"/>
      <c r="G51" s="72"/>
      <c r="H51" s="72"/>
      <c r="I51" s="67"/>
      <c r="J51" s="152" t="str">
        <f>IF($B51="","",_xlfn.LET(_xlpm.x,_xlfn.XLOOKUP($B51,'07. BIA'!$F$6:$F$285,'07. BIA'!$AA$6:$AA$285,""),IF(_xlpm.x=0,"",_xlpm.x)))</f>
        <v/>
      </c>
      <c r="K51" s="152" t="str">
        <f>IF($B51="","",_xlfn.LET(_xlpm.x,_xlfn.XLOOKUP($B51,'07. BIA'!$F$6:$F$285,'07. BIA'!$AD$6:$AD$285,""),IF(_xlpm.x=0,"",_xlpm.x)))</f>
        <v/>
      </c>
      <c r="L51" s="221"/>
    </row>
    <row r="52" spans="1:12" x14ac:dyDescent="0.35">
      <c r="A52" s="219">
        <v>48</v>
      </c>
      <c r="B52" s="70"/>
      <c r="C52" s="74" t="str">
        <f>IFERROR(VLOOKUP(B52,'04. Products &amp; Services'!$B$6:$E$50,4,FALSE),"")</f>
        <v/>
      </c>
      <c r="D52" s="72"/>
      <c r="E52" s="67"/>
      <c r="F52" s="72"/>
      <c r="G52" s="72"/>
      <c r="H52" s="72"/>
      <c r="I52" s="67"/>
      <c r="J52" s="152" t="str">
        <f>IF($B52="","",_xlfn.LET(_xlpm.x,_xlfn.XLOOKUP($B52,'07. BIA'!$F$6:$F$285,'07. BIA'!$AA$6:$AA$285,""),IF(_xlpm.x=0,"",_xlpm.x)))</f>
        <v/>
      </c>
      <c r="K52" s="152" t="str">
        <f>IF($B52="","",_xlfn.LET(_xlpm.x,_xlfn.XLOOKUP($B52,'07. BIA'!$F$6:$F$285,'07. BIA'!$AD$6:$AD$285,""),IF(_xlpm.x=0,"",_xlpm.x)))</f>
        <v/>
      </c>
      <c r="L52" s="221"/>
    </row>
    <row r="53" spans="1:12" x14ac:dyDescent="0.35">
      <c r="A53" s="219">
        <v>49</v>
      </c>
      <c r="B53" s="70"/>
      <c r="C53" s="74" t="str">
        <f>IFERROR(VLOOKUP(B53,'04. Products &amp; Services'!$B$6:$E$50,4,FALSE),"")</f>
        <v/>
      </c>
      <c r="D53" s="72"/>
      <c r="E53" s="67"/>
      <c r="F53" s="72"/>
      <c r="G53" s="72"/>
      <c r="H53" s="72"/>
      <c r="I53" s="67"/>
      <c r="J53" s="152" t="str">
        <f>IF($B53="","",_xlfn.LET(_xlpm.x,_xlfn.XLOOKUP($B53,'07. BIA'!$F$6:$F$285,'07. BIA'!$AA$6:$AA$285,""),IF(_xlpm.x=0,"",_xlpm.x)))</f>
        <v/>
      </c>
      <c r="K53" s="152" t="str">
        <f>IF($B53="","",_xlfn.LET(_xlpm.x,_xlfn.XLOOKUP($B53,'07. BIA'!$F$6:$F$285,'07. BIA'!$AD$6:$AD$285,""),IF(_xlpm.x=0,"",_xlpm.x)))</f>
        <v/>
      </c>
      <c r="L53" s="221"/>
    </row>
    <row r="54" spans="1:12" x14ac:dyDescent="0.35">
      <c r="A54" s="219">
        <v>50</v>
      </c>
      <c r="B54" s="70"/>
      <c r="C54" s="74" t="str">
        <f>IFERROR(VLOOKUP(B54,'04. Products &amp; Services'!$B$6:$E$50,4,FALSE),"")</f>
        <v/>
      </c>
      <c r="D54" s="72"/>
      <c r="E54" s="67"/>
      <c r="F54" s="72"/>
      <c r="G54" s="72"/>
      <c r="H54" s="72"/>
      <c r="I54" s="67"/>
      <c r="J54" s="152" t="str">
        <f>IF($B54="","",_xlfn.LET(_xlpm.x,_xlfn.XLOOKUP($B54,'07. BIA'!$F$6:$F$285,'07. BIA'!$AA$6:$AA$285,""),IF(_xlpm.x=0,"",_xlpm.x)))</f>
        <v/>
      </c>
      <c r="K54" s="152" t="str">
        <f>IF($B54="","",_xlfn.LET(_xlpm.x,_xlfn.XLOOKUP($B54,'07. BIA'!$F$6:$F$285,'07. BIA'!$AD$6:$AD$285,""),IF(_xlpm.x=0,"",_xlpm.x)))</f>
        <v/>
      </c>
      <c r="L54" s="221"/>
    </row>
    <row r="55" spans="1:12" x14ac:dyDescent="0.35">
      <c r="A55" s="219">
        <v>51</v>
      </c>
      <c r="B55" s="70"/>
      <c r="C55" s="74" t="str">
        <f>IFERROR(VLOOKUP(B55,'04. Products &amp; Services'!$B$6:$E$50,4,FALSE),"")</f>
        <v/>
      </c>
      <c r="D55" s="72"/>
      <c r="E55" s="67"/>
      <c r="F55" s="72"/>
      <c r="G55" s="72"/>
      <c r="H55" s="72"/>
      <c r="I55" s="67"/>
      <c r="J55" s="152" t="str">
        <f>IF($B55="","",_xlfn.LET(_xlpm.x,_xlfn.XLOOKUP($B55,'07. BIA'!$F$6:$F$285,'07. BIA'!$AA$6:$AA$285,""),IF(_xlpm.x=0,"",_xlpm.x)))</f>
        <v/>
      </c>
      <c r="K55" s="152" t="str">
        <f>IF($B55="","",_xlfn.LET(_xlpm.x,_xlfn.XLOOKUP($B55,'07. BIA'!$F$6:$F$285,'07. BIA'!$AD$6:$AD$285,""),IF(_xlpm.x=0,"",_xlpm.x)))</f>
        <v/>
      </c>
      <c r="L55" s="221"/>
    </row>
    <row r="56" spans="1:12" x14ac:dyDescent="0.35">
      <c r="A56" s="219">
        <v>52</v>
      </c>
      <c r="B56" s="70"/>
      <c r="C56" s="74" t="str">
        <f>IFERROR(VLOOKUP(B56,'04. Products &amp; Services'!$B$6:$E$50,4,FALSE),"")</f>
        <v/>
      </c>
      <c r="D56" s="72"/>
      <c r="E56" s="67"/>
      <c r="F56" s="72"/>
      <c r="G56" s="72"/>
      <c r="H56" s="72"/>
      <c r="I56" s="67"/>
      <c r="J56" s="152" t="str">
        <f>IF($B56="","",_xlfn.LET(_xlpm.x,_xlfn.XLOOKUP($B56,'07. BIA'!$F$6:$F$285,'07. BIA'!$AA$6:$AA$285,""),IF(_xlpm.x=0,"",_xlpm.x)))</f>
        <v/>
      </c>
      <c r="K56" s="152" t="str">
        <f>IF($B56="","",_xlfn.LET(_xlpm.x,_xlfn.XLOOKUP($B56,'07. BIA'!$F$6:$F$285,'07. BIA'!$AD$6:$AD$285,""),IF(_xlpm.x=0,"",_xlpm.x)))</f>
        <v/>
      </c>
      <c r="L56" s="221"/>
    </row>
    <row r="57" spans="1:12" x14ac:dyDescent="0.35">
      <c r="A57" s="219">
        <v>53</v>
      </c>
      <c r="B57" s="70"/>
      <c r="C57" s="74" t="str">
        <f>IFERROR(VLOOKUP(B57,'04. Products &amp; Services'!$B$6:$E$50,4,FALSE),"")</f>
        <v/>
      </c>
      <c r="D57" s="72"/>
      <c r="E57" s="67"/>
      <c r="F57" s="72"/>
      <c r="G57" s="72"/>
      <c r="H57" s="72"/>
      <c r="I57" s="67"/>
      <c r="J57" s="152" t="str">
        <f>IF($B57="","",_xlfn.LET(_xlpm.x,_xlfn.XLOOKUP($B57,'07. BIA'!$F$6:$F$285,'07. BIA'!$AA$6:$AA$285,""),IF(_xlpm.x=0,"",_xlpm.x)))</f>
        <v/>
      </c>
      <c r="K57" s="152" t="str">
        <f>IF($B57="","",_xlfn.LET(_xlpm.x,_xlfn.XLOOKUP($B57,'07. BIA'!$F$6:$F$285,'07. BIA'!$AD$6:$AD$285,""),IF(_xlpm.x=0,"",_xlpm.x)))</f>
        <v/>
      </c>
      <c r="L57" s="221"/>
    </row>
    <row r="58" spans="1:12" x14ac:dyDescent="0.35">
      <c r="A58" s="219">
        <v>54</v>
      </c>
      <c r="B58" s="70"/>
      <c r="C58" s="74" t="str">
        <f>IFERROR(VLOOKUP(B58,'04. Products &amp; Services'!$B$6:$E$50,4,FALSE),"")</f>
        <v/>
      </c>
      <c r="D58" s="72"/>
      <c r="E58" s="67"/>
      <c r="F58" s="72"/>
      <c r="G58" s="72"/>
      <c r="H58" s="72"/>
      <c r="I58" s="67"/>
      <c r="J58" s="152" t="str">
        <f>IF($B58="","",_xlfn.LET(_xlpm.x,_xlfn.XLOOKUP($B58,'07. BIA'!$F$6:$F$285,'07. BIA'!$AA$6:$AA$285,""),IF(_xlpm.x=0,"",_xlpm.x)))</f>
        <v/>
      </c>
      <c r="K58" s="152" t="str">
        <f>IF($B58="","",_xlfn.LET(_xlpm.x,_xlfn.XLOOKUP($B58,'07. BIA'!$F$6:$F$285,'07. BIA'!$AD$6:$AD$285,""),IF(_xlpm.x=0,"",_xlpm.x)))</f>
        <v/>
      </c>
      <c r="L58" s="221"/>
    </row>
    <row r="59" spans="1:12" x14ac:dyDescent="0.35">
      <c r="A59" s="219">
        <v>55</v>
      </c>
      <c r="B59" s="70"/>
      <c r="C59" s="74" t="str">
        <f>IFERROR(VLOOKUP(B59,'04. Products &amp; Services'!$B$6:$E$50,4,FALSE),"")</f>
        <v/>
      </c>
      <c r="D59" s="72"/>
      <c r="E59" s="67"/>
      <c r="F59" s="72"/>
      <c r="G59" s="72"/>
      <c r="H59" s="72"/>
      <c r="I59" s="67"/>
      <c r="J59" s="152" t="str">
        <f>IF($B59="","",_xlfn.LET(_xlpm.x,_xlfn.XLOOKUP($B59,'07. BIA'!$F$6:$F$285,'07. BIA'!$AA$6:$AA$285,""),IF(_xlpm.x=0,"",_xlpm.x)))</f>
        <v/>
      </c>
      <c r="K59" s="152" t="str">
        <f>IF($B59="","",_xlfn.LET(_xlpm.x,_xlfn.XLOOKUP($B59,'07. BIA'!$F$6:$F$285,'07. BIA'!$AD$6:$AD$285,""),IF(_xlpm.x=0,"",_xlpm.x)))</f>
        <v/>
      </c>
      <c r="L59" s="221"/>
    </row>
    <row r="60" spans="1:12" x14ac:dyDescent="0.35">
      <c r="A60" s="219">
        <v>56</v>
      </c>
      <c r="B60" s="70"/>
      <c r="C60" s="74" t="str">
        <f>IFERROR(VLOOKUP(B60,'04. Products &amp; Services'!$B$6:$E$50,4,FALSE),"")</f>
        <v/>
      </c>
      <c r="D60" s="72"/>
      <c r="E60" s="67"/>
      <c r="F60" s="72"/>
      <c r="G60" s="72"/>
      <c r="H60" s="72"/>
      <c r="I60" s="67"/>
      <c r="J60" s="152" t="str">
        <f>IF($B60="","",_xlfn.LET(_xlpm.x,_xlfn.XLOOKUP($B60,'07. BIA'!$F$6:$F$285,'07. BIA'!$AA$6:$AA$285,""),IF(_xlpm.x=0,"",_xlpm.x)))</f>
        <v/>
      </c>
      <c r="K60" s="152" t="str">
        <f>IF($B60="","",_xlfn.LET(_xlpm.x,_xlfn.XLOOKUP($B60,'07. BIA'!$F$6:$F$285,'07. BIA'!$AD$6:$AD$285,""),IF(_xlpm.x=0,"",_xlpm.x)))</f>
        <v/>
      </c>
      <c r="L60" s="221"/>
    </row>
    <row r="61" spans="1:12" x14ac:dyDescent="0.35">
      <c r="A61" s="219">
        <v>57</v>
      </c>
      <c r="B61" s="70"/>
      <c r="C61" s="74" t="str">
        <f>IFERROR(VLOOKUP(B61,'04. Products &amp; Services'!$B$6:$E$50,4,FALSE),"")</f>
        <v/>
      </c>
      <c r="D61" s="72"/>
      <c r="E61" s="67"/>
      <c r="F61" s="72"/>
      <c r="G61" s="72"/>
      <c r="H61" s="72"/>
      <c r="I61" s="67"/>
      <c r="J61" s="152" t="str">
        <f>IF($B61="","",_xlfn.LET(_xlpm.x,_xlfn.XLOOKUP($B61,'07. BIA'!$F$6:$F$285,'07. BIA'!$AA$6:$AA$285,""),IF(_xlpm.x=0,"",_xlpm.x)))</f>
        <v/>
      </c>
      <c r="K61" s="152" t="str">
        <f>IF($B61="","",_xlfn.LET(_xlpm.x,_xlfn.XLOOKUP($B61,'07. BIA'!$F$6:$F$285,'07. BIA'!$AD$6:$AD$285,""),IF(_xlpm.x=0,"",_xlpm.x)))</f>
        <v/>
      </c>
      <c r="L61" s="221"/>
    </row>
    <row r="62" spans="1:12" x14ac:dyDescent="0.35">
      <c r="A62" s="219">
        <v>58</v>
      </c>
      <c r="B62" s="70"/>
      <c r="C62" s="74" t="str">
        <f>IFERROR(VLOOKUP(B62,'04. Products &amp; Services'!$B$6:$E$50,4,FALSE),"")</f>
        <v/>
      </c>
      <c r="D62" s="72"/>
      <c r="E62" s="67"/>
      <c r="F62" s="72"/>
      <c r="G62" s="72"/>
      <c r="H62" s="72"/>
      <c r="I62" s="67"/>
      <c r="J62" s="152" t="str">
        <f>IF($B62="","",_xlfn.LET(_xlpm.x,_xlfn.XLOOKUP($B62,'07. BIA'!$F$6:$F$285,'07. BIA'!$AA$6:$AA$285,""),IF(_xlpm.x=0,"",_xlpm.x)))</f>
        <v/>
      </c>
      <c r="K62" s="152" t="str">
        <f>IF($B62="","",_xlfn.LET(_xlpm.x,_xlfn.XLOOKUP($B62,'07. BIA'!$F$6:$F$285,'07. BIA'!$AD$6:$AD$285,""),IF(_xlpm.x=0,"",_xlpm.x)))</f>
        <v/>
      </c>
      <c r="L62" s="221"/>
    </row>
    <row r="63" spans="1:12" x14ac:dyDescent="0.35">
      <c r="A63" s="219">
        <v>59</v>
      </c>
      <c r="B63" s="70"/>
      <c r="C63" s="74" t="str">
        <f>IFERROR(VLOOKUP(B63,'04. Products &amp; Services'!$B$6:$E$50,4,FALSE),"")</f>
        <v/>
      </c>
      <c r="D63" s="72"/>
      <c r="E63" s="67"/>
      <c r="F63" s="72"/>
      <c r="G63" s="72"/>
      <c r="H63" s="72"/>
      <c r="I63" s="67"/>
      <c r="J63" s="152" t="str">
        <f>IF($B63="","",_xlfn.LET(_xlpm.x,_xlfn.XLOOKUP($B63,'07. BIA'!$F$6:$F$285,'07. BIA'!$AA$6:$AA$285,""),IF(_xlpm.x=0,"",_xlpm.x)))</f>
        <v/>
      </c>
      <c r="K63" s="152" t="str">
        <f>IF($B63="","",_xlfn.LET(_xlpm.x,_xlfn.XLOOKUP($B63,'07. BIA'!$F$6:$F$285,'07. BIA'!$AD$6:$AD$285,""),IF(_xlpm.x=0,"",_xlpm.x)))</f>
        <v/>
      </c>
      <c r="L63" s="221"/>
    </row>
    <row r="64" spans="1:12" x14ac:dyDescent="0.35">
      <c r="A64" s="219">
        <v>60</v>
      </c>
      <c r="B64" s="70"/>
      <c r="C64" s="74" t="str">
        <f>IFERROR(VLOOKUP(B64,'04. Products &amp; Services'!$B$6:$E$50,4,FALSE),"")</f>
        <v/>
      </c>
      <c r="D64" s="72"/>
      <c r="E64" s="67"/>
      <c r="F64" s="72"/>
      <c r="G64" s="72"/>
      <c r="H64" s="72"/>
      <c r="I64" s="67"/>
      <c r="J64" s="152" t="str">
        <f>IF($B64="","",_xlfn.LET(_xlpm.x,_xlfn.XLOOKUP($B64,'07. BIA'!$F$6:$F$285,'07. BIA'!$AA$6:$AA$285,""),IF(_xlpm.x=0,"",_xlpm.x)))</f>
        <v/>
      </c>
      <c r="K64" s="152" t="str">
        <f>IF($B64="","",_xlfn.LET(_xlpm.x,_xlfn.XLOOKUP($B64,'07. BIA'!$F$6:$F$285,'07. BIA'!$AD$6:$AD$285,""),IF(_xlpm.x=0,"",_xlpm.x)))</f>
        <v/>
      </c>
      <c r="L64" s="221"/>
    </row>
    <row r="65" spans="1:12" x14ac:dyDescent="0.35">
      <c r="A65" s="219">
        <v>61</v>
      </c>
      <c r="B65" s="70"/>
      <c r="C65" s="74" t="str">
        <f>IFERROR(VLOOKUP(B65,'04. Products &amp; Services'!$B$6:$E$50,4,FALSE),"")</f>
        <v/>
      </c>
      <c r="D65" s="72"/>
      <c r="E65" s="67"/>
      <c r="F65" s="72"/>
      <c r="G65" s="72"/>
      <c r="H65" s="72"/>
      <c r="I65" s="67"/>
      <c r="J65" s="152" t="str">
        <f>IF($B65="","",_xlfn.LET(_xlpm.x,_xlfn.XLOOKUP($B65,'07. BIA'!$F$6:$F$285,'07. BIA'!$AA$6:$AA$285,""),IF(_xlpm.x=0,"",_xlpm.x)))</f>
        <v/>
      </c>
      <c r="K65" s="152" t="str">
        <f>IF($B65="","",_xlfn.LET(_xlpm.x,_xlfn.XLOOKUP($B65,'07. BIA'!$F$6:$F$285,'07. BIA'!$AD$6:$AD$285,""),IF(_xlpm.x=0,"",_xlpm.x)))</f>
        <v/>
      </c>
      <c r="L65" s="221"/>
    </row>
    <row r="66" spans="1:12" x14ac:dyDescent="0.35">
      <c r="A66" s="219">
        <v>62</v>
      </c>
      <c r="B66" s="70"/>
      <c r="C66" s="74" t="str">
        <f>IFERROR(VLOOKUP(B66,'04. Products &amp; Services'!$B$6:$E$50,4,FALSE),"")</f>
        <v/>
      </c>
      <c r="D66" s="72"/>
      <c r="E66" s="67"/>
      <c r="F66" s="72"/>
      <c r="G66" s="72"/>
      <c r="H66" s="72"/>
      <c r="I66" s="67"/>
      <c r="J66" s="152" t="str">
        <f>IF($B66="","",_xlfn.LET(_xlpm.x,_xlfn.XLOOKUP($B66,'07. BIA'!$F$6:$F$285,'07. BIA'!$AA$6:$AA$285,""),IF(_xlpm.x=0,"",_xlpm.x)))</f>
        <v/>
      </c>
      <c r="K66" s="152" t="str">
        <f>IF($B66="","",_xlfn.LET(_xlpm.x,_xlfn.XLOOKUP($B66,'07. BIA'!$F$6:$F$285,'07. BIA'!$AD$6:$AD$285,""),IF(_xlpm.x=0,"",_xlpm.x)))</f>
        <v/>
      </c>
      <c r="L66" s="221"/>
    </row>
    <row r="67" spans="1:12" x14ac:dyDescent="0.35">
      <c r="A67" s="219">
        <v>63</v>
      </c>
      <c r="B67" s="70"/>
      <c r="C67" s="74" t="str">
        <f>IFERROR(VLOOKUP(B67,'04. Products &amp; Services'!$B$6:$E$50,4,FALSE),"")</f>
        <v/>
      </c>
      <c r="D67" s="72"/>
      <c r="E67" s="67"/>
      <c r="F67" s="72"/>
      <c r="G67" s="72"/>
      <c r="H67" s="72"/>
      <c r="I67" s="67"/>
      <c r="J67" s="152" t="str">
        <f>IF($B67="","",_xlfn.LET(_xlpm.x,_xlfn.XLOOKUP($B67,'07. BIA'!$F$6:$F$285,'07. BIA'!$AA$6:$AA$285,""),IF(_xlpm.x=0,"",_xlpm.x)))</f>
        <v/>
      </c>
      <c r="K67" s="152" t="str">
        <f>IF($B67="","",_xlfn.LET(_xlpm.x,_xlfn.XLOOKUP($B67,'07. BIA'!$F$6:$F$285,'07. BIA'!$AD$6:$AD$285,""),IF(_xlpm.x=0,"",_xlpm.x)))</f>
        <v/>
      </c>
      <c r="L67" s="221"/>
    </row>
    <row r="68" spans="1:12" x14ac:dyDescent="0.35">
      <c r="A68" s="219">
        <v>64</v>
      </c>
      <c r="B68" s="70"/>
      <c r="C68" s="74" t="str">
        <f>IFERROR(VLOOKUP(B68,'04. Products &amp; Services'!$B$6:$E$50,4,FALSE),"")</f>
        <v/>
      </c>
      <c r="D68" s="72"/>
      <c r="E68" s="67"/>
      <c r="F68" s="72"/>
      <c r="G68" s="72"/>
      <c r="H68" s="72"/>
      <c r="I68" s="67"/>
      <c r="J68" s="152" t="str">
        <f>IF($B68="","",_xlfn.LET(_xlpm.x,_xlfn.XLOOKUP($B68,'07. BIA'!$F$6:$F$285,'07. BIA'!$AA$6:$AA$285,""),IF(_xlpm.x=0,"",_xlpm.x)))</f>
        <v/>
      </c>
      <c r="K68" s="152" t="str">
        <f>IF($B68="","",_xlfn.LET(_xlpm.x,_xlfn.XLOOKUP($B68,'07. BIA'!$F$6:$F$285,'07. BIA'!$AD$6:$AD$285,""),IF(_xlpm.x=0,"",_xlpm.x)))</f>
        <v/>
      </c>
      <c r="L68" s="221"/>
    </row>
    <row r="69" spans="1:12" x14ac:dyDescent="0.35">
      <c r="A69" s="219">
        <v>65</v>
      </c>
      <c r="B69" s="70"/>
      <c r="C69" s="74" t="str">
        <f>IFERROR(VLOOKUP(B69,'04. Products &amp; Services'!$B$6:$E$50,4,FALSE),"")</f>
        <v/>
      </c>
      <c r="D69" s="72"/>
      <c r="E69" s="67"/>
      <c r="F69" s="72"/>
      <c r="G69" s="72"/>
      <c r="H69" s="72"/>
      <c r="I69" s="67"/>
      <c r="J69" s="152" t="str">
        <f>IF($B69="","",_xlfn.LET(_xlpm.x,_xlfn.XLOOKUP($B69,'07. BIA'!$F$6:$F$285,'07. BIA'!$AA$6:$AA$285,""),IF(_xlpm.x=0,"",_xlpm.x)))</f>
        <v/>
      </c>
      <c r="K69" s="152" t="str">
        <f>IF($B69="","",_xlfn.LET(_xlpm.x,_xlfn.XLOOKUP($B69,'07. BIA'!$F$6:$F$285,'07. BIA'!$AD$6:$AD$285,""),IF(_xlpm.x=0,"",_xlpm.x)))</f>
        <v/>
      </c>
      <c r="L69" s="221"/>
    </row>
    <row r="70" spans="1:12" x14ac:dyDescent="0.35">
      <c r="A70" s="219">
        <v>66</v>
      </c>
      <c r="B70" s="70"/>
      <c r="C70" s="74" t="str">
        <f>IFERROR(VLOOKUP(B70,'04. Products &amp; Services'!$B$6:$E$50,4,FALSE),"")</f>
        <v/>
      </c>
      <c r="D70" s="72"/>
      <c r="E70" s="67"/>
      <c r="F70" s="72"/>
      <c r="G70" s="72"/>
      <c r="H70" s="72"/>
      <c r="I70" s="67"/>
      <c r="J70" s="152" t="str">
        <f>IF($B70="","",_xlfn.LET(_xlpm.x,_xlfn.XLOOKUP($B70,'07. BIA'!$F$6:$F$285,'07. BIA'!$AA$6:$AA$285,""),IF(_xlpm.x=0,"",_xlpm.x)))</f>
        <v/>
      </c>
      <c r="K70" s="152" t="str">
        <f>IF($B70="","",_xlfn.LET(_xlpm.x,_xlfn.XLOOKUP($B70,'07. BIA'!$F$6:$F$285,'07. BIA'!$AD$6:$AD$285,""),IF(_xlpm.x=0,"",_xlpm.x)))</f>
        <v/>
      </c>
      <c r="L70" s="221"/>
    </row>
    <row r="71" spans="1:12" x14ac:dyDescent="0.35">
      <c r="A71" s="219">
        <v>67</v>
      </c>
      <c r="B71" s="70"/>
      <c r="C71" s="74" t="str">
        <f>IFERROR(VLOOKUP(B71,'04. Products &amp; Services'!$B$6:$E$50,4,FALSE),"")</f>
        <v/>
      </c>
      <c r="D71" s="72"/>
      <c r="E71" s="67"/>
      <c r="F71" s="72"/>
      <c r="G71" s="72"/>
      <c r="H71" s="72"/>
      <c r="I71" s="67"/>
      <c r="J71" s="152" t="str">
        <f>IF($B71="","",_xlfn.LET(_xlpm.x,_xlfn.XLOOKUP($B71,'07. BIA'!$F$6:$F$285,'07. BIA'!$AA$6:$AA$285,""),IF(_xlpm.x=0,"",_xlpm.x)))</f>
        <v/>
      </c>
      <c r="K71" s="152" t="str">
        <f>IF($B71="","",_xlfn.LET(_xlpm.x,_xlfn.XLOOKUP($B71,'07. BIA'!$F$6:$F$285,'07. BIA'!$AD$6:$AD$285,""),IF(_xlpm.x=0,"",_xlpm.x)))</f>
        <v/>
      </c>
      <c r="L71" s="221"/>
    </row>
    <row r="72" spans="1:12" x14ac:dyDescent="0.35">
      <c r="A72" s="219">
        <v>68</v>
      </c>
      <c r="B72" s="70"/>
      <c r="C72" s="74" t="str">
        <f>IFERROR(VLOOKUP(B72,'04. Products &amp; Services'!$B$6:$E$50,4,FALSE),"")</f>
        <v/>
      </c>
      <c r="D72" s="72"/>
      <c r="E72" s="67"/>
      <c r="F72" s="72"/>
      <c r="G72" s="72"/>
      <c r="H72" s="72"/>
      <c r="I72" s="67"/>
      <c r="J72" s="152" t="str">
        <f>IF($B72="","",_xlfn.LET(_xlpm.x,_xlfn.XLOOKUP($B72,'07. BIA'!$F$6:$F$285,'07. BIA'!$AA$6:$AA$285,""),IF(_xlpm.x=0,"",_xlpm.x)))</f>
        <v/>
      </c>
      <c r="K72" s="152" t="str">
        <f>IF($B72="","",_xlfn.LET(_xlpm.x,_xlfn.XLOOKUP($B72,'07. BIA'!$F$6:$F$285,'07. BIA'!$AD$6:$AD$285,""),IF(_xlpm.x=0,"",_xlpm.x)))</f>
        <v/>
      </c>
      <c r="L72" s="221"/>
    </row>
    <row r="73" spans="1:12" x14ac:dyDescent="0.35">
      <c r="A73" s="219">
        <v>69</v>
      </c>
      <c r="B73" s="70"/>
      <c r="C73" s="74" t="str">
        <f>IFERROR(VLOOKUP(B73,'04. Products &amp; Services'!$B$6:$E$50,4,FALSE),"")</f>
        <v/>
      </c>
      <c r="D73" s="72"/>
      <c r="E73" s="67"/>
      <c r="F73" s="72"/>
      <c r="G73" s="72"/>
      <c r="H73" s="72"/>
      <c r="I73" s="67"/>
      <c r="J73" s="152" t="str">
        <f>IF($B73="","",_xlfn.LET(_xlpm.x,_xlfn.XLOOKUP($B73,'07. BIA'!$F$6:$F$285,'07. BIA'!$AA$6:$AA$285,""),IF(_xlpm.x=0,"",_xlpm.x)))</f>
        <v/>
      </c>
      <c r="K73" s="152" t="str">
        <f>IF($B73="","",_xlfn.LET(_xlpm.x,_xlfn.XLOOKUP($B73,'07. BIA'!$F$6:$F$285,'07. BIA'!$AD$6:$AD$285,""),IF(_xlpm.x=0,"",_xlpm.x)))</f>
        <v/>
      </c>
      <c r="L73" s="221"/>
    </row>
    <row r="74" spans="1:12" x14ac:dyDescent="0.35">
      <c r="A74" s="219">
        <v>70</v>
      </c>
      <c r="B74" s="70"/>
      <c r="C74" s="74" t="str">
        <f>IFERROR(VLOOKUP(B74,'04. Products &amp; Services'!$B$6:$E$50,4,FALSE),"")</f>
        <v/>
      </c>
      <c r="D74" s="72"/>
      <c r="E74" s="67"/>
      <c r="F74" s="72"/>
      <c r="G74" s="72"/>
      <c r="H74" s="72"/>
      <c r="I74" s="67"/>
      <c r="J74" s="152" t="str">
        <f>IF($B74="","",_xlfn.LET(_xlpm.x,_xlfn.XLOOKUP($B74,'07. BIA'!$F$6:$F$285,'07. BIA'!$AA$6:$AA$285,""),IF(_xlpm.x=0,"",_xlpm.x)))</f>
        <v/>
      </c>
      <c r="K74" s="152" t="str">
        <f>IF($B74="","",_xlfn.LET(_xlpm.x,_xlfn.XLOOKUP($B74,'07. BIA'!$F$6:$F$285,'07. BIA'!$AD$6:$AD$285,""),IF(_xlpm.x=0,"",_xlpm.x)))</f>
        <v/>
      </c>
      <c r="L74" s="221"/>
    </row>
    <row r="75" spans="1:12" x14ac:dyDescent="0.35">
      <c r="A75" s="219">
        <v>71</v>
      </c>
      <c r="B75" s="70"/>
      <c r="C75" s="74" t="str">
        <f>IFERROR(VLOOKUP(B75,'04. Products &amp; Services'!$B$6:$E$50,4,FALSE),"")</f>
        <v/>
      </c>
      <c r="D75" s="72"/>
      <c r="E75" s="67"/>
      <c r="F75" s="72"/>
      <c r="G75" s="72"/>
      <c r="H75" s="72"/>
      <c r="I75" s="67"/>
      <c r="J75" s="152" t="str">
        <f>IF($B75="","",_xlfn.LET(_xlpm.x,_xlfn.XLOOKUP($B75,'07. BIA'!$F$6:$F$285,'07. BIA'!$AA$6:$AA$285,""),IF(_xlpm.x=0,"",_xlpm.x)))</f>
        <v/>
      </c>
      <c r="K75" s="152" t="str">
        <f>IF($B75="","",_xlfn.LET(_xlpm.x,_xlfn.XLOOKUP($B75,'07. BIA'!$F$6:$F$285,'07. BIA'!$AD$6:$AD$285,""),IF(_xlpm.x=0,"",_xlpm.x)))</f>
        <v/>
      </c>
      <c r="L75" s="221"/>
    </row>
    <row r="76" spans="1:12" x14ac:dyDescent="0.35">
      <c r="A76" s="219">
        <v>72</v>
      </c>
      <c r="B76" s="70"/>
      <c r="C76" s="74" t="str">
        <f>IFERROR(VLOOKUP(B76,'04. Products &amp; Services'!$B$6:$E$50,4,FALSE),"")</f>
        <v/>
      </c>
      <c r="D76" s="72"/>
      <c r="E76" s="67"/>
      <c r="F76" s="72"/>
      <c r="G76" s="72"/>
      <c r="H76" s="72"/>
      <c r="I76" s="67"/>
      <c r="J76" s="152" t="str">
        <f>IF($B76="","",_xlfn.LET(_xlpm.x,_xlfn.XLOOKUP($B76,'07. BIA'!$F$6:$F$285,'07. BIA'!$AA$6:$AA$285,""),IF(_xlpm.x=0,"",_xlpm.x)))</f>
        <v/>
      </c>
      <c r="K76" s="152" t="str">
        <f>IF($B76="","",_xlfn.LET(_xlpm.x,_xlfn.XLOOKUP($B76,'07. BIA'!$F$6:$F$285,'07. BIA'!$AD$6:$AD$285,""),IF(_xlpm.x=0,"",_xlpm.x)))</f>
        <v/>
      </c>
      <c r="L76" s="221"/>
    </row>
    <row r="77" spans="1:12" x14ac:dyDescent="0.35">
      <c r="A77" s="219">
        <v>73</v>
      </c>
      <c r="B77" s="70"/>
      <c r="C77" s="74" t="str">
        <f>IFERROR(VLOOKUP(B77,'04. Products &amp; Services'!$B$6:$E$50,4,FALSE),"")</f>
        <v/>
      </c>
      <c r="D77" s="72"/>
      <c r="E77" s="67"/>
      <c r="F77" s="72"/>
      <c r="G77" s="72"/>
      <c r="H77" s="72"/>
      <c r="I77" s="67"/>
      <c r="J77" s="152" t="str">
        <f>IF($B77="","",_xlfn.LET(_xlpm.x,_xlfn.XLOOKUP($B77,'07. BIA'!$F$6:$F$285,'07. BIA'!$AA$6:$AA$285,""),IF(_xlpm.x=0,"",_xlpm.x)))</f>
        <v/>
      </c>
      <c r="K77" s="152" t="str">
        <f>IF($B77="","",_xlfn.LET(_xlpm.x,_xlfn.XLOOKUP($B77,'07. BIA'!$F$6:$F$285,'07. BIA'!$AD$6:$AD$285,""),IF(_xlpm.x=0,"",_xlpm.x)))</f>
        <v/>
      </c>
      <c r="L77" s="221"/>
    </row>
    <row r="78" spans="1:12" x14ac:dyDescent="0.35">
      <c r="A78" s="219">
        <v>74</v>
      </c>
      <c r="B78" s="70"/>
      <c r="C78" s="74" t="str">
        <f>IFERROR(VLOOKUP(B78,'04. Products &amp; Services'!$B$6:$E$50,4,FALSE),"")</f>
        <v/>
      </c>
      <c r="D78" s="72"/>
      <c r="E78" s="67"/>
      <c r="F78" s="72"/>
      <c r="G78" s="72"/>
      <c r="H78" s="72"/>
      <c r="I78" s="67"/>
      <c r="J78" s="152" t="str">
        <f>IF($B78="","",_xlfn.LET(_xlpm.x,_xlfn.XLOOKUP($B78,'07. BIA'!$F$6:$F$285,'07. BIA'!$AA$6:$AA$285,""),IF(_xlpm.x=0,"",_xlpm.x)))</f>
        <v/>
      </c>
      <c r="K78" s="152" t="str">
        <f>IF($B78="","",_xlfn.LET(_xlpm.x,_xlfn.XLOOKUP($B78,'07. BIA'!$F$6:$F$285,'07. BIA'!$AD$6:$AD$285,""),IF(_xlpm.x=0,"",_xlpm.x)))</f>
        <v/>
      </c>
      <c r="L78" s="221"/>
    </row>
    <row r="79" spans="1:12" x14ac:dyDescent="0.35">
      <c r="A79" s="219">
        <v>75</v>
      </c>
      <c r="B79" s="70"/>
      <c r="C79" s="74" t="str">
        <f>IFERROR(VLOOKUP(B79,'04. Products &amp; Services'!$B$6:$E$50,4,FALSE),"")</f>
        <v/>
      </c>
      <c r="D79" s="72"/>
      <c r="E79" s="67"/>
      <c r="F79" s="72"/>
      <c r="G79" s="72"/>
      <c r="H79" s="72"/>
      <c r="I79" s="67"/>
      <c r="J79" s="152" t="str">
        <f>IF($B79="","",_xlfn.LET(_xlpm.x,_xlfn.XLOOKUP($B79,'07. BIA'!$F$6:$F$285,'07. BIA'!$AA$6:$AA$285,""),IF(_xlpm.x=0,"",_xlpm.x)))</f>
        <v/>
      </c>
      <c r="K79" s="152" t="str">
        <f>IF($B79="","",_xlfn.LET(_xlpm.x,_xlfn.XLOOKUP($B79,'07. BIA'!$F$6:$F$285,'07. BIA'!$AD$6:$AD$285,""),IF(_xlpm.x=0,"",_xlpm.x)))</f>
        <v/>
      </c>
      <c r="L79" s="221"/>
    </row>
    <row r="80" spans="1:12" x14ac:dyDescent="0.35">
      <c r="A80" s="219">
        <v>76</v>
      </c>
      <c r="B80" s="70"/>
      <c r="C80" s="74" t="str">
        <f>IFERROR(VLOOKUP(B80,'04. Products &amp; Services'!$B$6:$E$50,4,FALSE),"")</f>
        <v/>
      </c>
      <c r="D80" s="72"/>
      <c r="E80" s="67"/>
      <c r="F80" s="72"/>
      <c r="G80" s="72"/>
      <c r="H80" s="72"/>
      <c r="I80" s="67"/>
      <c r="J80" s="152" t="str">
        <f>IF($B80="","",_xlfn.LET(_xlpm.x,_xlfn.XLOOKUP($B80,'07. BIA'!$F$6:$F$285,'07. BIA'!$AA$6:$AA$285,""),IF(_xlpm.x=0,"",_xlpm.x)))</f>
        <v/>
      </c>
      <c r="K80" s="152" t="str">
        <f>IF($B80="","",_xlfn.LET(_xlpm.x,_xlfn.XLOOKUP($B80,'07. BIA'!$F$6:$F$285,'07. BIA'!$AD$6:$AD$285,""),IF(_xlpm.x=0,"",_xlpm.x)))</f>
        <v/>
      </c>
      <c r="L80" s="221"/>
    </row>
    <row r="81" spans="1:12" x14ac:dyDescent="0.35">
      <c r="A81" s="219">
        <v>77</v>
      </c>
      <c r="B81" s="70"/>
      <c r="C81" s="74" t="str">
        <f>IFERROR(VLOOKUP(B81,'04. Products &amp; Services'!$B$6:$E$50,4,FALSE),"")</f>
        <v/>
      </c>
      <c r="D81" s="72"/>
      <c r="E81" s="67"/>
      <c r="F81" s="72"/>
      <c r="G81" s="72"/>
      <c r="H81" s="72"/>
      <c r="I81" s="67"/>
      <c r="J81" s="152" t="str">
        <f>IF($B81="","",_xlfn.LET(_xlpm.x,_xlfn.XLOOKUP($B81,'07. BIA'!$F$6:$F$285,'07. BIA'!$AA$6:$AA$285,""),IF(_xlpm.x=0,"",_xlpm.x)))</f>
        <v/>
      </c>
      <c r="K81" s="152" t="str">
        <f>IF($B81="","",_xlfn.LET(_xlpm.x,_xlfn.XLOOKUP($B81,'07. BIA'!$F$6:$F$285,'07. BIA'!$AD$6:$AD$285,""),IF(_xlpm.x=0,"",_xlpm.x)))</f>
        <v/>
      </c>
      <c r="L81" s="221"/>
    </row>
    <row r="82" spans="1:12" x14ac:dyDescent="0.35">
      <c r="A82" s="219">
        <v>78</v>
      </c>
      <c r="B82" s="70"/>
      <c r="C82" s="74" t="str">
        <f>IFERROR(VLOOKUP(B82,'04. Products &amp; Services'!$B$6:$E$50,4,FALSE),"")</f>
        <v/>
      </c>
      <c r="D82" s="72"/>
      <c r="E82" s="67"/>
      <c r="F82" s="72"/>
      <c r="G82" s="72"/>
      <c r="H82" s="72"/>
      <c r="I82" s="67"/>
      <c r="J82" s="152" t="str">
        <f>IF($B82="","",_xlfn.LET(_xlpm.x,_xlfn.XLOOKUP($B82,'07. BIA'!$F$6:$F$285,'07. BIA'!$AA$6:$AA$285,""),IF(_xlpm.x=0,"",_xlpm.x)))</f>
        <v/>
      </c>
      <c r="K82" s="152" t="str">
        <f>IF($B82="","",_xlfn.LET(_xlpm.x,_xlfn.XLOOKUP($B82,'07. BIA'!$F$6:$F$285,'07. BIA'!$AD$6:$AD$285,""),IF(_xlpm.x=0,"",_xlpm.x)))</f>
        <v/>
      </c>
      <c r="L82" s="221"/>
    </row>
    <row r="83" spans="1:12" x14ac:dyDescent="0.35">
      <c r="A83" s="219">
        <v>79</v>
      </c>
      <c r="B83" s="70"/>
      <c r="C83" s="74" t="str">
        <f>IFERROR(VLOOKUP(B83,'04. Products &amp; Services'!$B$6:$E$50,4,FALSE),"")</f>
        <v/>
      </c>
      <c r="D83" s="72"/>
      <c r="E83" s="67"/>
      <c r="F83" s="72"/>
      <c r="G83" s="72"/>
      <c r="H83" s="72"/>
      <c r="I83" s="67"/>
      <c r="J83" s="152" t="str">
        <f>IF($B83="","",_xlfn.LET(_xlpm.x,_xlfn.XLOOKUP($B83,'07. BIA'!$F$6:$F$285,'07. BIA'!$AA$6:$AA$285,""),IF(_xlpm.x=0,"",_xlpm.x)))</f>
        <v/>
      </c>
      <c r="K83" s="152" t="str">
        <f>IF($B83="","",_xlfn.LET(_xlpm.x,_xlfn.XLOOKUP($B83,'07. BIA'!$F$6:$F$285,'07. BIA'!$AD$6:$AD$285,""),IF(_xlpm.x=0,"",_xlpm.x)))</f>
        <v/>
      </c>
      <c r="L83" s="221"/>
    </row>
    <row r="84" spans="1:12" x14ac:dyDescent="0.35">
      <c r="A84" s="219">
        <v>80</v>
      </c>
      <c r="B84" s="70"/>
      <c r="C84" s="74" t="str">
        <f>IFERROR(VLOOKUP(B84,'04. Products &amp; Services'!$B$6:$E$50,4,FALSE),"")</f>
        <v/>
      </c>
      <c r="D84" s="72"/>
      <c r="E84" s="67"/>
      <c r="F84" s="72"/>
      <c r="G84" s="72"/>
      <c r="H84" s="72"/>
      <c r="I84" s="67"/>
      <c r="J84" s="152" t="str">
        <f>IF($B84="","",_xlfn.LET(_xlpm.x,_xlfn.XLOOKUP($B84,'07. BIA'!$F$6:$F$285,'07. BIA'!$AA$6:$AA$285,""),IF(_xlpm.x=0,"",_xlpm.x)))</f>
        <v/>
      </c>
      <c r="K84" s="152" t="str">
        <f>IF($B84="","",_xlfn.LET(_xlpm.x,_xlfn.XLOOKUP($B84,'07. BIA'!$F$6:$F$285,'07. BIA'!$AD$6:$AD$285,""),IF(_xlpm.x=0,"",_xlpm.x)))</f>
        <v/>
      </c>
      <c r="L84" s="221"/>
    </row>
    <row r="85" spans="1:12" x14ac:dyDescent="0.35">
      <c r="A85" s="219">
        <v>81</v>
      </c>
      <c r="B85" s="70"/>
      <c r="C85" s="74" t="str">
        <f>IFERROR(VLOOKUP(B85,'04. Products &amp; Services'!$B$6:$E$50,4,FALSE),"")</f>
        <v/>
      </c>
      <c r="D85" s="72"/>
      <c r="E85" s="67"/>
      <c r="F85" s="72"/>
      <c r="G85" s="72"/>
      <c r="H85" s="72"/>
      <c r="I85" s="67"/>
      <c r="J85" s="152" t="str">
        <f>IF($B85="","",_xlfn.LET(_xlpm.x,_xlfn.XLOOKUP($B85,'07. BIA'!$F$6:$F$285,'07. BIA'!$AA$6:$AA$285,""),IF(_xlpm.x=0,"",_xlpm.x)))</f>
        <v/>
      </c>
      <c r="K85" s="152" t="str">
        <f>IF($B85="","",_xlfn.LET(_xlpm.x,_xlfn.XLOOKUP($B85,'07. BIA'!$F$6:$F$285,'07. BIA'!$AD$6:$AD$285,""),IF(_xlpm.x=0,"",_xlpm.x)))</f>
        <v/>
      </c>
      <c r="L85" s="221"/>
    </row>
    <row r="86" spans="1:12" x14ac:dyDescent="0.35">
      <c r="A86" s="219">
        <v>82</v>
      </c>
      <c r="B86" s="70"/>
      <c r="C86" s="74" t="str">
        <f>IFERROR(VLOOKUP(B86,'04. Products &amp; Services'!$B$6:$E$50,4,FALSE),"")</f>
        <v/>
      </c>
      <c r="D86" s="72"/>
      <c r="E86" s="67"/>
      <c r="F86" s="72"/>
      <c r="G86" s="72"/>
      <c r="H86" s="72"/>
      <c r="I86" s="67"/>
      <c r="J86" s="152" t="str">
        <f>IF($B86="","",_xlfn.LET(_xlpm.x,_xlfn.XLOOKUP($B86,'07. BIA'!$F$6:$F$285,'07. BIA'!$AA$6:$AA$285,""),IF(_xlpm.x=0,"",_xlpm.x)))</f>
        <v/>
      </c>
      <c r="K86" s="152" t="str">
        <f>IF($B86="","",_xlfn.LET(_xlpm.x,_xlfn.XLOOKUP($B86,'07. BIA'!$F$6:$F$285,'07. BIA'!$AD$6:$AD$285,""),IF(_xlpm.x=0,"",_xlpm.x)))</f>
        <v/>
      </c>
      <c r="L86" s="221"/>
    </row>
    <row r="87" spans="1:12" x14ac:dyDescent="0.35">
      <c r="A87" s="219">
        <v>83</v>
      </c>
      <c r="B87" s="70"/>
      <c r="C87" s="74" t="str">
        <f>IFERROR(VLOOKUP(B87,'04. Products &amp; Services'!$B$6:$E$50,4,FALSE),"")</f>
        <v/>
      </c>
      <c r="D87" s="72"/>
      <c r="E87" s="67"/>
      <c r="F87" s="72"/>
      <c r="G87" s="72"/>
      <c r="H87" s="72"/>
      <c r="I87" s="67"/>
      <c r="J87" s="152" t="str">
        <f>IF($B87="","",_xlfn.LET(_xlpm.x,_xlfn.XLOOKUP($B87,'07. BIA'!$F$6:$F$285,'07. BIA'!$AA$6:$AA$285,""),IF(_xlpm.x=0,"",_xlpm.x)))</f>
        <v/>
      </c>
      <c r="K87" s="152" t="str">
        <f>IF($B87="","",_xlfn.LET(_xlpm.x,_xlfn.XLOOKUP($B87,'07. BIA'!$F$6:$F$285,'07. BIA'!$AD$6:$AD$285,""),IF(_xlpm.x=0,"",_xlpm.x)))</f>
        <v/>
      </c>
      <c r="L87" s="221"/>
    </row>
    <row r="88" spans="1:12" x14ac:dyDescent="0.35">
      <c r="A88" s="219">
        <v>84</v>
      </c>
      <c r="B88" s="70"/>
      <c r="C88" s="74" t="str">
        <f>IFERROR(VLOOKUP(B88,'04. Products &amp; Services'!$B$6:$E$50,4,FALSE),"")</f>
        <v/>
      </c>
      <c r="D88" s="72"/>
      <c r="E88" s="67"/>
      <c r="F88" s="72"/>
      <c r="G88" s="72"/>
      <c r="H88" s="72"/>
      <c r="I88" s="67"/>
      <c r="J88" s="152" t="str">
        <f>IF($B88="","",_xlfn.LET(_xlpm.x,_xlfn.XLOOKUP($B88,'07. BIA'!$F$6:$F$285,'07. BIA'!$AA$6:$AA$285,""),IF(_xlpm.x=0,"",_xlpm.x)))</f>
        <v/>
      </c>
      <c r="K88" s="152" t="str">
        <f>IF($B88="","",_xlfn.LET(_xlpm.x,_xlfn.XLOOKUP($B88,'07. BIA'!$F$6:$F$285,'07. BIA'!$AD$6:$AD$285,""),IF(_xlpm.x=0,"",_xlpm.x)))</f>
        <v/>
      </c>
      <c r="L88" s="221"/>
    </row>
    <row r="89" spans="1:12" x14ac:dyDescent="0.35">
      <c r="A89" s="219">
        <v>85</v>
      </c>
      <c r="B89" s="70"/>
      <c r="C89" s="74" t="str">
        <f>IFERROR(VLOOKUP(B89,'04. Products &amp; Services'!$B$6:$E$50,4,FALSE),"")</f>
        <v/>
      </c>
      <c r="D89" s="72"/>
      <c r="E89" s="67"/>
      <c r="F89" s="72"/>
      <c r="G89" s="72"/>
      <c r="H89" s="72"/>
      <c r="I89" s="67"/>
      <c r="J89" s="152" t="str">
        <f>IF($B89="","",_xlfn.LET(_xlpm.x,_xlfn.XLOOKUP($B89,'07. BIA'!$F$6:$F$285,'07. BIA'!$AA$6:$AA$285,""),IF(_xlpm.x=0,"",_xlpm.x)))</f>
        <v/>
      </c>
      <c r="K89" s="152" t="str">
        <f>IF($B89="","",_xlfn.LET(_xlpm.x,_xlfn.XLOOKUP($B89,'07. BIA'!$F$6:$F$285,'07. BIA'!$AD$6:$AD$285,""),IF(_xlpm.x=0,"",_xlpm.x)))</f>
        <v/>
      </c>
      <c r="L89" s="221"/>
    </row>
    <row r="90" spans="1:12" x14ac:dyDescent="0.35">
      <c r="A90" s="219">
        <v>86</v>
      </c>
      <c r="B90" s="70"/>
      <c r="C90" s="74" t="str">
        <f>IFERROR(VLOOKUP(B90,'04. Products &amp; Services'!$B$6:$E$50,4,FALSE),"")</f>
        <v/>
      </c>
      <c r="D90" s="72"/>
      <c r="E90" s="67"/>
      <c r="F90" s="72"/>
      <c r="G90" s="72"/>
      <c r="H90" s="72"/>
      <c r="I90" s="67"/>
      <c r="J90" s="152" t="str">
        <f>IF($B90="","",_xlfn.LET(_xlpm.x,_xlfn.XLOOKUP($B90,'07. BIA'!$F$6:$F$285,'07. BIA'!$AA$6:$AA$285,""),IF(_xlpm.x=0,"",_xlpm.x)))</f>
        <v/>
      </c>
      <c r="K90" s="152" t="str">
        <f>IF($B90="","",_xlfn.LET(_xlpm.x,_xlfn.XLOOKUP($B90,'07. BIA'!$F$6:$F$285,'07. BIA'!$AD$6:$AD$285,""),IF(_xlpm.x=0,"",_xlpm.x)))</f>
        <v/>
      </c>
      <c r="L90" s="221"/>
    </row>
    <row r="91" spans="1:12" x14ac:dyDescent="0.35">
      <c r="A91" s="219">
        <v>87</v>
      </c>
      <c r="B91" s="70"/>
      <c r="C91" s="74" t="str">
        <f>IFERROR(VLOOKUP(B91,'04. Products &amp; Services'!$B$6:$E$50,4,FALSE),"")</f>
        <v/>
      </c>
      <c r="D91" s="72"/>
      <c r="E91" s="67"/>
      <c r="F91" s="72"/>
      <c r="G91" s="72"/>
      <c r="H91" s="72"/>
      <c r="I91" s="67"/>
      <c r="J91" s="152" t="str">
        <f>IF($B91="","",_xlfn.LET(_xlpm.x,_xlfn.XLOOKUP($B91,'07. BIA'!$F$6:$F$285,'07. BIA'!$AA$6:$AA$285,""),IF(_xlpm.x=0,"",_xlpm.x)))</f>
        <v/>
      </c>
      <c r="K91" s="152" t="str">
        <f>IF($B91="","",_xlfn.LET(_xlpm.x,_xlfn.XLOOKUP($B91,'07. BIA'!$F$6:$F$285,'07. BIA'!$AD$6:$AD$285,""),IF(_xlpm.x=0,"",_xlpm.x)))</f>
        <v/>
      </c>
      <c r="L91" s="221"/>
    </row>
    <row r="92" spans="1:12" x14ac:dyDescent="0.35">
      <c r="A92" s="219">
        <v>88</v>
      </c>
      <c r="B92" s="70"/>
      <c r="C92" s="74" t="str">
        <f>IFERROR(VLOOKUP(B92,'04. Products &amp; Services'!$B$6:$E$50,4,FALSE),"")</f>
        <v/>
      </c>
      <c r="D92" s="72"/>
      <c r="E92" s="67"/>
      <c r="F92" s="72"/>
      <c r="G92" s="72"/>
      <c r="H92" s="72"/>
      <c r="I92" s="67"/>
      <c r="J92" s="152" t="str">
        <f>IF($B92="","",_xlfn.LET(_xlpm.x,_xlfn.XLOOKUP($B92,'07. BIA'!$F$6:$F$285,'07. BIA'!$AA$6:$AA$285,""),IF(_xlpm.x=0,"",_xlpm.x)))</f>
        <v/>
      </c>
      <c r="K92" s="152" t="str">
        <f>IF($B92="","",_xlfn.LET(_xlpm.x,_xlfn.XLOOKUP($B92,'07. BIA'!$F$6:$F$285,'07. BIA'!$AD$6:$AD$285,""),IF(_xlpm.x=0,"",_xlpm.x)))</f>
        <v/>
      </c>
      <c r="L92" s="221"/>
    </row>
    <row r="93" spans="1:12" x14ac:dyDescent="0.35">
      <c r="A93" s="219">
        <v>89</v>
      </c>
      <c r="B93" s="70"/>
      <c r="C93" s="74" t="str">
        <f>IFERROR(VLOOKUP(B93,'04. Products &amp; Services'!$B$6:$E$50,4,FALSE),"")</f>
        <v/>
      </c>
      <c r="D93" s="72"/>
      <c r="E93" s="67"/>
      <c r="F93" s="72"/>
      <c r="G93" s="72"/>
      <c r="H93" s="72"/>
      <c r="I93" s="67"/>
      <c r="J93" s="152" t="str">
        <f>IF($B93="","",_xlfn.LET(_xlpm.x,_xlfn.XLOOKUP($B93,'07. BIA'!$F$6:$F$285,'07. BIA'!$AA$6:$AA$285,""),IF(_xlpm.x=0,"",_xlpm.x)))</f>
        <v/>
      </c>
      <c r="K93" s="152" t="str">
        <f>IF($B93="","",_xlfn.LET(_xlpm.x,_xlfn.XLOOKUP($B93,'07. BIA'!$F$6:$F$285,'07. BIA'!$AD$6:$AD$285,""),IF(_xlpm.x=0,"",_xlpm.x)))</f>
        <v/>
      </c>
      <c r="L93" s="221"/>
    </row>
    <row r="94" spans="1:12" x14ac:dyDescent="0.35">
      <c r="A94" s="219">
        <v>90</v>
      </c>
      <c r="B94" s="70"/>
      <c r="C94" s="74" t="str">
        <f>IFERROR(VLOOKUP(B94,'04. Products &amp; Services'!$B$6:$E$50,4,FALSE),"")</f>
        <v/>
      </c>
      <c r="D94" s="72"/>
      <c r="E94" s="67"/>
      <c r="F94" s="72"/>
      <c r="G94" s="72"/>
      <c r="H94" s="72"/>
      <c r="I94" s="67"/>
      <c r="J94" s="152" t="str">
        <f>IF($B94="","",_xlfn.LET(_xlpm.x,_xlfn.XLOOKUP($B94,'07. BIA'!$F$6:$F$285,'07. BIA'!$AA$6:$AA$285,""),IF(_xlpm.x=0,"",_xlpm.x)))</f>
        <v/>
      </c>
      <c r="K94" s="152" t="str">
        <f>IF($B94="","",_xlfn.LET(_xlpm.x,_xlfn.XLOOKUP($B94,'07. BIA'!$F$6:$F$285,'07. BIA'!$AD$6:$AD$285,""),IF(_xlpm.x=0,"",_xlpm.x)))</f>
        <v/>
      </c>
      <c r="L94" s="221"/>
    </row>
    <row r="95" spans="1:12" x14ac:dyDescent="0.35">
      <c r="A95" s="219">
        <v>91</v>
      </c>
      <c r="B95" s="70"/>
      <c r="C95" s="74" t="str">
        <f>IFERROR(VLOOKUP(B95,'04. Products &amp; Services'!$B$6:$E$50,4,FALSE),"")</f>
        <v/>
      </c>
      <c r="D95" s="72"/>
      <c r="E95" s="67"/>
      <c r="F95" s="72"/>
      <c r="G95" s="72"/>
      <c r="H95" s="72"/>
      <c r="I95" s="67"/>
      <c r="J95" s="152" t="str">
        <f>IF($B95="","",_xlfn.LET(_xlpm.x,_xlfn.XLOOKUP($B95,'07. BIA'!$F$6:$F$285,'07. BIA'!$AA$6:$AA$285,""),IF(_xlpm.x=0,"",_xlpm.x)))</f>
        <v/>
      </c>
      <c r="K95" s="152" t="str">
        <f>IF($B95="","",_xlfn.LET(_xlpm.x,_xlfn.XLOOKUP($B95,'07. BIA'!$F$6:$F$285,'07. BIA'!$AD$6:$AD$285,""),IF(_xlpm.x=0,"",_xlpm.x)))</f>
        <v/>
      </c>
      <c r="L95" s="221"/>
    </row>
    <row r="96" spans="1:12" x14ac:dyDescent="0.35">
      <c r="A96" s="219">
        <v>92</v>
      </c>
      <c r="B96" s="70"/>
      <c r="C96" s="74" t="str">
        <f>IFERROR(VLOOKUP(B96,'04. Products &amp; Services'!$B$6:$E$50,4,FALSE),"")</f>
        <v/>
      </c>
      <c r="D96" s="72"/>
      <c r="E96" s="67"/>
      <c r="F96" s="72"/>
      <c r="G96" s="72"/>
      <c r="H96" s="72"/>
      <c r="I96" s="67"/>
      <c r="J96" s="152" t="str">
        <f>IF($B96="","",_xlfn.LET(_xlpm.x,_xlfn.XLOOKUP($B96,'07. BIA'!$F$6:$F$285,'07. BIA'!$AA$6:$AA$285,""),IF(_xlpm.x=0,"",_xlpm.x)))</f>
        <v/>
      </c>
      <c r="K96" s="152" t="str">
        <f>IF($B96="","",_xlfn.LET(_xlpm.x,_xlfn.XLOOKUP($B96,'07. BIA'!$F$6:$F$285,'07. BIA'!$AD$6:$AD$285,""),IF(_xlpm.x=0,"",_xlpm.x)))</f>
        <v/>
      </c>
      <c r="L96" s="221"/>
    </row>
    <row r="97" spans="1:12" x14ac:dyDescent="0.35">
      <c r="A97" s="219">
        <v>93</v>
      </c>
      <c r="B97" s="70"/>
      <c r="C97" s="74" t="str">
        <f>IFERROR(VLOOKUP(B97,'04. Products &amp; Services'!$B$6:$E$50,4,FALSE),"")</f>
        <v/>
      </c>
      <c r="D97" s="72"/>
      <c r="E97" s="67"/>
      <c r="F97" s="72"/>
      <c r="G97" s="72"/>
      <c r="H97" s="72"/>
      <c r="I97" s="67"/>
      <c r="J97" s="152" t="str">
        <f>IF($B97="","",_xlfn.LET(_xlpm.x,_xlfn.XLOOKUP($B97,'07. BIA'!$F$6:$F$285,'07. BIA'!$AA$6:$AA$285,""),IF(_xlpm.x=0,"",_xlpm.x)))</f>
        <v/>
      </c>
      <c r="K97" s="152" t="str">
        <f>IF($B97="","",_xlfn.LET(_xlpm.x,_xlfn.XLOOKUP($B97,'07. BIA'!$F$6:$F$285,'07. BIA'!$AD$6:$AD$285,""),IF(_xlpm.x=0,"",_xlpm.x)))</f>
        <v/>
      </c>
      <c r="L97" s="221"/>
    </row>
    <row r="98" spans="1:12" x14ac:dyDescent="0.35">
      <c r="A98" s="219">
        <v>94</v>
      </c>
      <c r="B98" s="70"/>
      <c r="C98" s="74" t="str">
        <f>IFERROR(VLOOKUP(B98,'04. Products &amp; Services'!$B$6:$E$50,4,FALSE),"")</f>
        <v/>
      </c>
      <c r="D98" s="72"/>
      <c r="E98" s="67"/>
      <c r="F98" s="72"/>
      <c r="G98" s="72"/>
      <c r="H98" s="72"/>
      <c r="I98" s="67"/>
      <c r="J98" s="152" t="str">
        <f>IF($B98="","",_xlfn.LET(_xlpm.x,_xlfn.XLOOKUP($B98,'07. BIA'!$F$6:$F$285,'07. BIA'!$AA$6:$AA$285,""),IF(_xlpm.x=0,"",_xlpm.x)))</f>
        <v/>
      </c>
      <c r="K98" s="152" t="str">
        <f>IF($B98="","",_xlfn.LET(_xlpm.x,_xlfn.XLOOKUP($B98,'07. BIA'!$F$6:$F$285,'07. BIA'!$AD$6:$AD$285,""),IF(_xlpm.x=0,"",_xlpm.x)))</f>
        <v/>
      </c>
      <c r="L98" s="221"/>
    </row>
    <row r="99" spans="1:12" x14ac:dyDescent="0.35">
      <c r="A99" s="219">
        <v>95</v>
      </c>
      <c r="B99" s="70"/>
      <c r="C99" s="74" t="str">
        <f>IFERROR(VLOOKUP(B99,'04. Products &amp; Services'!$B$6:$E$50,4,FALSE),"")</f>
        <v/>
      </c>
      <c r="D99" s="72"/>
      <c r="E99" s="67"/>
      <c r="F99" s="72"/>
      <c r="G99" s="72"/>
      <c r="H99" s="72"/>
      <c r="I99" s="67"/>
      <c r="J99" s="152" t="str">
        <f>IF($B99="","",_xlfn.LET(_xlpm.x,_xlfn.XLOOKUP($B99,'07. BIA'!$F$6:$F$285,'07. BIA'!$AA$6:$AA$285,""),IF(_xlpm.x=0,"",_xlpm.x)))</f>
        <v/>
      </c>
      <c r="K99" s="152" t="str">
        <f>IF($B99="","",_xlfn.LET(_xlpm.x,_xlfn.XLOOKUP($B99,'07. BIA'!$F$6:$F$285,'07. BIA'!$AD$6:$AD$285,""),IF(_xlpm.x=0,"",_xlpm.x)))</f>
        <v/>
      </c>
      <c r="L99" s="221"/>
    </row>
    <row r="100" spans="1:12" x14ac:dyDescent="0.35">
      <c r="A100" s="219">
        <v>96</v>
      </c>
      <c r="B100" s="70"/>
      <c r="C100" s="74" t="str">
        <f>IFERROR(VLOOKUP(B100,'04. Products &amp; Services'!$B$6:$E$50,4,FALSE),"")</f>
        <v/>
      </c>
      <c r="D100" s="72"/>
      <c r="E100" s="67"/>
      <c r="F100" s="72"/>
      <c r="G100" s="72"/>
      <c r="H100" s="72"/>
      <c r="I100" s="67"/>
      <c r="J100" s="152" t="str">
        <f>IF($B100="","",_xlfn.LET(_xlpm.x,_xlfn.XLOOKUP($B100,'07. BIA'!$F$6:$F$285,'07. BIA'!$AA$6:$AA$285,""),IF(_xlpm.x=0,"",_xlpm.x)))</f>
        <v/>
      </c>
      <c r="K100" s="152" t="str">
        <f>IF($B100="","",_xlfn.LET(_xlpm.x,_xlfn.XLOOKUP($B100,'07. BIA'!$F$6:$F$285,'07. BIA'!$AD$6:$AD$285,""),IF(_xlpm.x=0,"",_xlpm.x)))</f>
        <v/>
      </c>
      <c r="L100" s="221"/>
    </row>
    <row r="101" spans="1:12" x14ac:dyDescent="0.35">
      <c r="A101" s="219">
        <v>97</v>
      </c>
      <c r="B101" s="70"/>
      <c r="C101" s="74" t="str">
        <f>IFERROR(VLOOKUP(B101,'04. Products &amp; Services'!$B$6:$E$50,4,FALSE),"")</f>
        <v/>
      </c>
      <c r="D101" s="72"/>
      <c r="E101" s="67"/>
      <c r="F101" s="72"/>
      <c r="G101" s="72"/>
      <c r="H101" s="72"/>
      <c r="I101" s="67"/>
      <c r="J101" s="152" t="str">
        <f>IF($B101="","",_xlfn.LET(_xlpm.x,_xlfn.XLOOKUP($B101,'07. BIA'!$F$6:$F$285,'07. BIA'!$AA$6:$AA$285,""),IF(_xlpm.x=0,"",_xlpm.x)))</f>
        <v/>
      </c>
      <c r="K101" s="152" t="str">
        <f>IF($B101="","",_xlfn.LET(_xlpm.x,_xlfn.XLOOKUP($B101,'07. BIA'!$F$6:$F$285,'07. BIA'!$AD$6:$AD$285,""),IF(_xlpm.x=0,"",_xlpm.x)))</f>
        <v/>
      </c>
      <c r="L101" s="221"/>
    </row>
    <row r="102" spans="1:12" x14ac:dyDescent="0.35">
      <c r="A102" s="219">
        <v>98</v>
      </c>
      <c r="B102" s="70"/>
      <c r="C102" s="74" t="str">
        <f>IFERROR(VLOOKUP(B102,'04. Products &amp; Services'!$B$6:$E$50,4,FALSE),"")</f>
        <v/>
      </c>
      <c r="D102" s="72"/>
      <c r="E102" s="67"/>
      <c r="F102" s="72"/>
      <c r="G102" s="72"/>
      <c r="H102" s="72"/>
      <c r="I102" s="67"/>
      <c r="J102" s="152" t="str">
        <f>IF($B102="","",_xlfn.LET(_xlpm.x,_xlfn.XLOOKUP($B102,'07. BIA'!$F$6:$F$285,'07. BIA'!$AA$6:$AA$285,""),IF(_xlpm.x=0,"",_xlpm.x)))</f>
        <v/>
      </c>
      <c r="K102" s="152" t="str">
        <f>IF($B102="","",_xlfn.LET(_xlpm.x,_xlfn.XLOOKUP($B102,'07. BIA'!$F$6:$F$285,'07. BIA'!$AD$6:$AD$285,""),IF(_xlpm.x=0,"",_xlpm.x)))</f>
        <v/>
      </c>
      <c r="L102" s="221"/>
    </row>
    <row r="103" spans="1:12" x14ac:dyDescent="0.35">
      <c r="A103" s="219">
        <v>99</v>
      </c>
      <c r="B103" s="70"/>
      <c r="C103" s="74" t="str">
        <f>IFERROR(VLOOKUP(B103,'04. Products &amp; Services'!$B$6:$E$50,4,FALSE),"")</f>
        <v/>
      </c>
      <c r="D103" s="72"/>
      <c r="E103" s="67"/>
      <c r="F103" s="72"/>
      <c r="G103" s="72"/>
      <c r="H103" s="72"/>
      <c r="I103" s="67"/>
      <c r="J103" s="152" t="str">
        <f>IF($B103="","",_xlfn.LET(_xlpm.x,_xlfn.XLOOKUP($B103,'07. BIA'!$F$6:$F$285,'07. BIA'!$AA$6:$AA$285,""),IF(_xlpm.x=0,"",_xlpm.x)))</f>
        <v/>
      </c>
      <c r="K103" s="152" t="str">
        <f>IF($B103="","",_xlfn.LET(_xlpm.x,_xlfn.XLOOKUP($B103,'07. BIA'!$F$6:$F$285,'07. BIA'!$AD$6:$AD$285,""),IF(_xlpm.x=0,"",_xlpm.x)))</f>
        <v/>
      </c>
      <c r="L103" s="221"/>
    </row>
    <row r="104" spans="1:12" x14ac:dyDescent="0.35">
      <c r="A104" s="219">
        <v>100</v>
      </c>
      <c r="B104" s="70"/>
      <c r="C104" s="74" t="str">
        <f>IFERROR(VLOOKUP(B104,'04. Products &amp; Services'!$B$6:$E$50,4,FALSE),"")</f>
        <v/>
      </c>
      <c r="D104" s="72"/>
      <c r="E104" s="67"/>
      <c r="F104" s="72"/>
      <c r="G104" s="72"/>
      <c r="H104" s="72"/>
      <c r="I104" s="67"/>
      <c r="J104" s="152" t="str">
        <f>IF($B104="","",_xlfn.LET(_xlpm.x,_xlfn.XLOOKUP($B104,'07. BIA'!$F$6:$F$285,'07. BIA'!$AA$6:$AA$285,""),IF(_xlpm.x=0,"",_xlpm.x)))</f>
        <v/>
      </c>
      <c r="K104" s="152" t="str">
        <f>IF($B104="","",_xlfn.LET(_xlpm.x,_xlfn.XLOOKUP($B104,'07. BIA'!$F$6:$F$285,'07. BIA'!$AD$6:$AD$285,""),IF(_xlpm.x=0,"",_xlpm.x)))</f>
        <v/>
      </c>
      <c r="L104" s="221"/>
    </row>
    <row r="105" spans="1:12" x14ac:dyDescent="0.35">
      <c r="A105" s="219">
        <v>101</v>
      </c>
      <c r="B105" s="70"/>
      <c r="C105" s="74" t="str">
        <f>IFERROR(VLOOKUP(B105,'04. Products &amp; Services'!$B$6:$E$50,4,FALSE),"")</f>
        <v/>
      </c>
      <c r="D105" s="72"/>
      <c r="E105" s="67"/>
      <c r="F105" s="72"/>
      <c r="G105" s="72"/>
      <c r="H105" s="72"/>
      <c r="I105" s="67"/>
      <c r="J105" s="152" t="str">
        <f>IF($B105="","",_xlfn.LET(_xlpm.x,_xlfn.XLOOKUP($B105,'07. BIA'!$F$6:$F$285,'07. BIA'!$AA$6:$AA$285,""),IF(_xlpm.x=0,"",_xlpm.x)))</f>
        <v/>
      </c>
      <c r="K105" s="152" t="str">
        <f>IF($B105="","",_xlfn.LET(_xlpm.x,_xlfn.XLOOKUP($B105,'07. BIA'!$F$6:$F$285,'07. BIA'!$AD$6:$AD$285,""),IF(_xlpm.x=0,"",_xlpm.x)))</f>
        <v/>
      </c>
      <c r="L105" s="221"/>
    </row>
    <row r="106" spans="1:12" x14ac:dyDescent="0.35">
      <c r="A106" s="219">
        <v>102</v>
      </c>
      <c r="B106" s="70"/>
      <c r="C106" s="74" t="str">
        <f>IFERROR(VLOOKUP(B106,'04. Products &amp; Services'!$B$6:$E$50,4,FALSE),"")</f>
        <v/>
      </c>
      <c r="D106" s="72"/>
      <c r="E106" s="67"/>
      <c r="F106" s="72"/>
      <c r="G106" s="72"/>
      <c r="H106" s="72"/>
      <c r="I106" s="67"/>
      <c r="J106" s="152" t="str">
        <f>IF($B106="","",_xlfn.LET(_xlpm.x,_xlfn.XLOOKUP($B106,'07. BIA'!$F$6:$F$285,'07. BIA'!$AA$6:$AA$285,""),IF(_xlpm.x=0,"",_xlpm.x)))</f>
        <v/>
      </c>
      <c r="K106" s="152" t="str">
        <f>IF($B106="","",_xlfn.LET(_xlpm.x,_xlfn.XLOOKUP($B106,'07. BIA'!$F$6:$F$285,'07. BIA'!$AD$6:$AD$285,""),IF(_xlpm.x=0,"",_xlpm.x)))</f>
        <v/>
      </c>
      <c r="L106" s="221"/>
    </row>
    <row r="107" spans="1:12" x14ac:dyDescent="0.35">
      <c r="A107" s="219">
        <v>103</v>
      </c>
      <c r="B107" s="70"/>
      <c r="C107" s="74" t="str">
        <f>IFERROR(VLOOKUP(B107,'04. Products &amp; Services'!$B$6:$E$50,4,FALSE),"")</f>
        <v/>
      </c>
      <c r="D107" s="72"/>
      <c r="E107" s="67"/>
      <c r="F107" s="72"/>
      <c r="G107" s="72"/>
      <c r="H107" s="72"/>
      <c r="I107" s="67"/>
      <c r="J107" s="152" t="str">
        <f>IF($B107="","",_xlfn.LET(_xlpm.x,_xlfn.XLOOKUP($B107,'07. BIA'!$F$6:$F$285,'07. BIA'!$AA$6:$AA$285,""),IF(_xlpm.x=0,"",_xlpm.x)))</f>
        <v/>
      </c>
      <c r="K107" s="152" t="str">
        <f>IF($B107="","",_xlfn.LET(_xlpm.x,_xlfn.XLOOKUP($B107,'07. BIA'!$F$6:$F$285,'07. BIA'!$AD$6:$AD$285,""),IF(_xlpm.x=0,"",_xlpm.x)))</f>
        <v/>
      </c>
      <c r="L107" s="221"/>
    </row>
    <row r="108" spans="1:12" x14ac:dyDescent="0.35">
      <c r="A108" s="219">
        <v>104</v>
      </c>
      <c r="B108" s="70"/>
      <c r="C108" s="74" t="str">
        <f>IFERROR(VLOOKUP(B108,'04. Products &amp; Services'!$B$6:$E$50,4,FALSE),"")</f>
        <v/>
      </c>
      <c r="D108" s="72"/>
      <c r="E108" s="67"/>
      <c r="F108" s="72"/>
      <c r="G108" s="72"/>
      <c r="H108" s="72"/>
      <c r="I108" s="67"/>
      <c r="J108" s="152" t="str">
        <f>IF($B108="","",_xlfn.LET(_xlpm.x,_xlfn.XLOOKUP($B108,'07. BIA'!$F$6:$F$285,'07. BIA'!$AA$6:$AA$285,""),IF(_xlpm.x=0,"",_xlpm.x)))</f>
        <v/>
      </c>
      <c r="K108" s="152" t="str">
        <f>IF($B108="","",_xlfn.LET(_xlpm.x,_xlfn.XLOOKUP($B108,'07. BIA'!$F$6:$F$285,'07. BIA'!$AD$6:$AD$285,""),IF(_xlpm.x=0,"",_xlpm.x)))</f>
        <v/>
      </c>
      <c r="L108" s="221"/>
    </row>
    <row r="109" spans="1:12" x14ac:dyDescent="0.35">
      <c r="A109" s="219">
        <v>105</v>
      </c>
      <c r="B109" s="70"/>
      <c r="C109" s="74" t="str">
        <f>IFERROR(VLOOKUP(B109,'04. Products &amp; Services'!$B$6:$E$50,4,FALSE),"")</f>
        <v/>
      </c>
      <c r="D109" s="72"/>
      <c r="E109" s="67"/>
      <c r="F109" s="72"/>
      <c r="G109" s="72"/>
      <c r="H109" s="72"/>
      <c r="I109" s="67"/>
      <c r="J109" s="152" t="str">
        <f>IF($B109="","",_xlfn.LET(_xlpm.x,_xlfn.XLOOKUP($B109,'07. BIA'!$F$6:$F$285,'07. BIA'!$AA$6:$AA$285,""),IF(_xlpm.x=0,"",_xlpm.x)))</f>
        <v/>
      </c>
      <c r="K109" s="152" t="str">
        <f>IF($B109="","",_xlfn.LET(_xlpm.x,_xlfn.XLOOKUP($B109,'07. BIA'!$F$6:$F$285,'07. BIA'!$AD$6:$AD$285,""),IF(_xlpm.x=0,"",_xlpm.x)))</f>
        <v/>
      </c>
      <c r="L109" s="221"/>
    </row>
    <row r="110" spans="1:12" x14ac:dyDescent="0.35">
      <c r="A110" s="219">
        <v>106</v>
      </c>
      <c r="B110" s="70"/>
      <c r="C110" s="74" t="str">
        <f>IFERROR(VLOOKUP(B110,'04. Products &amp; Services'!$B$6:$E$50,4,FALSE),"")</f>
        <v/>
      </c>
      <c r="D110" s="72"/>
      <c r="E110" s="67"/>
      <c r="F110" s="72"/>
      <c r="G110" s="72"/>
      <c r="H110" s="72"/>
      <c r="I110" s="67"/>
      <c r="J110" s="152" t="str">
        <f>IF($B110="","",_xlfn.LET(_xlpm.x,_xlfn.XLOOKUP($B110,'07. BIA'!$F$6:$F$285,'07. BIA'!$AA$6:$AA$285,""),IF(_xlpm.x=0,"",_xlpm.x)))</f>
        <v/>
      </c>
      <c r="K110" s="152" t="str">
        <f>IF($B110="","",_xlfn.LET(_xlpm.x,_xlfn.XLOOKUP($B110,'07. BIA'!$F$6:$F$285,'07. BIA'!$AD$6:$AD$285,""),IF(_xlpm.x=0,"",_xlpm.x)))</f>
        <v/>
      </c>
      <c r="L110" s="221"/>
    </row>
    <row r="111" spans="1:12" x14ac:dyDescent="0.35">
      <c r="A111" s="219">
        <v>107</v>
      </c>
      <c r="B111" s="70"/>
      <c r="C111" s="74" t="str">
        <f>IFERROR(VLOOKUP(B111,'04. Products &amp; Services'!$B$6:$E$50,4,FALSE),"")</f>
        <v/>
      </c>
      <c r="D111" s="72"/>
      <c r="E111" s="67"/>
      <c r="F111" s="72"/>
      <c r="G111" s="72"/>
      <c r="H111" s="72"/>
      <c r="I111" s="67"/>
      <c r="J111" s="152" t="str">
        <f>IF($B111="","",_xlfn.LET(_xlpm.x,_xlfn.XLOOKUP($B111,'07. BIA'!$F$6:$F$285,'07. BIA'!$AA$6:$AA$285,""),IF(_xlpm.x=0,"",_xlpm.x)))</f>
        <v/>
      </c>
      <c r="K111" s="152" t="str">
        <f>IF($B111="","",_xlfn.LET(_xlpm.x,_xlfn.XLOOKUP($B111,'07. BIA'!$F$6:$F$285,'07. BIA'!$AD$6:$AD$285,""),IF(_xlpm.x=0,"",_xlpm.x)))</f>
        <v/>
      </c>
      <c r="L111" s="221"/>
    </row>
    <row r="112" spans="1:12" x14ac:dyDescent="0.35">
      <c r="A112" s="219">
        <v>108</v>
      </c>
      <c r="B112" s="70"/>
      <c r="C112" s="74" t="str">
        <f>IFERROR(VLOOKUP(B112,'04. Products &amp; Services'!$B$6:$E$50,4,FALSE),"")</f>
        <v/>
      </c>
      <c r="D112" s="72"/>
      <c r="E112" s="67"/>
      <c r="F112" s="72"/>
      <c r="G112" s="72"/>
      <c r="H112" s="72"/>
      <c r="I112" s="67"/>
      <c r="J112" s="152" t="str">
        <f>IF($B112="","",_xlfn.LET(_xlpm.x,_xlfn.XLOOKUP($B112,'07. BIA'!$F$6:$F$285,'07. BIA'!$AA$6:$AA$285,""),IF(_xlpm.x=0,"",_xlpm.x)))</f>
        <v/>
      </c>
      <c r="K112" s="152" t="str">
        <f>IF($B112="","",_xlfn.LET(_xlpm.x,_xlfn.XLOOKUP($B112,'07. BIA'!$F$6:$F$285,'07. BIA'!$AD$6:$AD$285,""),IF(_xlpm.x=0,"",_xlpm.x)))</f>
        <v/>
      </c>
      <c r="L112" s="221"/>
    </row>
    <row r="113" spans="1:12" x14ac:dyDescent="0.35">
      <c r="A113" s="219">
        <v>109</v>
      </c>
      <c r="B113" s="70"/>
      <c r="C113" s="74" t="str">
        <f>IFERROR(VLOOKUP(B113,'04. Products &amp; Services'!$B$6:$E$50,4,FALSE),"")</f>
        <v/>
      </c>
      <c r="D113" s="72"/>
      <c r="E113" s="67"/>
      <c r="F113" s="72"/>
      <c r="G113" s="72"/>
      <c r="H113" s="72"/>
      <c r="I113" s="67"/>
      <c r="J113" s="152" t="str">
        <f>IF($B113="","",_xlfn.LET(_xlpm.x,_xlfn.XLOOKUP($B113,'07. BIA'!$F$6:$F$285,'07. BIA'!$AA$6:$AA$285,""),IF(_xlpm.x=0,"",_xlpm.x)))</f>
        <v/>
      </c>
      <c r="K113" s="152" t="str">
        <f>IF($B113="","",_xlfn.LET(_xlpm.x,_xlfn.XLOOKUP($B113,'07. BIA'!$F$6:$F$285,'07. BIA'!$AD$6:$AD$285,""),IF(_xlpm.x=0,"",_xlpm.x)))</f>
        <v/>
      </c>
      <c r="L113" s="221"/>
    </row>
    <row r="114" spans="1:12" x14ac:dyDescent="0.35">
      <c r="A114" s="219">
        <v>110</v>
      </c>
      <c r="B114" s="70"/>
      <c r="C114" s="74" t="str">
        <f>IFERROR(VLOOKUP(B114,'04. Products &amp; Services'!$B$6:$E$50,4,FALSE),"")</f>
        <v/>
      </c>
      <c r="D114" s="72"/>
      <c r="E114" s="67"/>
      <c r="F114" s="72"/>
      <c r="G114" s="72"/>
      <c r="H114" s="72"/>
      <c r="I114" s="67"/>
      <c r="J114" s="152" t="str">
        <f>IF($B114="","",_xlfn.LET(_xlpm.x,_xlfn.XLOOKUP($B114,'07. BIA'!$F$6:$F$285,'07. BIA'!$AA$6:$AA$285,""),IF(_xlpm.x=0,"",_xlpm.x)))</f>
        <v/>
      </c>
      <c r="K114" s="152" t="str">
        <f>IF($B114="","",_xlfn.LET(_xlpm.x,_xlfn.XLOOKUP($B114,'07. BIA'!$F$6:$F$285,'07. BIA'!$AD$6:$AD$285,""),IF(_xlpm.x=0,"",_xlpm.x)))</f>
        <v/>
      </c>
      <c r="L114" s="221"/>
    </row>
    <row r="115" spans="1:12" x14ac:dyDescent="0.35">
      <c r="A115" s="219">
        <v>111</v>
      </c>
      <c r="B115" s="70"/>
      <c r="C115" s="74" t="str">
        <f>IFERROR(VLOOKUP(B115,'04. Products &amp; Services'!$B$6:$E$50,4,FALSE),"")</f>
        <v/>
      </c>
      <c r="D115" s="72"/>
      <c r="E115" s="67"/>
      <c r="F115" s="72"/>
      <c r="G115" s="72"/>
      <c r="H115" s="72"/>
      <c r="I115" s="67"/>
      <c r="J115" s="152" t="str">
        <f>IF($B115="","",_xlfn.LET(_xlpm.x,_xlfn.XLOOKUP($B115,'07. BIA'!$F$6:$F$285,'07. BIA'!$AA$6:$AA$285,""),IF(_xlpm.x=0,"",_xlpm.x)))</f>
        <v/>
      </c>
      <c r="K115" s="152" t="str">
        <f>IF($B115="","",_xlfn.LET(_xlpm.x,_xlfn.XLOOKUP($B115,'07. BIA'!$F$6:$F$285,'07. BIA'!$AD$6:$AD$285,""),IF(_xlpm.x=0,"",_xlpm.x)))</f>
        <v/>
      </c>
      <c r="L115" s="221"/>
    </row>
    <row r="116" spans="1:12" x14ac:dyDescent="0.35">
      <c r="A116" s="219">
        <v>112</v>
      </c>
      <c r="B116" s="70"/>
      <c r="C116" s="74" t="str">
        <f>IFERROR(VLOOKUP(B116,'04. Products &amp; Services'!$B$6:$E$50,4,FALSE),"")</f>
        <v/>
      </c>
      <c r="D116" s="72"/>
      <c r="E116" s="67"/>
      <c r="F116" s="72"/>
      <c r="G116" s="72"/>
      <c r="H116" s="72"/>
      <c r="I116" s="67"/>
      <c r="J116" s="152" t="str">
        <f>IF($B116="","",_xlfn.LET(_xlpm.x,_xlfn.XLOOKUP($B116,'07. BIA'!$F$6:$F$285,'07. BIA'!$AA$6:$AA$285,""),IF(_xlpm.x=0,"",_xlpm.x)))</f>
        <v/>
      </c>
      <c r="K116" s="152" t="str">
        <f>IF($B116="","",_xlfn.LET(_xlpm.x,_xlfn.XLOOKUP($B116,'07. BIA'!$F$6:$F$285,'07. BIA'!$AD$6:$AD$285,""),IF(_xlpm.x=0,"",_xlpm.x)))</f>
        <v/>
      </c>
      <c r="L116" s="221"/>
    </row>
    <row r="117" spans="1:12" x14ac:dyDescent="0.35">
      <c r="A117" s="219">
        <v>113</v>
      </c>
      <c r="B117" s="70"/>
      <c r="C117" s="74" t="str">
        <f>IFERROR(VLOOKUP(B117,'04. Products &amp; Services'!$B$6:$E$50,4,FALSE),"")</f>
        <v/>
      </c>
      <c r="D117" s="72"/>
      <c r="E117" s="67"/>
      <c r="F117" s="72"/>
      <c r="G117" s="72"/>
      <c r="H117" s="72"/>
      <c r="I117" s="67"/>
      <c r="J117" s="152" t="str">
        <f>IF($B117="","",_xlfn.LET(_xlpm.x,_xlfn.XLOOKUP($B117,'07. BIA'!$F$6:$F$285,'07. BIA'!$AA$6:$AA$285,""),IF(_xlpm.x=0,"",_xlpm.x)))</f>
        <v/>
      </c>
      <c r="K117" s="152" t="str">
        <f>IF($B117="","",_xlfn.LET(_xlpm.x,_xlfn.XLOOKUP($B117,'07. BIA'!$F$6:$F$285,'07. BIA'!$AD$6:$AD$285,""),IF(_xlpm.x=0,"",_xlpm.x)))</f>
        <v/>
      </c>
      <c r="L117" s="221"/>
    </row>
    <row r="118" spans="1:12" x14ac:dyDescent="0.35">
      <c r="A118" s="219">
        <v>114</v>
      </c>
      <c r="B118" s="70"/>
      <c r="C118" s="74" t="str">
        <f>IFERROR(VLOOKUP(B118,'04. Products &amp; Services'!$B$6:$E$50,4,FALSE),"")</f>
        <v/>
      </c>
      <c r="D118" s="72"/>
      <c r="E118" s="67"/>
      <c r="F118" s="72"/>
      <c r="G118" s="72"/>
      <c r="H118" s="72"/>
      <c r="I118" s="67"/>
      <c r="J118" s="152" t="str">
        <f>IF($B118="","",_xlfn.LET(_xlpm.x,_xlfn.XLOOKUP($B118,'07. BIA'!$F$6:$F$285,'07. BIA'!$AA$6:$AA$285,""),IF(_xlpm.x=0,"",_xlpm.x)))</f>
        <v/>
      </c>
      <c r="K118" s="152" t="str">
        <f>IF($B118="","",_xlfn.LET(_xlpm.x,_xlfn.XLOOKUP($B118,'07. BIA'!$F$6:$F$285,'07. BIA'!$AD$6:$AD$285,""),IF(_xlpm.x=0,"",_xlpm.x)))</f>
        <v/>
      </c>
      <c r="L118" s="221"/>
    </row>
    <row r="119" spans="1:12" x14ac:dyDescent="0.35">
      <c r="A119" s="219">
        <v>115</v>
      </c>
      <c r="B119" s="70"/>
      <c r="C119" s="74" t="str">
        <f>IFERROR(VLOOKUP(B119,'04. Products &amp; Services'!$B$6:$E$50,4,FALSE),"")</f>
        <v/>
      </c>
      <c r="D119" s="72"/>
      <c r="E119" s="67"/>
      <c r="F119" s="72"/>
      <c r="G119" s="72"/>
      <c r="H119" s="72"/>
      <c r="I119" s="67"/>
      <c r="J119" s="152" t="str">
        <f>IF($B119="","",_xlfn.LET(_xlpm.x,_xlfn.XLOOKUP($B119,'07. BIA'!$F$6:$F$285,'07. BIA'!$AA$6:$AA$285,""),IF(_xlpm.x=0,"",_xlpm.x)))</f>
        <v/>
      </c>
      <c r="K119" s="152" t="str">
        <f>IF($B119="","",_xlfn.LET(_xlpm.x,_xlfn.XLOOKUP($B119,'07. BIA'!$F$6:$F$285,'07. BIA'!$AD$6:$AD$285,""),IF(_xlpm.x=0,"",_xlpm.x)))</f>
        <v/>
      </c>
      <c r="L119" s="221"/>
    </row>
    <row r="120" spans="1:12" x14ac:dyDescent="0.35">
      <c r="A120" s="219">
        <v>116</v>
      </c>
      <c r="B120" s="70"/>
      <c r="C120" s="74" t="str">
        <f>IFERROR(VLOOKUP(B120,'04. Products &amp; Services'!$B$6:$E$50,4,FALSE),"")</f>
        <v/>
      </c>
      <c r="D120" s="72"/>
      <c r="E120" s="67"/>
      <c r="F120" s="72"/>
      <c r="G120" s="72"/>
      <c r="H120" s="72"/>
      <c r="I120" s="67"/>
      <c r="J120" s="152" t="str">
        <f>IF($B120="","",_xlfn.LET(_xlpm.x,_xlfn.XLOOKUP($B120,'07. BIA'!$F$6:$F$285,'07. BIA'!$AA$6:$AA$285,""),IF(_xlpm.x=0,"",_xlpm.x)))</f>
        <v/>
      </c>
      <c r="K120" s="152" t="str">
        <f>IF($B120="","",_xlfn.LET(_xlpm.x,_xlfn.XLOOKUP($B120,'07. BIA'!$F$6:$F$285,'07. BIA'!$AD$6:$AD$285,""),IF(_xlpm.x=0,"",_xlpm.x)))</f>
        <v/>
      </c>
      <c r="L120" s="221"/>
    </row>
    <row r="121" spans="1:12" x14ac:dyDescent="0.35">
      <c r="A121" s="219">
        <v>117</v>
      </c>
      <c r="B121" s="70"/>
      <c r="C121" s="74" t="str">
        <f>IFERROR(VLOOKUP(B121,'04. Products &amp; Services'!$B$6:$E$50,4,FALSE),"")</f>
        <v/>
      </c>
      <c r="D121" s="72"/>
      <c r="E121" s="67"/>
      <c r="F121" s="72"/>
      <c r="G121" s="72"/>
      <c r="H121" s="72"/>
      <c r="I121" s="67"/>
      <c r="J121" s="152" t="str">
        <f>IF($B121="","",_xlfn.LET(_xlpm.x,_xlfn.XLOOKUP($B121,'07. BIA'!$F$6:$F$285,'07. BIA'!$AA$6:$AA$285,""),IF(_xlpm.x=0,"",_xlpm.x)))</f>
        <v/>
      </c>
      <c r="K121" s="152" t="str">
        <f>IF($B121="","",_xlfn.LET(_xlpm.x,_xlfn.XLOOKUP($B121,'07. BIA'!$F$6:$F$285,'07. BIA'!$AD$6:$AD$285,""),IF(_xlpm.x=0,"",_xlpm.x)))</f>
        <v/>
      </c>
      <c r="L121" s="221"/>
    </row>
    <row r="122" spans="1:12" x14ac:dyDescent="0.35">
      <c r="A122" s="219">
        <v>118</v>
      </c>
      <c r="B122" s="70"/>
      <c r="C122" s="74" t="str">
        <f>IFERROR(VLOOKUP(B122,'04. Products &amp; Services'!$B$6:$E$50,4,FALSE),"")</f>
        <v/>
      </c>
      <c r="D122" s="72"/>
      <c r="E122" s="67"/>
      <c r="F122" s="72"/>
      <c r="G122" s="72"/>
      <c r="H122" s="72"/>
      <c r="I122" s="67"/>
      <c r="J122" s="152" t="str">
        <f>IF($B122="","",_xlfn.LET(_xlpm.x,_xlfn.XLOOKUP($B122,'07. BIA'!$F$6:$F$285,'07. BIA'!$AA$6:$AA$285,""),IF(_xlpm.x=0,"",_xlpm.x)))</f>
        <v/>
      </c>
      <c r="K122" s="152" t="str">
        <f>IF($B122="","",_xlfn.LET(_xlpm.x,_xlfn.XLOOKUP($B122,'07. BIA'!$F$6:$F$285,'07. BIA'!$AD$6:$AD$285,""),IF(_xlpm.x=0,"",_xlpm.x)))</f>
        <v/>
      </c>
      <c r="L122" s="221"/>
    </row>
    <row r="123" spans="1:12" x14ac:dyDescent="0.35">
      <c r="A123" s="219">
        <v>119</v>
      </c>
      <c r="B123" s="70"/>
      <c r="C123" s="74" t="str">
        <f>IFERROR(VLOOKUP(B123,'04. Products &amp; Services'!$B$6:$E$50,4,FALSE),"")</f>
        <v/>
      </c>
      <c r="D123" s="72"/>
      <c r="E123" s="67"/>
      <c r="F123" s="72"/>
      <c r="G123" s="72"/>
      <c r="H123" s="72"/>
      <c r="I123" s="67"/>
      <c r="J123" s="152" t="str">
        <f>IF($B123="","",_xlfn.LET(_xlpm.x,_xlfn.XLOOKUP($B123,'07. BIA'!$F$6:$F$285,'07. BIA'!$AA$6:$AA$285,""),IF(_xlpm.x=0,"",_xlpm.x)))</f>
        <v/>
      </c>
      <c r="K123" s="152" t="str">
        <f>IF($B123="","",_xlfn.LET(_xlpm.x,_xlfn.XLOOKUP($B123,'07. BIA'!$F$6:$F$285,'07. BIA'!$AD$6:$AD$285,""),IF(_xlpm.x=0,"",_xlpm.x)))</f>
        <v/>
      </c>
      <c r="L123" s="221"/>
    </row>
    <row r="124" spans="1:12" x14ac:dyDescent="0.35">
      <c r="A124" s="219">
        <v>120</v>
      </c>
      <c r="B124" s="70"/>
      <c r="C124" s="74" t="str">
        <f>IFERROR(VLOOKUP(B124,'04. Products &amp; Services'!$B$6:$E$50,4,FALSE),"")</f>
        <v/>
      </c>
      <c r="D124" s="72"/>
      <c r="E124" s="67"/>
      <c r="F124" s="72"/>
      <c r="G124" s="72"/>
      <c r="H124" s="72"/>
      <c r="I124" s="67"/>
      <c r="J124" s="152" t="str">
        <f>IF($B124="","",_xlfn.LET(_xlpm.x,_xlfn.XLOOKUP($B124,'07. BIA'!$F$6:$F$285,'07. BIA'!$AA$6:$AA$285,""),IF(_xlpm.x=0,"",_xlpm.x)))</f>
        <v/>
      </c>
      <c r="K124" s="152" t="str">
        <f>IF($B124="","",_xlfn.LET(_xlpm.x,_xlfn.XLOOKUP($B124,'07. BIA'!$F$6:$F$285,'07. BIA'!$AD$6:$AD$285,""),IF(_xlpm.x=0,"",_xlpm.x)))</f>
        <v/>
      </c>
      <c r="L124" s="221"/>
    </row>
    <row r="125" spans="1:12" x14ac:dyDescent="0.35">
      <c r="A125" s="219">
        <v>121</v>
      </c>
      <c r="B125" s="70"/>
      <c r="C125" s="74" t="str">
        <f>IFERROR(VLOOKUP(B125,'04. Products &amp; Services'!$B$6:$E$50,4,FALSE),"")</f>
        <v/>
      </c>
      <c r="D125" s="72"/>
      <c r="E125" s="67"/>
      <c r="F125" s="72"/>
      <c r="G125" s="72"/>
      <c r="H125" s="72"/>
      <c r="I125" s="67"/>
      <c r="J125" s="152" t="str">
        <f>IF($B125="","",_xlfn.LET(_xlpm.x,_xlfn.XLOOKUP($B125,'07. BIA'!$F$6:$F$285,'07. BIA'!$AA$6:$AA$285,""),IF(_xlpm.x=0,"",_xlpm.x)))</f>
        <v/>
      </c>
      <c r="K125" s="152" t="str">
        <f>IF($B125="","",_xlfn.LET(_xlpm.x,_xlfn.XLOOKUP($B125,'07. BIA'!$F$6:$F$285,'07. BIA'!$AD$6:$AD$285,""),IF(_xlpm.x=0,"",_xlpm.x)))</f>
        <v/>
      </c>
      <c r="L125" s="221"/>
    </row>
    <row r="126" spans="1:12" x14ac:dyDescent="0.35">
      <c r="A126" s="219">
        <v>122</v>
      </c>
      <c r="B126" s="70"/>
      <c r="C126" s="74" t="str">
        <f>IFERROR(VLOOKUP(B126,'04. Products &amp; Services'!$B$6:$E$50,4,FALSE),"")</f>
        <v/>
      </c>
      <c r="D126" s="72"/>
      <c r="E126" s="67"/>
      <c r="F126" s="72"/>
      <c r="G126" s="72"/>
      <c r="H126" s="72"/>
      <c r="I126" s="67"/>
      <c r="J126" s="152" t="str">
        <f>IF($B126="","",_xlfn.LET(_xlpm.x,_xlfn.XLOOKUP($B126,'07. BIA'!$F$6:$F$285,'07. BIA'!$AA$6:$AA$285,""),IF(_xlpm.x=0,"",_xlpm.x)))</f>
        <v/>
      </c>
      <c r="K126" s="152" t="str">
        <f>IF($B126="","",_xlfn.LET(_xlpm.x,_xlfn.XLOOKUP($B126,'07. BIA'!$F$6:$F$285,'07. BIA'!$AD$6:$AD$285,""),IF(_xlpm.x=0,"",_xlpm.x)))</f>
        <v/>
      </c>
      <c r="L126" s="221"/>
    </row>
    <row r="127" spans="1:12" x14ac:dyDescent="0.35">
      <c r="A127" s="219">
        <v>123</v>
      </c>
      <c r="B127" s="70"/>
      <c r="C127" s="74" t="str">
        <f>IFERROR(VLOOKUP(B127,'04. Products &amp; Services'!$B$6:$E$50,4,FALSE),"")</f>
        <v/>
      </c>
      <c r="D127" s="72"/>
      <c r="E127" s="67"/>
      <c r="F127" s="72"/>
      <c r="G127" s="72"/>
      <c r="H127" s="72"/>
      <c r="I127" s="67"/>
      <c r="J127" s="152" t="str">
        <f>IF($B127="","",_xlfn.LET(_xlpm.x,_xlfn.XLOOKUP($B127,'07. BIA'!$F$6:$F$285,'07. BIA'!$AA$6:$AA$285,""),IF(_xlpm.x=0,"",_xlpm.x)))</f>
        <v/>
      </c>
      <c r="K127" s="152" t="str">
        <f>IF($B127="","",_xlfn.LET(_xlpm.x,_xlfn.XLOOKUP($B127,'07. BIA'!$F$6:$F$285,'07. BIA'!$AD$6:$AD$285,""),IF(_xlpm.x=0,"",_xlpm.x)))</f>
        <v/>
      </c>
      <c r="L127" s="221"/>
    </row>
    <row r="128" spans="1:12" x14ac:dyDescent="0.35">
      <c r="A128" s="219">
        <v>124</v>
      </c>
      <c r="B128" s="70"/>
      <c r="C128" s="74" t="str">
        <f>IFERROR(VLOOKUP(B128,'04. Products &amp; Services'!$B$6:$E$50,4,FALSE),"")</f>
        <v/>
      </c>
      <c r="D128" s="72"/>
      <c r="E128" s="67"/>
      <c r="F128" s="72"/>
      <c r="G128" s="72"/>
      <c r="H128" s="72"/>
      <c r="I128" s="67"/>
      <c r="J128" s="152" t="str">
        <f>IF($B128="","",_xlfn.LET(_xlpm.x,_xlfn.XLOOKUP($B128,'07. BIA'!$F$6:$F$285,'07. BIA'!$AA$6:$AA$285,""),IF(_xlpm.x=0,"",_xlpm.x)))</f>
        <v/>
      </c>
      <c r="K128" s="152" t="str">
        <f>IF($B128="","",_xlfn.LET(_xlpm.x,_xlfn.XLOOKUP($B128,'07. BIA'!$F$6:$F$285,'07. BIA'!$AD$6:$AD$285,""),IF(_xlpm.x=0,"",_xlpm.x)))</f>
        <v/>
      </c>
      <c r="L128" s="221"/>
    </row>
    <row r="129" spans="1:12" x14ac:dyDescent="0.35">
      <c r="A129" s="219">
        <v>125</v>
      </c>
      <c r="B129" s="70"/>
      <c r="C129" s="74" t="str">
        <f>IFERROR(VLOOKUP(B129,'04. Products &amp; Services'!$B$6:$E$50,4,FALSE),"")</f>
        <v/>
      </c>
      <c r="D129" s="72"/>
      <c r="E129" s="67"/>
      <c r="F129" s="72"/>
      <c r="G129" s="72"/>
      <c r="H129" s="72"/>
      <c r="I129" s="67"/>
      <c r="J129" s="152" t="str">
        <f>IF($B129="","",_xlfn.LET(_xlpm.x,_xlfn.XLOOKUP($B129,'07. BIA'!$F$6:$F$285,'07. BIA'!$AA$6:$AA$285,""),IF(_xlpm.x=0,"",_xlpm.x)))</f>
        <v/>
      </c>
      <c r="K129" s="152" t="str">
        <f>IF($B129="","",_xlfn.LET(_xlpm.x,_xlfn.XLOOKUP($B129,'07. BIA'!$F$6:$F$285,'07. BIA'!$AD$6:$AD$285,""),IF(_xlpm.x=0,"",_xlpm.x)))</f>
        <v/>
      </c>
      <c r="L129" s="221"/>
    </row>
    <row r="130" spans="1:12" x14ac:dyDescent="0.35">
      <c r="A130" s="219">
        <v>126</v>
      </c>
      <c r="B130" s="70"/>
      <c r="C130" s="74" t="str">
        <f>IFERROR(VLOOKUP(B130,'04. Products &amp; Services'!$B$6:$E$50,4,FALSE),"")</f>
        <v/>
      </c>
      <c r="D130" s="72"/>
      <c r="E130" s="67"/>
      <c r="F130" s="72"/>
      <c r="G130" s="72"/>
      <c r="H130" s="72"/>
      <c r="I130" s="67"/>
      <c r="J130" s="152" t="str">
        <f>IF($B130="","",_xlfn.LET(_xlpm.x,_xlfn.XLOOKUP($B130,'07. BIA'!$F$6:$F$285,'07. BIA'!$AA$6:$AA$285,""),IF(_xlpm.x=0,"",_xlpm.x)))</f>
        <v/>
      </c>
      <c r="K130" s="152" t="str">
        <f>IF($B130="","",_xlfn.LET(_xlpm.x,_xlfn.XLOOKUP($B130,'07. BIA'!$F$6:$F$285,'07. BIA'!$AD$6:$AD$285,""),IF(_xlpm.x=0,"",_xlpm.x)))</f>
        <v/>
      </c>
      <c r="L130" s="221"/>
    </row>
    <row r="131" spans="1:12" x14ac:dyDescent="0.35">
      <c r="A131" s="219">
        <v>127</v>
      </c>
      <c r="B131" s="70"/>
      <c r="C131" s="74" t="str">
        <f>IFERROR(VLOOKUP(B131,'04. Products &amp; Services'!$B$6:$E$50,4,FALSE),"")</f>
        <v/>
      </c>
      <c r="D131" s="72"/>
      <c r="E131" s="67"/>
      <c r="F131" s="72"/>
      <c r="G131" s="72"/>
      <c r="H131" s="72"/>
      <c r="I131" s="67"/>
      <c r="J131" s="152" t="str">
        <f>IF($B131="","",_xlfn.LET(_xlpm.x,_xlfn.XLOOKUP($B131,'07. BIA'!$F$6:$F$285,'07. BIA'!$AA$6:$AA$285,""),IF(_xlpm.x=0,"",_xlpm.x)))</f>
        <v/>
      </c>
      <c r="K131" s="152" t="str">
        <f>IF($B131="","",_xlfn.LET(_xlpm.x,_xlfn.XLOOKUP($B131,'07. BIA'!$F$6:$F$285,'07. BIA'!$AD$6:$AD$285,""),IF(_xlpm.x=0,"",_xlpm.x)))</f>
        <v/>
      </c>
      <c r="L131" s="221"/>
    </row>
    <row r="132" spans="1:12" x14ac:dyDescent="0.35">
      <c r="A132" s="219">
        <v>128</v>
      </c>
      <c r="B132" s="70"/>
      <c r="C132" s="74" t="str">
        <f>IFERROR(VLOOKUP(B132,'04. Products &amp; Services'!$B$6:$E$50,4,FALSE),"")</f>
        <v/>
      </c>
      <c r="D132" s="72"/>
      <c r="E132" s="67"/>
      <c r="F132" s="72"/>
      <c r="G132" s="72"/>
      <c r="H132" s="72"/>
      <c r="I132" s="67"/>
      <c r="J132" s="152" t="str">
        <f>IF($B132="","",_xlfn.LET(_xlpm.x,_xlfn.XLOOKUP($B132,'07. BIA'!$F$6:$F$285,'07. BIA'!$AA$6:$AA$285,""),IF(_xlpm.x=0,"",_xlpm.x)))</f>
        <v/>
      </c>
      <c r="K132" s="152" t="str">
        <f>IF($B132="","",_xlfn.LET(_xlpm.x,_xlfn.XLOOKUP($B132,'07. BIA'!$F$6:$F$285,'07. BIA'!$AD$6:$AD$285,""),IF(_xlpm.x=0,"",_xlpm.x)))</f>
        <v/>
      </c>
      <c r="L132" s="221"/>
    </row>
    <row r="133" spans="1:12" x14ac:dyDescent="0.35">
      <c r="A133" s="219">
        <v>129</v>
      </c>
      <c r="B133" s="70"/>
      <c r="C133" s="74" t="str">
        <f>IFERROR(VLOOKUP(B133,'04. Products &amp; Services'!$B$6:$E$50,4,FALSE),"")</f>
        <v/>
      </c>
      <c r="D133" s="72"/>
      <c r="E133" s="67"/>
      <c r="F133" s="72"/>
      <c r="G133" s="72"/>
      <c r="H133" s="72"/>
      <c r="I133" s="67"/>
      <c r="J133" s="152" t="str">
        <f>IF($B133="","",_xlfn.LET(_xlpm.x,_xlfn.XLOOKUP($B133,'07. BIA'!$F$6:$F$285,'07. BIA'!$AA$6:$AA$285,""),IF(_xlpm.x=0,"",_xlpm.x)))</f>
        <v/>
      </c>
      <c r="K133" s="152" t="str">
        <f>IF($B133="","",_xlfn.LET(_xlpm.x,_xlfn.XLOOKUP($B133,'07. BIA'!$F$6:$F$285,'07. BIA'!$AD$6:$AD$285,""),IF(_xlpm.x=0,"",_xlpm.x)))</f>
        <v/>
      </c>
      <c r="L133" s="221"/>
    </row>
    <row r="134" spans="1:12" x14ac:dyDescent="0.35">
      <c r="A134" s="219">
        <v>130</v>
      </c>
      <c r="B134" s="70"/>
      <c r="C134" s="74" t="str">
        <f>IFERROR(VLOOKUP(B134,'04. Products &amp; Services'!$B$6:$E$50,4,FALSE),"")</f>
        <v/>
      </c>
      <c r="D134" s="72"/>
      <c r="E134" s="67"/>
      <c r="F134" s="72"/>
      <c r="G134" s="72"/>
      <c r="H134" s="72"/>
      <c r="I134" s="67"/>
      <c r="J134" s="152" t="str">
        <f>IF($B134="","",_xlfn.LET(_xlpm.x,_xlfn.XLOOKUP($B134,'07. BIA'!$F$6:$F$285,'07. BIA'!$AA$6:$AA$285,""),IF(_xlpm.x=0,"",_xlpm.x)))</f>
        <v/>
      </c>
      <c r="K134" s="152" t="str">
        <f>IF($B134="","",_xlfn.LET(_xlpm.x,_xlfn.XLOOKUP($B134,'07. BIA'!$F$6:$F$285,'07. BIA'!$AD$6:$AD$285,""),IF(_xlpm.x=0,"",_xlpm.x)))</f>
        <v/>
      </c>
      <c r="L134" s="221"/>
    </row>
    <row r="135" spans="1:12" x14ac:dyDescent="0.35">
      <c r="A135" s="219">
        <v>131</v>
      </c>
      <c r="B135" s="70"/>
      <c r="C135" s="74" t="str">
        <f>IFERROR(VLOOKUP(B135,'04. Products &amp; Services'!$B$6:$E$50,4,FALSE),"")</f>
        <v/>
      </c>
      <c r="D135" s="72"/>
      <c r="E135" s="67"/>
      <c r="F135" s="72"/>
      <c r="G135" s="72"/>
      <c r="H135" s="72"/>
      <c r="I135" s="67"/>
      <c r="J135" s="152" t="str">
        <f>IF($B135="","",_xlfn.LET(_xlpm.x,_xlfn.XLOOKUP($B135,'07. BIA'!$F$6:$F$285,'07. BIA'!$AA$6:$AA$285,""),IF(_xlpm.x=0,"",_xlpm.x)))</f>
        <v/>
      </c>
      <c r="K135" s="152" t="str">
        <f>IF($B135="","",_xlfn.LET(_xlpm.x,_xlfn.XLOOKUP($B135,'07. BIA'!$F$6:$F$285,'07. BIA'!$AD$6:$AD$285,""),IF(_xlpm.x=0,"",_xlpm.x)))</f>
        <v/>
      </c>
      <c r="L135" s="221"/>
    </row>
    <row r="136" spans="1:12" x14ac:dyDescent="0.35">
      <c r="A136" s="219">
        <v>132</v>
      </c>
      <c r="B136" s="70"/>
      <c r="C136" s="74" t="str">
        <f>IFERROR(VLOOKUP(B136,'04. Products &amp; Services'!$B$6:$E$50,4,FALSE),"")</f>
        <v/>
      </c>
      <c r="D136" s="72"/>
      <c r="E136" s="67"/>
      <c r="F136" s="72"/>
      <c r="G136" s="72"/>
      <c r="H136" s="72"/>
      <c r="I136" s="67"/>
      <c r="J136" s="152" t="str">
        <f>IF($B136="","",_xlfn.LET(_xlpm.x,_xlfn.XLOOKUP($B136,'07. BIA'!$F$6:$F$285,'07. BIA'!$AA$6:$AA$285,""),IF(_xlpm.x=0,"",_xlpm.x)))</f>
        <v/>
      </c>
      <c r="K136" s="152" t="str">
        <f>IF($B136="","",_xlfn.LET(_xlpm.x,_xlfn.XLOOKUP($B136,'07. BIA'!$F$6:$F$285,'07. BIA'!$AD$6:$AD$285,""),IF(_xlpm.x=0,"",_xlpm.x)))</f>
        <v/>
      </c>
      <c r="L136" s="221"/>
    </row>
    <row r="137" spans="1:12" x14ac:dyDescent="0.35">
      <c r="A137" s="219">
        <v>133</v>
      </c>
      <c r="B137" s="70"/>
      <c r="C137" s="74" t="str">
        <f>IFERROR(VLOOKUP(B137,'04. Products &amp; Services'!$B$6:$E$50,4,FALSE),"")</f>
        <v/>
      </c>
      <c r="D137" s="72"/>
      <c r="E137" s="67"/>
      <c r="F137" s="72"/>
      <c r="G137" s="72"/>
      <c r="H137" s="72"/>
      <c r="I137" s="67"/>
      <c r="J137" s="152" t="str">
        <f>IF($B137="","",_xlfn.LET(_xlpm.x,_xlfn.XLOOKUP($B137,'07. BIA'!$F$6:$F$285,'07. BIA'!$AA$6:$AA$285,""),IF(_xlpm.x=0,"",_xlpm.x)))</f>
        <v/>
      </c>
      <c r="K137" s="152" t="str">
        <f>IF($B137="","",_xlfn.LET(_xlpm.x,_xlfn.XLOOKUP($B137,'07. BIA'!$F$6:$F$285,'07. BIA'!$AD$6:$AD$285,""),IF(_xlpm.x=0,"",_xlpm.x)))</f>
        <v/>
      </c>
      <c r="L137" s="221"/>
    </row>
    <row r="138" spans="1:12" x14ac:dyDescent="0.35">
      <c r="A138" s="219">
        <v>134</v>
      </c>
      <c r="B138" s="70"/>
      <c r="C138" s="74" t="str">
        <f>IFERROR(VLOOKUP(B138,'04. Products &amp; Services'!$B$6:$E$50,4,FALSE),"")</f>
        <v/>
      </c>
      <c r="D138" s="72"/>
      <c r="E138" s="67"/>
      <c r="F138" s="72"/>
      <c r="G138" s="72"/>
      <c r="H138" s="72"/>
      <c r="I138" s="67"/>
      <c r="J138" s="152" t="str">
        <f>IF($B138="","",_xlfn.LET(_xlpm.x,_xlfn.XLOOKUP($B138,'07. BIA'!$F$6:$F$285,'07. BIA'!$AA$6:$AA$285,""),IF(_xlpm.x=0,"",_xlpm.x)))</f>
        <v/>
      </c>
      <c r="K138" s="152" t="str">
        <f>IF($B138="","",_xlfn.LET(_xlpm.x,_xlfn.XLOOKUP($B138,'07. BIA'!$F$6:$F$285,'07. BIA'!$AD$6:$AD$285,""),IF(_xlpm.x=0,"",_xlpm.x)))</f>
        <v/>
      </c>
      <c r="L138" s="221"/>
    </row>
    <row r="139" spans="1:12" x14ac:dyDescent="0.35">
      <c r="A139" s="219">
        <v>135</v>
      </c>
      <c r="B139" s="70"/>
      <c r="C139" s="74" t="str">
        <f>IFERROR(VLOOKUP(B139,'04. Products &amp; Services'!$B$6:$E$50,4,FALSE),"")</f>
        <v/>
      </c>
      <c r="D139" s="72"/>
      <c r="E139" s="67"/>
      <c r="F139" s="72"/>
      <c r="G139" s="72"/>
      <c r="H139" s="72"/>
      <c r="I139" s="67"/>
      <c r="J139" s="152" t="str">
        <f>IF($B139="","",_xlfn.LET(_xlpm.x,_xlfn.XLOOKUP($B139,'07. BIA'!$F$6:$F$285,'07. BIA'!$AA$6:$AA$285,""),IF(_xlpm.x=0,"",_xlpm.x)))</f>
        <v/>
      </c>
      <c r="K139" s="152" t="str">
        <f>IF($B139="","",_xlfn.LET(_xlpm.x,_xlfn.XLOOKUP($B139,'07. BIA'!$F$6:$F$285,'07. BIA'!$AD$6:$AD$285,""),IF(_xlpm.x=0,"",_xlpm.x)))</f>
        <v/>
      </c>
      <c r="L139" s="221"/>
    </row>
    <row r="140" spans="1:12" x14ac:dyDescent="0.35">
      <c r="A140" s="219">
        <v>136</v>
      </c>
      <c r="B140" s="70"/>
      <c r="C140" s="74" t="str">
        <f>IFERROR(VLOOKUP(B140,'04. Products &amp; Services'!$B$6:$E$50,4,FALSE),"")</f>
        <v/>
      </c>
      <c r="D140" s="72"/>
      <c r="E140" s="67"/>
      <c r="F140" s="72"/>
      <c r="G140" s="72"/>
      <c r="H140" s="72"/>
      <c r="I140" s="67"/>
      <c r="J140" s="152" t="str">
        <f>IF($B140="","",_xlfn.LET(_xlpm.x,_xlfn.XLOOKUP($B140,'07. BIA'!$F$6:$F$285,'07. BIA'!$AA$6:$AA$285,""),IF(_xlpm.x=0,"",_xlpm.x)))</f>
        <v/>
      </c>
      <c r="K140" s="152" t="str">
        <f>IF($B140="","",_xlfn.LET(_xlpm.x,_xlfn.XLOOKUP($B140,'07. BIA'!$F$6:$F$285,'07. BIA'!$AD$6:$AD$285,""),IF(_xlpm.x=0,"",_xlpm.x)))</f>
        <v/>
      </c>
      <c r="L140" s="221"/>
    </row>
    <row r="141" spans="1:12" x14ac:dyDescent="0.35">
      <c r="A141" s="219">
        <v>137</v>
      </c>
      <c r="B141" s="70"/>
      <c r="C141" s="74" t="str">
        <f>IFERROR(VLOOKUP(B141,'04. Products &amp; Services'!$B$6:$E$50,4,FALSE),"")</f>
        <v/>
      </c>
      <c r="D141" s="72"/>
      <c r="E141" s="67"/>
      <c r="F141" s="72"/>
      <c r="G141" s="72"/>
      <c r="H141" s="72"/>
      <c r="I141" s="67"/>
      <c r="J141" s="152" t="str">
        <f>IF($B141="","",_xlfn.LET(_xlpm.x,_xlfn.XLOOKUP($B141,'07. BIA'!$F$6:$F$285,'07. BIA'!$AA$6:$AA$285,""),IF(_xlpm.x=0,"",_xlpm.x)))</f>
        <v/>
      </c>
      <c r="K141" s="152" t="str">
        <f>IF($B141="","",_xlfn.LET(_xlpm.x,_xlfn.XLOOKUP($B141,'07. BIA'!$F$6:$F$285,'07. BIA'!$AD$6:$AD$285,""),IF(_xlpm.x=0,"",_xlpm.x)))</f>
        <v/>
      </c>
      <c r="L141" s="221"/>
    </row>
    <row r="142" spans="1:12" x14ac:dyDescent="0.35">
      <c r="A142" s="219">
        <v>138</v>
      </c>
      <c r="B142" s="70"/>
      <c r="C142" s="74" t="str">
        <f>IFERROR(VLOOKUP(B142,'04. Products &amp; Services'!$B$6:$E$50,4,FALSE),"")</f>
        <v/>
      </c>
      <c r="D142" s="72"/>
      <c r="E142" s="67"/>
      <c r="F142" s="72"/>
      <c r="G142" s="72"/>
      <c r="H142" s="72"/>
      <c r="I142" s="67"/>
      <c r="J142" s="152" t="str">
        <f>IF($B142="","",_xlfn.LET(_xlpm.x,_xlfn.XLOOKUP($B142,'07. BIA'!$F$6:$F$285,'07. BIA'!$AA$6:$AA$285,""),IF(_xlpm.x=0,"",_xlpm.x)))</f>
        <v/>
      </c>
      <c r="K142" s="152" t="str">
        <f>IF($B142="","",_xlfn.LET(_xlpm.x,_xlfn.XLOOKUP($B142,'07. BIA'!$F$6:$F$285,'07. BIA'!$AD$6:$AD$285,""),IF(_xlpm.x=0,"",_xlpm.x)))</f>
        <v/>
      </c>
      <c r="L142" s="221"/>
    </row>
    <row r="143" spans="1:12" x14ac:dyDescent="0.35">
      <c r="A143" s="219">
        <v>139</v>
      </c>
      <c r="B143" s="70"/>
      <c r="C143" s="74" t="str">
        <f>IFERROR(VLOOKUP(B143,'04. Products &amp; Services'!$B$6:$E$50,4,FALSE),"")</f>
        <v/>
      </c>
      <c r="D143" s="72"/>
      <c r="E143" s="67"/>
      <c r="F143" s="72"/>
      <c r="G143" s="72"/>
      <c r="H143" s="72"/>
      <c r="I143" s="67"/>
      <c r="J143" s="152" t="str">
        <f>IF($B143="","",_xlfn.LET(_xlpm.x,_xlfn.XLOOKUP($B143,'07. BIA'!$F$6:$F$285,'07. BIA'!$AA$6:$AA$285,""),IF(_xlpm.x=0,"",_xlpm.x)))</f>
        <v/>
      </c>
      <c r="K143" s="152" t="str">
        <f>IF($B143="","",_xlfn.LET(_xlpm.x,_xlfn.XLOOKUP($B143,'07. BIA'!$F$6:$F$285,'07. BIA'!$AD$6:$AD$285,""),IF(_xlpm.x=0,"",_xlpm.x)))</f>
        <v/>
      </c>
      <c r="L143" s="221"/>
    </row>
    <row r="144" spans="1:12" x14ac:dyDescent="0.35">
      <c r="A144" s="219">
        <v>140</v>
      </c>
      <c r="B144" s="70"/>
      <c r="C144" s="74" t="str">
        <f>IFERROR(VLOOKUP(B144,'04. Products &amp; Services'!$B$6:$E$50,4,FALSE),"")</f>
        <v/>
      </c>
      <c r="D144" s="72"/>
      <c r="E144" s="67"/>
      <c r="F144" s="72"/>
      <c r="G144" s="72"/>
      <c r="H144" s="72"/>
      <c r="I144" s="67"/>
      <c r="J144" s="152" t="str">
        <f>IF($B144="","",_xlfn.LET(_xlpm.x,_xlfn.XLOOKUP($B144,'07. BIA'!$F$6:$F$285,'07. BIA'!$AA$6:$AA$285,""),IF(_xlpm.x=0,"",_xlpm.x)))</f>
        <v/>
      </c>
      <c r="K144" s="152" t="str">
        <f>IF($B144="","",_xlfn.LET(_xlpm.x,_xlfn.XLOOKUP($B144,'07. BIA'!$F$6:$F$285,'07. BIA'!$AD$6:$AD$285,""),IF(_xlpm.x=0,"",_xlpm.x)))</f>
        <v/>
      </c>
      <c r="L144" s="221"/>
    </row>
    <row r="145" spans="1:12" x14ac:dyDescent="0.35">
      <c r="A145" s="219">
        <v>141</v>
      </c>
      <c r="B145" s="70"/>
      <c r="C145" s="74" t="str">
        <f>IFERROR(VLOOKUP(B145,'04. Products &amp; Services'!$B$6:$E$50,4,FALSE),"")</f>
        <v/>
      </c>
      <c r="D145" s="72"/>
      <c r="E145" s="67"/>
      <c r="F145" s="72"/>
      <c r="G145" s="72"/>
      <c r="H145" s="72"/>
      <c r="I145" s="67"/>
      <c r="J145" s="152" t="str">
        <f>IF($B145="","",_xlfn.LET(_xlpm.x,_xlfn.XLOOKUP($B145,'07. BIA'!$F$6:$F$285,'07. BIA'!$AA$6:$AA$285,""),IF(_xlpm.x=0,"",_xlpm.x)))</f>
        <v/>
      </c>
      <c r="K145" s="152" t="str">
        <f>IF($B145="","",_xlfn.LET(_xlpm.x,_xlfn.XLOOKUP($B145,'07. BIA'!$F$6:$F$285,'07. BIA'!$AD$6:$AD$285,""),IF(_xlpm.x=0,"",_xlpm.x)))</f>
        <v/>
      </c>
      <c r="L145" s="221"/>
    </row>
    <row r="146" spans="1:12" x14ac:dyDescent="0.35">
      <c r="A146" s="219">
        <v>142</v>
      </c>
      <c r="B146" s="70"/>
      <c r="C146" s="74" t="str">
        <f>IFERROR(VLOOKUP(B146,'04. Products &amp; Services'!$B$6:$E$50,4,FALSE),"")</f>
        <v/>
      </c>
      <c r="D146" s="72"/>
      <c r="E146" s="67"/>
      <c r="F146" s="72"/>
      <c r="G146" s="72"/>
      <c r="H146" s="72"/>
      <c r="I146" s="67"/>
      <c r="J146" s="152" t="str">
        <f>IF($B146="","",_xlfn.LET(_xlpm.x,_xlfn.XLOOKUP($B146,'07. BIA'!$F$6:$F$285,'07. BIA'!$AA$6:$AA$285,""),IF(_xlpm.x=0,"",_xlpm.x)))</f>
        <v/>
      </c>
      <c r="K146" s="152" t="str">
        <f>IF($B146="","",_xlfn.LET(_xlpm.x,_xlfn.XLOOKUP($B146,'07. BIA'!$F$6:$F$285,'07. BIA'!$AD$6:$AD$285,""),IF(_xlpm.x=0,"",_xlpm.x)))</f>
        <v/>
      </c>
      <c r="L146" s="221"/>
    </row>
    <row r="147" spans="1:12" x14ac:dyDescent="0.35">
      <c r="A147" s="219">
        <v>143</v>
      </c>
      <c r="B147" s="70"/>
      <c r="C147" s="74" t="str">
        <f>IFERROR(VLOOKUP(B147,'04. Products &amp; Services'!$B$6:$E$50,4,FALSE),"")</f>
        <v/>
      </c>
      <c r="D147" s="72"/>
      <c r="E147" s="67"/>
      <c r="F147" s="72"/>
      <c r="G147" s="72"/>
      <c r="H147" s="72"/>
      <c r="I147" s="67"/>
      <c r="J147" s="152" t="str">
        <f>IF($B147="","",_xlfn.LET(_xlpm.x,_xlfn.XLOOKUP($B147,'07. BIA'!$F$6:$F$285,'07. BIA'!$AA$6:$AA$285,""),IF(_xlpm.x=0,"",_xlpm.x)))</f>
        <v/>
      </c>
      <c r="K147" s="152" t="str">
        <f>IF($B147="","",_xlfn.LET(_xlpm.x,_xlfn.XLOOKUP($B147,'07. BIA'!$F$6:$F$285,'07. BIA'!$AD$6:$AD$285,""),IF(_xlpm.x=0,"",_xlpm.x)))</f>
        <v/>
      </c>
      <c r="L147" s="221"/>
    </row>
    <row r="148" spans="1:12" x14ac:dyDescent="0.35">
      <c r="A148" s="219">
        <v>144</v>
      </c>
      <c r="B148" s="70"/>
      <c r="C148" s="74" t="str">
        <f>IFERROR(VLOOKUP(B148,'04. Products &amp; Services'!$B$6:$E$50,4,FALSE),"")</f>
        <v/>
      </c>
      <c r="D148" s="72"/>
      <c r="E148" s="67"/>
      <c r="F148" s="72"/>
      <c r="G148" s="72"/>
      <c r="H148" s="72"/>
      <c r="I148" s="67"/>
      <c r="J148" s="152" t="str">
        <f>IF($B148="","",_xlfn.LET(_xlpm.x,_xlfn.XLOOKUP($B148,'07. BIA'!$F$6:$F$285,'07. BIA'!$AA$6:$AA$285,""),IF(_xlpm.x=0,"",_xlpm.x)))</f>
        <v/>
      </c>
      <c r="K148" s="152" t="str">
        <f>IF($B148="","",_xlfn.LET(_xlpm.x,_xlfn.XLOOKUP($B148,'07. BIA'!$F$6:$F$285,'07. BIA'!$AD$6:$AD$285,""),IF(_xlpm.x=0,"",_xlpm.x)))</f>
        <v/>
      </c>
      <c r="L148" s="221"/>
    </row>
    <row r="149" spans="1:12" x14ac:dyDescent="0.35">
      <c r="A149" s="219">
        <v>145</v>
      </c>
      <c r="B149" s="70"/>
      <c r="C149" s="74" t="str">
        <f>IFERROR(VLOOKUP(B149,'04. Products &amp; Services'!$B$6:$E$50,4,FALSE),"")</f>
        <v/>
      </c>
      <c r="D149" s="72"/>
      <c r="E149" s="67"/>
      <c r="F149" s="72"/>
      <c r="G149" s="72"/>
      <c r="H149" s="72"/>
      <c r="I149" s="67"/>
      <c r="J149" s="152" t="str">
        <f>IF($B149="","",_xlfn.LET(_xlpm.x,_xlfn.XLOOKUP($B149,'07. BIA'!$F$6:$F$285,'07. BIA'!$AA$6:$AA$285,""),IF(_xlpm.x=0,"",_xlpm.x)))</f>
        <v/>
      </c>
      <c r="K149" s="152" t="str">
        <f>IF($B149="","",_xlfn.LET(_xlpm.x,_xlfn.XLOOKUP($B149,'07. BIA'!$F$6:$F$285,'07. BIA'!$AD$6:$AD$285,""),IF(_xlpm.x=0,"",_xlpm.x)))</f>
        <v/>
      </c>
      <c r="L149" s="221"/>
    </row>
    <row r="150" spans="1:12" x14ac:dyDescent="0.35">
      <c r="A150" s="219">
        <v>146</v>
      </c>
      <c r="B150" s="70"/>
      <c r="C150" s="74" t="str">
        <f>IFERROR(VLOOKUP(B150,'04. Products &amp; Services'!$B$6:$E$50,4,FALSE),"")</f>
        <v/>
      </c>
      <c r="D150" s="72"/>
      <c r="E150" s="67"/>
      <c r="F150" s="72"/>
      <c r="G150" s="72"/>
      <c r="H150" s="72"/>
      <c r="I150" s="67"/>
      <c r="J150" s="152" t="str">
        <f>IF($B150="","",_xlfn.LET(_xlpm.x,_xlfn.XLOOKUP($B150,'07. BIA'!$F$6:$F$285,'07. BIA'!$AA$6:$AA$285,""),IF(_xlpm.x=0,"",_xlpm.x)))</f>
        <v/>
      </c>
      <c r="K150" s="152" t="str">
        <f>IF($B150="","",_xlfn.LET(_xlpm.x,_xlfn.XLOOKUP($B150,'07. BIA'!$F$6:$F$285,'07. BIA'!$AD$6:$AD$285,""),IF(_xlpm.x=0,"",_xlpm.x)))</f>
        <v/>
      </c>
      <c r="L150" s="221"/>
    </row>
    <row r="151" spans="1:12" x14ac:dyDescent="0.35">
      <c r="A151" s="219">
        <v>147</v>
      </c>
      <c r="B151" s="70"/>
      <c r="C151" s="74" t="str">
        <f>IFERROR(VLOOKUP(B151,'04. Products &amp; Services'!$B$6:$E$50,4,FALSE),"")</f>
        <v/>
      </c>
      <c r="D151" s="72"/>
      <c r="E151" s="67"/>
      <c r="F151" s="72"/>
      <c r="G151" s="72"/>
      <c r="H151" s="72"/>
      <c r="I151" s="67"/>
      <c r="J151" s="152" t="str">
        <f>IF($B151="","",_xlfn.LET(_xlpm.x,_xlfn.XLOOKUP($B151,'07. BIA'!$F$6:$F$285,'07. BIA'!$AA$6:$AA$285,""),IF(_xlpm.x=0,"",_xlpm.x)))</f>
        <v/>
      </c>
      <c r="K151" s="152" t="str">
        <f>IF($B151="","",_xlfn.LET(_xlpm.x,_xlfn.XLOOKUP($B151,'07. BIA'!$F$6:$F$285,'07. BIA'!$AD$6:$AD$285,""),IF(_xlpm.x=0,"",_xlpm.x)))</f>
        <v/>
      </c>
      <c r="L151" s="221"/>
    </row>
    <row r="152" spans="1:12" x14ac:dyDescent="0.35">
      <c r="A152" s="219">
        <v>148</v>
      </c>
      <c r="B152" s="70"/>
      <c r="C152" s="74" t="str">
        <f>IFERROR(VLOOKUP(B152,'04. Products &amp; Services'!$B$6:$E$50,4,FALSE),"")</f>
        <v/>
      </c>
      <c r="D152" s="72"/>
      <c r="E152" s="67"/>
      <c r="F152" s="72"/>
      <c r="G152" s="72"/>
      <c r="H152" s="72"/>
      <c r="I152" s="67"/>
      <c r="J152" s="152" t="str">
        <f>IF($B152="","",_xlfn.LET(_xlpm.x,_xlfn.XLOOKUP($B152,'07. BIA'!$F$6:$F$285,'07. BIA'!$AA$6:$AA$285,""),IF(_xlpm.x=0,"",_xlpm.x)))</f>
        <v/>
      </c>
      <c r="K152" s="152" t="str">
        <f>IF($B152="","",_xlfn.LET(_xlpm.x,_xlfn.XLOOKUP($B152,'07. BIA'!$F$6:$F$285,'07. BIA'!$AD$6:$AD$285,""),IF(_xlpm.x=0,"",_xlpm.x)))</f>
        <v/>
      </c>
      <c r="L152" s="221"/>
    </row>
    <row r="153" spans="1:12" x14ac:dyDescent="0.35">
      <c r="A153" s="219">
        <v>149</v>
      </c>
      <c r="B153" s="70"/>
      <c r="C153" s="74" t="str">
        <f>IFERROR(VLOOKUP(B153,'04. Products &amp; Services'!$B$6:$E$50,4,FALSE),"")</f>
        <v/>
      </c>
      <c r="D153" s="72"/>
      <c r="E153" s="67"/>
      <c r="F153" s="72"/>
      <c r="G153" s="72"/>
      <c r="H153" s="72"/>
      <c r="I153" s="67"/>
      <c r="J153" s="152" t="str">
        <f>IF($B153="","",_xlfn.LET(_xlpm.x,_xlfn.XLOOKUP($B153,'07. BIA'!$F$6:$F$285,'07. BIA'!$AA$6:$AA$285,""),IF(_xlpm.x=0,"",_xlpm.x)))</f>
        <v/>
      </c>
      <c r="K153" s="152" t="str">
        <f>IF($B153="","",_xlfn.LET(_xlpm.x,_xlfn.XLOOKUP($B153,'07. BIA'!$F$6:$F$285,'07. BIA'!$AD$6:$AD$285,""),IF(_xlpm.x=0,"",_xlpm.x)))</f>
        <v/>
      </c>
      <c r="L153" s="221"/>
    </row>
    <row r="154" spans="1:12" x14ac:dyDescent="0.35">
      <c r="A154" s="219">
        <v>150</v>
      </c>
      <c r="B154" s="70"/>
      <c r="C154" s="74" t="str">
        <f>IFERROR(VLOOKUP(B154,'04. Products &amp; Services'!$B$6:$E$50,4,FALSE),"")</f>
        <v/>
      </c>
      <c r="D154" s="72"/>
      <c r="E154" s="67"/>
      <c r="F154" s="72"/>
      <c r="G154" s="72"/>
      <c r="H154" s="72"/>
      <c r="I154" s="67"/>
      <c r="J154" s="152" t="str">
        <f>IF($B154="","",_xlfn.LET(_xlpm.x,_xlfn.XLOOKUP($B154,'07. BIA'!$F$6:$F$285,'07. BIA'!$AA$6:$AA$285,""),IF(_xlpm.x=0,"",_xlpm.x)))</f>
        <v/>
      </c>
      <c r="K154" s="152" t="str">
        <f>IF($B154="","",_xlfn.LET(_xlpm.x,_xlfn.XLOOKUP($B154,'07. BIA'!$F$6:$F$285,'07. BIA'!$AD$6:$AD$285,""),IF(_xlpm.x=0,"",_xlpm.x)))</f>
        <v/>
      </c>
      <c r="L154" s="221"/>
    </row>
    <row r="155" spans="1:12" x14ac:dyDescent="0.35">
      <c r="A155" s="219">
        <v>151</v>
      </c>
      <c r="B155" s="70"/>
      <c r="C155" s="74" t="str">
        <f>IFERROR(VLOOKUP(B155,'04. Products &amp; Services'!$B$6:$E$50,4,FALSE),"")</f>
        <v/>
      </c>
      <c r="D155" s="72"/>
      <c r="E155" s="67"/>
      <c r="F155" s="72"/>
      <c r="G155" s="72"/>
      <c r="H155" s="72"/>
      <c r="I155" s="67"/>
      <c r="J155" s="152" t="str">
        <f>IF($B155="","",_xlfn.LET(_xlpm.x,_xlfn.XLOOKUP($B155,'07. BIA'!$F$6:$F$285,'07. BIA'!$AA$6:$AA$285,""),IF(_xlpm.x=0,"",_xlpm.x)))</f>
        <v/>
      </c>
      <c r="K155" s="152" t="str">
        <f>IF($B155="","",_xlfn.LET(_xlpm.x,_xlfn.XLOOKUP($B155,'07. BIA'!$F$6:$F$285,'07. BIA'!$AD$6:$AD$285,""),IF(_xlpm.x=0,"",_xlpm.x)))</f>
        <v/>
      </c>
      <c r="L155" s="221"/>
    </row>
    <row r="156" spans="1:12" x14ac:dyDescent="0.35">
      <c r="A156" s="219">
        <v>152</v>
      </c>
      <c r="B156" s="70"/>
      <c r="C156" s="74" t="str">
        <f>IFERROR(VLOOKUP(B156,'04. Products &amp; Services'!$B$6:$E$50,4,FALSE),"")</f>
        <v/>
      </c>
      <c r="D156" s="72"/>
      <c r="E156" s="67"/>
      <c r="F156" s="72"/>
      <c r="G156" s="72"/>
      <c r="H156" s="72"/>
      <c r="I156" s="67"/>
      <c r="J156" s="152" t="str">
        <f>IF($B156="","",_xlfn.LET(_xlpm.x,_xlfn.XLOOKUP($B156,'07. BIA'!$F$6:$F$285,'07. BIA'!$AA$6:$AA$285,""),IF(_xlpm.x=0,"",_xlpm.x)))</f>
        <v/>
      </c>
      <c r="K156" s="152" t="str">
        <f>IF($B156="","",_xlfn.LET(_xlpm.x,_xlfn.XLOOKUP($B156,'07. BIA'!$F$6:$F$285,'07. BIA'!$AD$6:$AD$285,""),IF(_xlpm.x=0,"",_xlpm.x)))</f>
        <v/>
      </c>
      <c r="L156" s="221"/>
    </row>
    <row r="157" spans="1:12" x14ac:dyDescent="0.35">
      <c r="A157" s="219">
        <v>153</v>
      </c>
      <c r="B157" s="70"/>
      <c r="C157" s="74" t="str">
        <f>IFERROR(VLOOKUP(B157,'04. Products &amp; Services'!$B$6:$E$50,4,FALSE),"")</f>
        <v/>
      </c>
      <c r="D157" s="72"/>
      <c r="E157" s="67"/>
      <c r="F157" s="72"/>
      <c r="G157" s="72"/>
      <c r="H157" s="72"/>
      <c r="I157" s="67"/>
      <c r="J157" s="152" t="str">
        <f>IF($B157="","",_xlfn.LET(_xlpm.x,_xlfn.XLOOKUP($B157,'07. BIA'!$F$6:$F$285,'07. BIA'!$AA$6:$AA$285,""),IF(_xlpm.x=0,"",_xlpm.x)))</f>
        <v/>
      </c>
      <c r="K157" s="152" t="str">
        <f>IF($B157="","",_xlfn.LET(_xlpm.x,_xlfn.XLOOKUP($B157,'07. BIA'!$F$6:$F$285,'07. BIA'!$AD$6:$AD$285,""),IF(_xlpm.x=0,"",_xlpm.x)))</f>
        <v/>
      </c>
      <c r="L157" s="221"/>
    </row>
    <row r="158" spans="1:12" x14ac:dyDescent="0.35">
      <c r="A158" s="219">
        <v>154</v>
      </c>
      <c r="B158" s="70"/>
      <c r="C158" s="74" t="str">
        <f>IFERROR(VLOOKUP(B158,'04. Products &amp; Services'!$B$6:$E$50,4,FALSE),"")</f>
        <v/>
      </c>
      <c r="D158" s="72"/>
      <c r="E158" s="67"/>
      <c r="F158" s="72"/>
      <c r="G158" s="72"/>
      <c r="H158" s="72"/>
      <c r="I158" s="67"/>
      <c r="J158" s="152" t="str">
        <f>IF($B158="","",_xlfn.LET(_xlpm.x,_xlfn.XLOOKUP($B158,'07. BIA'!$F$6:$F$285,'07. BIA'!$AA$6:$AA$285,""),IF(_xlpm.x=0,"",_xlpm.x)))</f>
        <v/>
      </c>
      <c r="K158" s="152" t="str">
        <f>IF($B158="","",_xlfn.LET(_xlpm.x,_xlfn.XLOOKUP($B158,'07. BIA'!$F$6:$F$285,'07. BIA'!$AD$6:$AD$285,""),IF(_xlpm.x=0,"",_xlpm.x)))</f>
        <v/>
      </c>
      <c r="L158" s="221"/>
    </row>
    <row r="159" spans="1:12" x14ac:dyDescent="0.35">
      <c r="A159" s="219">
        <v>155</v>
      </c>
      <c r="B159" s="70"/>
      <c r="C159" s="74" t="str">
        <f>IFERROR(VLOOKUP(B159,'04. Products &amp; Services'!$B$6:$E$50,4,FALSE),"")</f>
        <v/>
      </c>
      <c r="D159" s="72"/>
      <c r="E159" s="67"/>
      <c r="F159" s="72"/>
      <c r="G159" s="72"/>
      <c r="H159" s="72"/>
      <c r="I159" s="67"/>
      <c r="J159" s="152" t="str">
        <f>IF($B159="","",_xlfn.LET(_xlpm.x,_xlfn.XLOOKUP($B159,'07. BIA'!$F$6:$F$285,'07. BIA'!$AA$6:$AA$285,""),IF(_xlpm.x=0,"",_xlpm.x)))</f>
        <v/>
      </c>
      <c r="K159" s="152" t="str">
        <f>IF($B159="","",_xlfn.LET(_xlpm.x,_xlfn.XLOOKUP($B159,'07. BIA'!$F$6:$F$285,'07. BIA'!$AD$6:$AD$285,""),IF(_xlpm.x=0,"",_xlpm.x)))</f>
        <v/>
      </c>
      <c r="L159" s="221"/>
    </row>
    <row r="160" spans="1:12" x14ac:dyDescent="0.35">
      <c r="A160" s="219">
        <v>156</v>
      </c>
      <c r="B160" s="70"/>
      <c r="C160" s="74" t="str">
        <f>IFERROR(VLOOKUP(B160,'04. Products &amp; Services'!$B$6:$E$50,4,FALSE),"")</f>
        <v/>
      </c>
      <c r="D160" s="72"/>
      <c r="E160" s="67"/>
      <c r="F160" s="72"/>
      <c r="G160" s="72"/>
      <c r="H160" s="72"/>
      <c r="I160" s="67"/>
      <c r="J160" s="152" t="str">
        <f>IF($B160="","",_xlfn.LET(_xlpm.x,_xlfn.XLOOKUP($B160,'07. BIA'!$F$6:$F$285,'07. BIA'!$AA$6:$AA$285,""),IF(_xlpm.x=0,"",_xlpm.x)))</f>
        <v/>
      </c>
      <c r="K160" s="152" t="str">
        <f>IF($B160="","",_xlfn.LET(_xlpm.x,_xlfn.XLOOKUP($B160,'07. BIA'!$F$6:$F$285,'07. BIA'!$AD$6:$AD$285,""),IF(_xlpm.x=0,"",_xlpm.x)))</f>
        <v/>
      </c>
      <c r="L160" s="221"/>
    </row>
    <row r="161" spans="1:12" x14ac:dyDescent="0.35">
      <c r="A161" s="219">
        <v>157</v>
      </c>
      <c r="B161" s="70"/>
      <c r="C161" s="74" t="str">
        <f>IFERROR(VLOOKUP(B161,'04. Products &amp; Services'!$B$6:$E$50,4,FALSE),"")</f>
        <v/>
      </c>
      <c r="D161" s="72"/>
      <c r="E161" s="67"/>
      <c r="F161" s="72"/>
      <c r="G161" s="72"/>
      <c r="H161" s="72"/>
      <c r="I161" s="67"/>
      <c r="J161" s="152" t="str">
        <f>IF($B161="","",_xlfn.LET(_xlpm.x,_xlfn.XLOOKUP($B161,'07. BIA'!$F$6:$F$285,'07. BIA'!$AA$6:$AA$285,""),IF(_xlpm.x=0,"",_xlpm.x)))</f>
        <v/>
      </c>
      <c r="K161" s="152" t="str">
        <f>IF($B161="","",_xlfn.LET(_xlpm.x,_xlfn.XLOOKUP($B161,'07. BIA'!$F$6:$F$285,'07. BIA'!$AD$6:$AD$285,""),IF(_xlpm.x=0,"",_xlpm.x)))</f>
        <v/>
      </c>
      <c r="L161" s="221"/>
    </row>
    <row r="162" spans="1:12" x14ac:dyDescent="0.35">
      <c r="A162" s="219">
        <v>158</v>
      </c>
      <c r="B162" s="70"/>
      <c r="C162" s="74" t="str">
        <f>IFERROR(VLOOKUP(B162,'04. Products &amp; Services'!$B$6:$E$50,4,FALSE),"")</f>
        <v/>
      </c>
      <c r="D162" s="72"/>
      <c r="E162" s="67"/>
      <c r="F162" s="72"/>
      <c r="G162" s="72"/>
      <c r="H162" s="72"/>
      <c r="I162" s="67"/>
      <c r="J162" s="152" t="str">
        <f>IF($B162="","",_xlfn.LET(_xlpm.x,_xlfn.XLOOKUP($B162,'07. BIA'!$F$6:$F$285,'07. BIA'!$AA$6:$AA$285,""),IF(_xlpm.x=0,"",_xlpm.x)))</f>
        <v/>
      </c>
      <c r="K162" s="152" t="str">
        <f>IF($B162="","",_xlfn.LET(_xlpm.x,_xlfn.XLOOKUP($B162,'07. BIA'!$F$6:$F$285,'07. BIA'!$AD$6:$AD$285,""),IF(_xlpm.x=0,"",_xlpm.x)))</f>
        <v/>
      </c>
      <c r="L162" s="221"/>
    </row>
    <row r="163" spans="1:12" x14ac:dyDescent="0.35">
      <c r="A163" s="219">
        <v>159</v>
      </c>
      <c r="B163" s="70"/>
      <c r="C163" s="74" t="str">
        <f>IFERROR(VLOOKUP(B163,'04. Products &amp; Services'!$B$6:$E$50,4,FALSE),"")</f>
        <v/>
      </c>
      <c r="D163" s="72"/>
      <c r="E163" s="67"/>
      <c r="F163" s="72"/>
      <c r="G163" s="72"/>
      <c r="H163" s="72"/>
      <c r="I163" s="67"/>
      <c r="J163" s="152" t="str">
        <f>IF($B163="","",_xlfn.LET(_xlpm.x,_xlfn.XLOOKUP($B163,'07. BIA'!$F$6:$F$285,'07. BIA'!$AA$6:$AA$285,""),IF(_xlpm.x=0,"",_xlpm.x)))</f>
        <v/>
      </c>
      <c r="K163" s="152" t="str">
        <f>IF($B163="","",_xlfn.LET(_xlpm.x,_xlfn.XLOOKUP($B163,'07. BIA'!$F$6:$F$285,'07. BIA'!$AD$6:$AD$285,""),IF(_xlpm.x=0,"",_xlpm.x)))</f>
        <v/>
      </c>
      <c r="L163" s="221"/>
    </row>
    <row r="164" spans="1:12" x14ac:dyDescent="0.35">
      <c r="A164" s="219">
        <v>160</v>
      </c>
      <c r="B164" s="70"/>
      <c r="C164" s="74" t="str">
        <f>IFERROR(VLOOKUP(B164,'04. Products &amp; Services'!$B$6:$E$50,4,FALSE),"")</f>
        <v/>
      </c>
      <c r="D164" s="72"/>
      <c r="E164" s="67"/>
      <c r="F164" s="72"/>
      <c r="G164" s="72"/>
      <c r="H164" s="72"/>
      <c r="I164" s="67"/>
      <c r="J164" s="152" t="str">
        <f>IF($B164="","",_xlfn.LET(_xlpm.x,_xlfn.XLOOKUP($B164,'07. BIA'!$F$6:$F$285,'07. BIA'!$AA$6:$AA$285,""),IF(_xlpm.x=0,"",_xlpm.x)))</f>
        <v/>
      </c>
      <c r="K164" s="152" t="str">
        <f>IF($B164="","",_xlfn.LET(_xlpm.x,_xlfn.XLOOKUP($B164,'07. BIA'!$F$6:$F$285,'07. BIA'!$AD$6:$AD$285,""),IF(_xlpm.x=0,"",_xlpm.x)))</f>
        <v/>
      </c>
      <c r="L164" s="221"/>
    </row>
    <row r="165" spans="1:12" x14ac:dyDescent="0.35">
      <c r="A165" s="219">
        <v>161</v>
      </c>
      <c r="B165" s="70"/>
      <c r="C165" s="74" t="str">
        <f>IFERROR(VLOOKUP(B165,'04. Products &amp; Services'!$B$6:$E$50,4,FALSE),"")</f>
        <v/>
      </c>
      <c r="D165" s="72"/>
      <c r="E165" s="67"/>
      <c r="F165" s="72"/>
      <c r="G165" s="72"/>
      <c r="H165" s="72"/>
      <c r="I165" s="67"/>
      <c r="J165" s="152" t="str">
        <f>IF($B165="","",_xlfn.LET(_xlpm.x,_xlfn.XLOOKUP($B165,'07. BIA'!$F$6:$F$285,'07. BIA'!$AA$6:$AA$285,""),IF(_xlpm.x=0,"",_xlpm.x)))</f>
        <v/>
      </c>
      <c r="K165" s="152" t="str">
        <f>IF($B165="","",_xlfn.LET(_xlpm.x,_xlfn.XLOOKUP($B165,'07. BIA'!$F$6:$F$285,'07. BIA'!$AD$6:$AD$285,""),IF(_xlpm.x=0,"",_xlpm.x)))</f>
        <v/>
      </c>
      <c r="L165" s="221"/>
    </row>
    <row r="166" spans="1:12" x14ac:dyDescent="0.35">
      <c r="A166" s="219">
        <v>162</v>
      </c>
      <c r="B166" s="70"/>
      <c r="C166" s="74" t="str">
        <f>IFERROR(VLOOKUP(B166,'04. Products &amp; Services'!$B$6:$E$50,4,FALSE),"")</f>
        <v/>
      </c>
      <c r="D166" s="72"/>
      <c r="E166" s="67"/>
      <c r="F166" s="72"/>
      <c r="G166" s="72"/>
      <c r="H166" s="72"/>
      <c r="I166" s="67"/>
      <c r="J166" s="152" t="str">
        <f>IF($B166="","",_xlfn.LET(_xlpm.x,_xlfn.XLOOKUP($B166,'07. BIA'!$F$6:$F$285,'07. BIA'!$AA$6:$AA$285,""),IF(_xlpm.x=0,"",_xlpm.x)))</f>
        <v/>
      </c>
      <c r="K166" s="152" t="str">
        <f>IF($B166="","",_xlfn.LET(_xlpm.x,_xlfn.XLOOKUP($B166,'07. BIA'!$F$6:$F$285,'07. BIA'!$AD$6:$AD$285,""),IF(_xlpm.x=0,"",_xlpm.x)))</f>
        <v/>
      </c>
      <c r="L166" s="221"/>
    </row>
    <row r="167" spans="1:12" x14ac:dyDescent="0.35">
      <c r="A167" s="219">
        <v>163</v>
      </c>
      <c r="B167" s="70"/>
      <c r="C167" s="74" t="str">
        <f>IFERROR(VLOOKUP(B167,'04. Products &amp; Services'!$B$6:$E$50,4,FALSE),"")</f>
        <v/>
      </c>
      <c r="D167" s="72"/>
      <c r="E167" s="67"/>
      <c r="F167" s="72"/>
      <c r="G167" s="72"/>
      <c r="H167" s="72"/>
      <c r="I167" s="67"/>
      <c r="J167" s="152" t="str">
        <f>IF($B167="","",_xlfn.LET(_xlpm.x,_xlfn.XLOOKUP($B167,'07. BIA'!$F$6:$F$285,'07. BIA'!$AA$6:$AA$285,""),IF(_xlpm.x=0,"",_xlpm.x)))</f>
        <v/>
      </c>
      <c r="K167" s="152" t="str">
        <f>IF($B167="","",_xlfn.LET(_xlpm.x,_xlfn.XLOOKUP($B167,'07. BIA'!$F$6:$F$285,'07. BIA'!$AD$6:$AD$285,""),IF(_xlpm.x=0,"",_xlpm.x)))</f>
        <v/>
      </c>
      <c r="L167" s="221"/>
    </row>
    <row r="168" spans="1:12" x14ac:dyDescent="0.35">
      <c r="A168" s="219">
        <v>164</v>
      </c>
      <c r="B168" s="70"/>
      <c r="C168" s="74" t="str">
        <f>IFERROR(VLOOKUP(B168,'04. Products &amp; Services'!$B$6:$E$50,4,FALSE),"")</f>
        <v/>
      </c>
      <c r="D168" s="72"/>
      <c r="E168" s="67"/>
      <c r="F168" s="72"/>
      <c r="G168" s="72"/>
      <c r="H168" s="72"/>
      <c r="I168" s="67"/>
      <c r="J168" s="152" t="str">
        <f>IF($B168="","",_xlfn.LET(_xlpm.x,_xlfn.XLOOKUP($B168,'07. BIA'!$F$6:$F$285,'07. BIA'!$AA$6:$AA$285,""),IF(_xlpm.x=0,"",_xlpm.x)))</f>
        <v/>
      </c>
      <c r="K168" s="152" t="str">
        <f>IF($B168="","",_xlfn.LET(_xlpm.x,_xlfn.XLOOKUP($B168,'07. BIA'!$F$6:$F$285,'07. BIA'!$AD$6:$AD$285,""),IF(_xlpm.x=0,"",_xlpm.x)))</f>
        <v/>
      </c>
      <c r="L168" s="221"/>
    </row>
    <row r="169" spans="1:12" x14ac:dyDescent="0.35">
      <c r="A169" s="219">
        <v>165</v>
      </c>
      <c r="B169" s="70"/>
      <c r="C169" s="74" t="str">
        <f>IFERROR(VLOOKUP(B169,'04. Products &amp; Services'!$B$6:$E$50,4,FALSE),"")</f>
        <v/>
      </c>
      <c r="D169" s="72"/>
      <c r="E169" s="67"/>
      <c r="F169" s="72"/>
      <c r="G169" s="72"/>
      <c r="H169" s="72"/>
      <c r="I169" s="67"/>
      <c r="J169" s="152" t="str">
        <f>IF($B169="","",_xlfn.LET(_xlpm.x,_xlfn.XLOOKUP($B169,'07. BIA'!$F$6:$F$285,'07. BIA'!$AA$6:$AA$285,""),IF(_xlpm.x=0,"",_xlpm.x)))</f>
        <v/>
      </c>
      <c r="K169" s="152" t="str">
        <f>IF($B169="","",_xlfn.LET(_xlpm.x,_xlfn.XLOOKUP($B169,'07. BIA'!$F$6:$F$285,'07. BIA'!$AD$6:$AD$285,""),IF(_xlpm.x=0,"",_xlpm.x)))</f>
        <v/>
      </c>
      <c r="L169" s="221"/>
    </row>
    <row r="170" spans="1:12" x14ac:dyDescent="0.35">
      <c r="A170" s="219">
        <v>166</v>
      </c>
      <c r="B170" s="70"/>
      <c r="C170" s="74" t="str">
        <f>IFERROR(VLOOKUP(B170,'04. Products &amp; Services'!$B$6:$E$50,4,FALSE),"")</f>
        <v/>
      </c>
      <c r="D170" s="72"/>
      <c r="E170" s="67"/>
      <c r="F170" s="72"/>
      <c r="G170" s="72"/>
      <c r="H170" s="72"/>
      <c r="I170" s="67"/>
      <c r="J170" s="152" t="str">
        <f>IF($B170="","",_xlfn.LET(_xlpm.x,_xlfn.XLOOKUP($B170,'07. BIA'!$F$6:$F$285,'07. BIA'!$AA$6:$AA$285,""),IF(_xlpm.x=0,"",_xlpm.x)))</f>
        <v/>
      </c>
      <c r="K170" s="152" t="str">
        <f>IF($B170="","",_xlfn.LET(_xlpm.x,_xlfn.XLOOKUP($B170,'07. BIA'!$F$6:$F$285,'07. BIA'!$AD$6:$AD$285,""),IF(_xlpm.x=0,"",_xlpm.x)))</f>
        <v/>
      </c>
      <c r="L170" s="221"/>
    </row>
    <row r="171" spans="1:12" x14ac:dyDescent="0.35">
      <c r="A171" s="219">
        <v>167</v>
      </c>
      <c r="B171" s="70"/>
      <c r="C171" s="74" t="str">
        <f>IFERROR(VLOOKUP(B171,'04. Products &amp; Services'!$B$6:$E$50,4,FALSE),"")</f>
        <v/>
      </c>
      <c r="D171" s="72"/>
      <c r="E171" s="67"/>
      <c r="F171" s="72"/>
      <c r="G171" s="72"/>
      <c r="H171" s="72"/>
      <c r="I171" s="67"/>
      <c r="J171" s="152" t="str">
        <f>IF($B171="","",_xlfn.LET(_xlpm.x,_xlfn.XLOOKUP($B171,'07. BIA'!$F$6:$F$285,'07. BIA'!$AA$6:$AA$285,""),IF(_xlpm.x=0,"",_xlpm.x)))</f>
        <v/>
      </c>
      <c r="K171" s="152" t="str">
        <f>IF($B171="","",_xlfn.LET(_xlpm.x,_xlfn.XLOOKUP($B171,'07. BIA'!$F$6:$F$285,'07. BIA'!$AD$6:$AD$285,""),IF(_xlpm.x=0,"",_xlpm.x)))</f>
        <v/>
      </c>
      <c r="L171" s="221"/>
    </row>
    <row r="172" spans="1:12" x14ac:dyDescent="0.35">
      <c r="A172" s="219">
        <v>168</v>
      </c>
      <c r="B172" s="70"/>
      <c r="C172" s="74" t="str">
        <f>IFERROR(VLOOKUP(B172,'04. Products &amp; Services'!$B$6:$E$50,4,FALSE),"")</f>
        <v/>
      </c>
      <c r="D172" s="72"/>
      <c r="E172" s="67"/>
      <c r="F172" s="72"/>
      <c r="G172" s="72"/>
      <c r="H172" s="72"/>
      <c r="I172" s="67"/>
      <c r="J172" s="152" t="str">
        <f>IF($B172="","",_xlfn.LET(_xlpm.x,_xlfn.XLOOKUP($B172,'07. BIA'!$F$6:$F$285,'07. BIA'!$AA$6:$AA$285,""),IF(_xlpm.x=0,"",_xlpm.x)))</f>
        <v/>
      </c>
      <c r="K172" s="152" t="str">
        <f>IF($B172="","",_xlfn.LET(_xlpm.x,_xlfn.XLOOKUP($B172,'07. BIA'!$F$6:$F$285,'07. BIA'!$AD$6:$AD$285,""),IF(_xlpm.x=0,"",_xlpm.x)))</f>
        <v/>
      </c>
      <c r="L172" s="221"/>
    </row>
    <row r="173" spans="1:12" x14ac:dyDescent="0.35">
      <c r="A173" s="219">
        <v>169</v>
      </c>
      <c r="B173" s="70"/>
      <c r="C173" s="74" t="str">
        <f>IFERROR(VLOOKUP(B173,'04. Products &amp; Services'!$B$6:$E$50,4,FALSE),"")</f>
        <v/>
      </c>
      <c r="D173" s="72"/>
      <c r="E173" s="67"/>
      <c r="F173" s="72"/>
      <c r="G173" s="72"/>
      <c r="H173" s="72"/>
      <c r="I173" s="67"/>
      <c r="J173" s="152" t="str">
        <f>IF($B173="","",_xlfn.LET(_xlpm.x,_xlfn.XLOOKUP($B173,'07. BIA'!$F$6:$F$285,'07. BIA'!$AA$6:$AA$285,""),IF(_xlpm.x=0,"",_xlpm.x)))</f>
        <v/>
      </c>
      <c r="K173" s="152" t="str">
        <f>IF($B173="","",_xlfn.LET(_xlpm.x,_xlfn.XLOOKUP($B173,'07. BIA'!$F$6:$F$285,'07. BIA'!$AD$6:$AD$285,""),IF(_xlpm.x=0,"",_xlpm.x)))</f>
        <v/>
      </c>
      <c r="L173" s="221"/>
    </row>
    <row r="174" spans="1:12" x14ac:dyDescent="0.35">
      <c r="A174" s="219">
        <v>170</v>
      </c>
      <c r="B174" s="70"/>
      <c r="C174" s="74" t="str">
        <f>IFERROR(VLOOKUP(B174,'04. Products &amp; Services'!$B$6:$E$50,4,FALSE),"")</f>
        <v/>
      </c>
      <c r="D174" s="72"/>
      <c r="E174" s="67"/>
      <c r="F174" s="72"/>
      <c r="G174" s="72"/>
      <c r="H174" s="72"/>
      <c r="I174" s="67"/>
      <c r="J174" s="152" t="str">
        <f>IF($B174="","",_xlfn.LET(_xlpm.x,_xlfn.XLOOKUP($B174,'07. BIA'!$F$6:$F$285,'07. BIA'!$AA$6:$AA$285,""),IF(_xlpm.x=0,"",_xlpm.x)))</f>
        <v/>
      </c>
      <c r="K174" s="152" t="str">
        <f>IF($B174="","",_xlfn.LET(_xlpm.x,_xlfn.XLOOKUP($B174,'07. BIA'!$F$6:$F$285,'07. BIA'!$AD$6:$AD$285,""),IF(_xlpm.x=0,"",_xlpm.x)))</f>
        <v/>
      </c>
      <c r="L174" s="221"/>
    </row>
    <row r="175" spans="1:12" x14ac:dyDescent="0.35">
      <c r="A175" s="219">
        <v>171</v>
      </c>
      <c r="B175" s="70"/>
      <c r="C175" s="74" t="str">
        <f>IFERROR(VLOOKUP(B175,'04. Products &amp; Services'!$B$6:$E$50,4,FALSE),"")</f>
        <v/>
      </c>
      <c r="D175" s="72"/>
      <c r="E175" s="67"/>
      <c r="F175" s="72"/>
      <c r="G175" s="72"/>
      <c r="H175" s="72"/>
      <c r="I175" s="67"/>
      <c r="J175" s="152" t="str">
        <f>IF($B175="","",_xlfn.LET(_xlpm.x,_xlfn.XLOOKUP($B175,'07. BIA'!$F$6:$F$285,'07. BIA'!$AA$6:$AA$285,""),IF(_xlpm.x=0,"",_xlpm.x)))</f>
        <v/>
      </c>
      <c r="K175" s="152" t="str">
        <f>IF($B175="","",_xlfn.LET(_xlpm.x,_xlfn.XLOOKUP($B175,'07. BIA'!$F$6:$F$285,'07. BIA'!$AD$6:$AD$285,""),IF(_xlpm.x=0,"",_xlpm.x)))</f>
        <v/>
      </c>
      <c r="L175" s="221"/>
    </row>
    <row r="176" spans="1:12" x14ac:dyDescent="0.35">
      <c r="A176" s="219">
        <v>172</v>
      </c>
      <c r="B176" s="70"/>
      <c r="C176" s="74" t="str">
        <f>IFERROR(VLOOKUP(B176,'04. Products &amp; Services'!$B$6:$E$50,4,FALSE),"")</f>
        <v/>
      </c>
      <c r="D176" s="72"/>
      <c r="E176" s="67"/>
      <c r="F176" s="72"/>
      <c r="G176" s="72"/>
      <c r="H176" s="72"/>
      <c r="I176" s="67"/>
      <c r="J176" s="152" t="str">
        <f>IF($B176="","",_xlfn.LET(_xlpm.x,_xlfn.XLOOKUP($B176,'07. BIA'!$F$6:$F$285,'07. BIA'!$AA$6:$AA$285,""),IF(_xlpm.x=0,"",_xlpm.x)))</f>
        <v/>
      </c>
      <c r="K176" s="152" t="str">
        <f>IF($B176="","",_xlfn.LET(_xlpm.x,_xlfn.XLOOKUP($B176,'07. BIA'!$F$6:$F$285,'07. BIA'!$AD$6:$AD$285,""),IF(_xlpm.x=0,"",_xlpm.x)))</f>
        <v/>
      </c>
      <c r="L176" s="221"/>
    </row>
    <row r="177" spans="1:12" x14ac:dyDescent="0.35">
      <c r="A177" s="219">
        <v>173</v>
      </c>
      <c r="B177" s="70"/>
      <c r="C177" s="74" t="str">
        <f>IFERROR(VLOOKUP(B177,'04. Products &amp; Services'!$B$6:$E$50,4,FALSE),"")</f>
        <v/>
      </c>
      <c r="D177" s="72"/>
      <c r="E177" s="67"/>
      <c r="F177" s="72"/>
      <c r="G177" s="72"/>
      <c r="H177" s="72"/>
      <c r="I177" s="67"/>
      <c r="J177" s="152" t="str">
        <f>IF($B177="","",_xlfn.LET(_xlpm.x,_xlfn.XLOOKUP($B177,'07. BIA'!$F$6:$F$285,'07. BIA'!$AA$6:$AA$285,""),IF(_xlpm.x=0,"",_xlpm.x)))</f>
        <v/>
      </c>
      <c r="K177" s="152" t="str">
        <f>IF($B177="","",_xlfn.LET(_xlpm.x,_xlfn.XLOOKUP($B177,'07. BIA'!$F$6:$F$285,'07. BIA'!$AD$6:$AD$285,""),IF(_xlpm.x=0,"",_xlpm.x)))</f>
        <v/>
      </c>
      <c r="L177" s="221"/>
    </row>
    <row r="178" spans="1:12" x14ac:dyDescent="0.35">
      <c r="A178" s="219">
        <v>174</v>
      </c>
      <c r="B178" s="70"/>
      <c r="C178" s="74" t="str">
        <f>IFERROR(VLOOKUP(B178,'04. Products &amp; Services'!$B$6:$E$50,4,FALSE),"")</f>
        <v/>
      </c>
      <c r="D178" s="72"/>
      <c r="E178" s="67"/>
      <c r="F178" s="72"/>
      <c r="G178" s="72"/>
      <c r="H178" s="72"/>
      <c r="I178" s="67"/>
      <c r="J178" s="152" t="str">
        <f>IF($B178="","",_xlfn.LET(_xlpm.x,_xlfn.XLOOKUP($B178,'07. BIA'!$F$6:$F$285,'07. BIA'!$AA$6:$AA$285,""),IF(_xlpm.x=0,"",_xlpm.x)))</f>
        <v/>
      </c>
      <c r="K178" s="152" t="str">
        <f>IF($B178="","",_xlfn.LET(_xlpm.x,_xlfn.XLOOKUP($B178,'07. BIA'!$F$6:$F$285,'07. BIA'!$AD$6:$AD$285,""),IF(_xlpm.x=0,"",_xlpm.x)))</f>
        <v/>
      </c>
      <c r="L178" s="221"/>
    </row>
    <row r="179" spans="1:12" x14ac:dyDescent="0.35">
      <c r="A179" s="219">
        <v>175</v>
      </c>
      <c r="B179" s="70"/>
      <c r="C179" s="74" t="str">
        <f>IFERROR(VLOOKUP(B179,'04. Products &amp; Services'!$B$6:$E$50,4,FALSE),"")</f>
        <v/>
      </c>
      <c r="D179" s="72"/>
      <c r="E179" s="67"/>
      <c r="F179" s="72"/>
      <c r="G179" s="72"/>
      <c r="H179" s="72"/>
      <c r="I179" s="67"/>
      <c r="J179" s="152" t="str">
        <f>IF($B179="","",_xlfn.LET(_xlpm.x,_xlfn.XLOOKUP($B179,'07. BIA'!$F$6:$F$285,'07. BIA'!$AA$6:$AA$285,""),IF(_xlpm.x=0,"",_xlpm.x)))</f>
        <v/>
      </c>
      <c r="K179" s="152" t="str">
        <f>IF($B179="","",_xlfn.LET(_xlpm.x,_xlfn.XLOOKUP($B179,'07. BIA'!$F$6:$F$285,'07. BIA'!$AD$6:$AD$285,""),IF(_xlpm.x=0,"",_xlpm.x)))</f>
        <v/>
      </c>
      <c r="L179" s="221"/>
    </row>
    <row r="180" spans="1:12" x14ac:dyDescent="0.35">
      <c r="A180" s="219">
        <v>176</v>
      </c>
      <c r="B180" s="70"/>
      <c r="C180" s="74" t="str">
        <f>IFERROR(VLOOKUP(B180,'04. Products &amp; Services'!$B$6:$E$50,4,FALSE),"")</f>
        <v/>
      </c>
      <c r="D180" s="72"/>
      <c r="E180" s="67"/>
      <c r="F180" s="72"/>
      <c r="G180" s="72"/>
      <c r="H180" s="72"/>
      <c r="I180" s="67"/>
      <c r="J180" s="152" t="str">
        <f>IF($B180="","",_xlfn.LET(_xlpm.x,_xlfn.XLOOKUP($B180,'07. BIA'!$F$6:$F$285,'07. BIA'!$AA$6:$AA$285,""),IF(_xlpm.x=0,"",_xlpm.x)))</f>
        <v/>
      </c>
      <c r="K180" s="152" t="str">
        <f>IF($B180="","",_xlfn.LET(_xlpm.x,_xlfn.XLOOKUP($B180,'07. BIA'!$F$6:$F$285,'07. BIA'!$AD$6:$AD$285,""),IF(_xlpm.x=0,"",_xlpm.x)))</f>
        <v/>
      </c>
      <c r="L180" s="221"/>
    </row>
    <row r="181" spans="1:12" x14ac:dyDescent="0.35">
      <c r="A181" s="219">
        <v>177</v>
      </c>
      <c r="B181" s="70"/>
      <c r="C181" s="74" t="str">
        <f>IFERROR(VLOOKUP(B181,'04. Products &amp; Services'!$B$6:$E$50,4,FALSE),"")</f>
        <v/>
      </c>
      <c r="D181" s="72"/>
      <c r="E181" s="67"/>
      <c r="F181" s="72"/>
      <c r="G181" s="72"/>
      <c r="H181" s="72"/>
      <c r="I181" s="67"/>
      <c r="J181" s="152" t="str">
        <f>IF($B181="","",_xlfn.LET(_xlpm.x,_xlfn.XLOOKUP($B181,'07. BIA'!$F$6:$F$285,'07. BIA'!$AA$6:$AA$285,""),IF(_xlpm.x=0,"",_xlpm.x)))</f>
        <v/>
      </c>
      <c r="K181" s="152" t="str">
        <f>IF($B181="","",_xlfn.LET(_xlpm.x,_xlfn.XLOOKUP($B181,'07. BIA'!$F$6:$F$285,'07. BIA'!$AD$6:$AD$285,""),IF(_xlpm.x=0,"",_xlpm.x)))</f>
        <v/>
      </c>
      <c r="L181" s="221"/>
    </row>
    <row r="182" spans="1:12" x14ac:dyDescent="0.35">
      <c r="A182" s="219">
        <v>178</v>
      </c>
      <c r="B182" s="70"/>
      <c r="C182" s="74" t="str">
        <f>IFERROR(VLOOKUP(B182,'04. Products &amp; Services'!$B$6:$E$50,4,FALSE),"")</f>
        <v/>
      </c>
      <c r="D182" s="72"/>
      <c r="E182" s="67"/>
      <c r="F182" s="72"/>
      <c r="G182" s="72"/>
      <c r="H182" s="72"/>
      <c r="I182" s="67"/>
      <c r="J182" s="152" t="str">
        <f>IF($B182="","",_xlfn.LET(_xlpm.x,_xlfn.XLOOKUP($B182,'07. BIA'!$F$6:$F$285,'07. BIA'!$AA$6:$AA$285,""),IF(_xlpm.x=0,"",_xlpm.x)))</f>
        <v/>
      </c>
      <c r="K182" s="152" t="str">
        <f>IF($B182="","",_xlfn.LET(_xlpm.x,_xlfn.XLOOKUP($B182,'07. BIA'!$F$6:$F$285,'07. BIA'!$AD$6:$AD$285,""),IF(_xlpm.x=0,"",_xlpm.x)))</f>
        <v/>
      </c>
      <c r="L182" s="221"/>
    </row>
    <row r="183" spans="1:12" x14ac:dyDescent="0.35">
      <c r="A183" s="219">
        <v>179</v>
      </c>
      <c r="B183" s="70"/>
      <c r="C183" s="74" t="str">
        <f>IFERROR(VLOOKUP(B183,'04. Products &amp; Services'!$B$6:$E$50,4,FALSE),"")</f>
        <v/>
      </c>
      <c r="D183" s="72"/>
      <c r="E183" s="67"/>
      <c r="F183" s="72"/>
      <c r="G183" s="72"/>
      <c r="H183" s="72"/>
      <c r="I183" s="67"/>
      <c r="J183" s="152" t="str">
        <f>IF($B183="","",_xlfn.LET(_xlpm.x,_xlfn.XLOOKUP($B183,'07. BIA'!$F$6:$F$285,'07. BIA'!$AA$6:$AA$285,""),IF(_xlpm.x=0,"",_xlpm.x)))</f>
        <v/>
      </c>
      <c r="K183" s="152" t="str">
        <f>IF($B183="","",_xlfn.LET(_xlpm.x,_xlfn.XLOOKUP($B183,'07. BIA'!$F$6:$F$285,'07. BIA'!$AD$6:$AD$285,""),IF(_xlpm.x=0,"",_xlpm.x)))</f>
        <v/>
      </c>
      <c r="L183" s="221"/>
    </row>
    <row r="184" spans="1:12" x14ac:dyDescent="0.35">
      <c r="A184" s="219">
        <v>180</v>
      </c>
      <c r="B184" s="70"/>
      <c r="C184" s="74" t="str">
        <f>IFERROR(VLOOKUP(B184,'04. Products &amp; Services'!$B$6:$E$50,4,FALSE),"")</f>
        <v/>
      </c>
      <c r="D184" s="72"/>
      <c r="E184" s="67"/>
      <c r="F184" s="72"/>
      <c r="G184" s="72"/>
      <c r="H184" s="72"/>
      <c r="I184" s="67"/>
      <c r="J184" s="152" t="str">
        <f>IF($B184="","",_xlfn.LET(_xlpm.x,_xlfn.XLOOKUP($B184,'07. BIA'!$F$6:$F$285,'07. BIA'!$AA$6:$AA$285,""),IF(_xlpm.x=0,"",_xlpm.x)))</f>
        <v/>
      </c>
      <c r="K184" s="152" t="str">
        <f>IF($B184="","",_xlfn.LET(_xlpm.x,_xlfn.XLOOKUP($B184,'07. BIA'!$F$6:$F$285,'07. BIA'!$AD$6:$AD$285,""),IF(_xlpm.x=0,"",_xlpm.x)))</f>
        <v/>
      </c>
      <c r="L184" s="221"/>
    </row>
    <row r="185" spans="1:12" x14ac:dyDescent="0.35">
      <c r="A185" s="219">
        <v>181</v>
      </c>
      <c r="B185" s="70"/>
      <c r="C185" s="74" t="str">
        <f>IFERROR(VLOOKUP(B185,'04. Products &amp; Services'!$B$6:$E$50,4,FALSE),"")</f>
        <v/>
      </c>
      <c r="D185" s="72"/>
      <c r="E185" s="67"/>
      <c r="F185" s="72"/>
      <c r="G185" s="72"/>
      <c r="H185" s="72"/>
      <c r="I185" s="67"/>
      <c r="J185" s="152" t="str">
        <f>IF($B185="","",_xlfn.LET(_xlpm.x,_xlfn.XLOOKUP($B185,'07. BIA'!$F$6:$F$285,'07. BIA'!$AA$6:$AA$285,""),IF(_xlpm.x=0,"",_xlpm.x)))</f>
        <v/>
      </c>
      <c r="K185" s="152" t="str">
        <f>IF($B185="","",_xlfn.LET(_xlpm.x,_xlfn.XLOOKUP($B185,'07. BIA'!$F$6:$F$285,'07. BIA'!$AD$6:$AD$285,""),IF(_xlpm.x=0,"",_xlpm.x)))</f>
        <v/>
      </c>
      <c r="L185" s="221"/>
    </row>
    <row r="186" spans="1:12" x14ac:dyDescent="0.35">
      <c r="A186" s="219">
        <v>182</v>
      </c>
      <c r="B186" s="70"/>
      <c r="C186" s="74" t="str">
        <f>IFERROR(VLOOKUP(B186,'04. Products &amp; Services'!$B$6:$E$50,4,FALSE),"")</f>
        <v/>
      </c>
      <c r="D186" s="72"/>
      <c r="E186" s="67"/>
      <c r="F186" s="72"/>
      <c r="G186" s="72"/>
      <c r="H186" s="72"/>
      <c r="I186" s="67"/>
      <c r="J186" s="152" t="str">
        <f>IF($B186="","",_xlfn.LET(_xlpm.x,_xlfn.XLOOKUP($B186,'07. BIA'!$F$6:$F$285,'07. BIA'!$AA$6:$AA$285,""),IF(_xlpm.x=0,"",_xlpm.x)))</f>
        <v/>
      </c>
      <c r="K186" s="152" t="str">
        <f>IF($B186="","",_xlfn.LET(_xlpm.x,_xlfn.XLOOKUP($B186,'07. BIA'!$F$6:$F$285,'07. BIA'!$AD$6:$AD$285,""),IF(_xlpm.x=0,"",_xlpm.x)))</f>
        <v/>
      </c>
      <c r="L186" s="221"/>
    </row>
    <row r="187" spans="1:12" x14ac:dyDescent="0.35">
      <c r="A187" s="219">
        <v>183</v>
      </c>
      <c r="B187" s="70"/>
      <c r="C187" s="74" t="str">
        <f>IFERROR(VLOOKUP(B187,'04. Products &amp; Services'!$B$6:$E$50,4,FALSE),"")</f>
        <v/>
      </c>
      <c r="D187" s="72"/>
      <c r="E187" s="67"/>
      <c r="F187" s="72"/>
      <c r="G187" s="72"/>
      <c r="H187" s="72"/>
      <c r="I187" s="67"/>
      <c r="J187" s="152" t="str">
        <f>IF($B187="","",_xlfn.LET(_xlpm.x,_xlfn.XLOOKUP($B187,'07. BIA'!$F$6:$F$285,'07. BIA'!$AA$6:$AA$285,""),IF(_xlpm.x=0,"",_xlpm.x)))</f>
        <v/>
      </c>
      <c r="K187" s="152" t="str">
        <f>IF($B187="","",_xlfn.LET(_xlpm.x,_xlfn.XLOOKUP($B187,'07. BIA'!$F$6:$F$285,'07. BIA'!$AD$6:$AD$285,""),IF(_xlpm.x=0,"",_xlpm.x)))</f>
        <v/>
      </c>
      <c r="L187" s="221"/>
    </row>
    <row r="188" spans="1:12" x14ac:dyDescent="0.35">
      <c r="A188" s="219">
        <v>184</v>
      </c>
      <c r="B188" s="70"/>
      <c r="C188" s="74" t="str">
        <f>IFERROR(VLOOKUP(B188,'04. Products &amp; Services'!$B$6:$E$50,4,FALSE),"")</f>
        <v/>
      </c>
      <c r="D188" s="72"/>
      <c r="E188" s="67"/>
      <c r="F188" s="72"/>
      <c r="G188" s="72"/>
      <c r="H188" s="72"/>
      <c r="I188" s="67"/>
      <c r="J188" s="152" t="str">
        <f>IF($B188="","",_xlfn.LET(_xlpm.x,_xlfn.XLOOKUP($B188,'07. BIA'!$F$6:$F$285,'07. BIA'!$AA$6:$AA$285,""),IF(_xlpm.x=0,"",_xlpm.x)))</f>
        <v/>
      </c>
      <c r="K188" s="152" t="str">
        <f>IF($B188="","",_xlfn.LET(_xlpm.x,_xlfn.XLOOKUP($B188,'07. BIA'!$F$6:$F$285,'07. BIA'!$AD$6:$AD$285,""),IF(_xlpm.x=0,"",_xlpm.x)))</f>
        <v/>
      </c>
      <c r="L188" s="221"/>
    </row>
    <row r="189" spans="1:12" x14ac:dyDescent="0.35">
      <c r="A189" s="219">
        <v>185</v>
      </c>
      <c r="B189" s="70"/>
      <c r="C189" s="74" t="str">
        <f>IFERROR(VLOOKUP(B189,'04. Products &amp; Services'!$B$6:$E$50,4,FALSE),"")</f>
        <v/>
      </c>
      <c r="D189" s="72"/>
      <c r="E189" s="67"/>
      <c r="F189" s="72"/>
      <c r="G189" s="72"/>
      <c r="H189" s="72"/>
      <c r="I189" s="67"/>
      <c r="J189" s="152" t="str">
        <f>IF($B189="","",_xlfn.LET(_xlpm.x,_xlfn.XLOOKUP($B189,'07. BIA'!$F$6:$F$285,'07. BIA'!$AA$6:$AA$285,""),IF(_xlpm.x=0,"",_xlpm.x)))</f>
        <v/>
      </c>
      <c r="K189" s="152" t="str">
        <f>IF($B189="","",_xlfn.LET(_xlpm.x,_xlfn.XLOOKUP($B189,'07. BIA'!$F$6:$F$285,'07. BIA'!$AD$6:$AD$285,""),IF(_xlpm.x=0,"",_xlpm.x)))</f>
        <v/>
      </c>
      <c r="L189" s="221"/>
    </row>
    <row r="190" spans="1:12" x14ac:dyDescent="0.35">
      <c r="A190" s="219">
        <v>186</v>
      </c>
      <c r="B190" s="70"/>
      <c r="C190" s="74" t="str">
        <f>IFERROR(VLOOKUP(B190,'04. Products &amp; Services'!$B$6:$E$50,4,FALSE),"")</f>
        <v/>
      </c>
      <c r="D190" s="72"/>
      <c r="E190" s="67"/>
      <c r="F190" s="72"/>
      <c r="G190" s="72"/>
      <c r="H190" s="72"/>
      <c r="I190" s="67"/>
      <c r="J190" s="152" t="str">
        <f>IF($B190="","",_xlfn.LET(_xlpm.x,_xlfn.XLOOKUP($B190,'07. BIA'!$F$6:$F$285,'07. BIA'!$AA$6:$AA$285,""),IF(_xlpm.x=0,"",_xlpm.x)))</f>
        <v/>
      </c>
      <c r="K190" s="152" t="str">
        <f>IF($B190="","",_xlfn.LET(_xlpm.x,_xlfn.XLOOKUP($B190,'07. BIA'!$F$6:$F$285,'07. BIA'!$AD$6:$AD$285,""),IF(_xlpm.x=0,"",_xlpm.x)))</f>
        <v/>
      </c>
      <c r="L190" s="221"/>
    </row>
    <row r="191" spans="1:12" x14ac:dyDescent="0.35">
      <c r="A191" s="219">
        <v>187</v>
      </c>
      <c r="B191" s="70"/>
      <c r="C191" s="74" t="str">
        <f>IFERROR(VLOOKUP(B191,'04. Products &amp; Services'!$B$6:$E$50,4,FALSE),"")</f>
        <v/>
      </c>
      <c r="D191" s="72"/>
      <c r="E191" s="67"/>
      <c r="F191" s="72"/>
      <c r="G191" s="72"/>
      <c r="H191" s="72"/>
      <c r="I191" s="67"/>
      <c r="J191" s="152" t="str">
        <f>IF($B191="","",_xlfn.LET(_xlpm.x,_xlfn.XLOOKUP($B191,'07. BIA'!$F$6:$F$285,'07. BIA'!$AA$6:$AA$285,""),IF(_xlpm.x=0,"",_xlpm.x)))</f>
        <v/>
      </c>
      <c r="K191" s="152" t="str">
        <f>IF($B191="","",_xlfn.LET(_xlpm.x,_xlfn.XLOOKUP($B191,'07. BIA'!$F$6:$F$285,'07. BIA'!$AD$6:$AD$285,""),IF(_xlpm.x=0,"",_xlpm.x)))</f>
        <v/>
      </c>
      <c r="L191" s="221"/>
    </row>
    <row r="192" spans="1:12" x14ac:dyDescent="0.35">
      <c r="A192" s="219">
        <v>188</v>
      </c>
      <c r="B192" s="70"/>
      <c r="C192" s="74" t="str">
        <f>IFERROR(VLOOKUP(B192,'04. Products &amp; Services'!$B$6:$E$50,4,FALSE),"")</f>
        <v/>
      </c>
      <c r="D192" s="72"/>
      <c r="E192" s="67"/>
      <c r="F192" s="72"/>
      <c r="G192" s="72"/>
      <c r="H192" s="72"/>
      <c r="I192" s="67"/>
      <c r="J192" s="152" t="str">
        <f>IF($B192="","",_xlfn.LET(_xlpm.x,_xlfn.XLOOKUP($B192,'07. BIA'!$F$6:$F$285,'07. BIA'!$AA$6:$AA$285,""),IF(_xlpm.x=0,"",_xlpm.x)))</f>
        <v/>
      </c>
      <c r="K192" s="152" t="str">
        <f>IF($B192="","",_xlfn.LET(_xlpm.x,_xlfn.XLOOKUP($B192,'07. BIA'!$F$6:$F$285,'07. BIA'!$AD$6:$AD$285,""),IF(_xlpm.x=0,"",_xlpm.x)))</f>
        <v/>
      </c>
      <c r="L192" s="221"/>
    </row>
    <row r="193" spans="1:12" x14ac:dyDescent="0.35">
      <c r="A193" s="219">
        <v>189</v>
      </c>
      <c r="B193" s="70"/>
      <c r="C193" s="74" t="str">
        <f>IFERROR(VLOOKUP(B193,'04. Products &amp; Services'!$B$6:$E$50,4,FALSE),"")</f>
        <v/>
      </c>
      <c r="D193" s="72"/>
      <c r="E193" s="67"/>
      <c r="F193" s="72"/>
      <c r="G193" s="72"/>
      <c r="H193" s="72"/>
      <c r="I193" s="67"/>
      <c r="J193" s="152" t="str">
        <f>IF($B193="","",_xlfn.LET(_xlpm.x,_xlfn.XLOOKUP($B193,'07. BIA'!$F$6:$F$285,'07. BIA'!$AA$6:$AA$285,""),IF(_xlpm.x=0,"",_xlpm.x)))</f>
        <v/>
      </c>
      <c r="K193" s="152" t="str">
        <f>IF($B193="","",_xlfn.LET(_xlpm.x,_xlfn.XLOOKUP($B193,'07. BIA'!$F$6:$F$285,'07. BIA'!$AD$6:$AD$285,""),IF(_xlpm.x=0,"",_xlpm.x)))</f>
        <v/>
      </c>
      <c r="L193" s="221"/>
    </row>
    <row r="194" spans="1:12" x14ac:dyDescent="0.35">
      <c r="A194" s="219">
        <v>190</v>
      </c>
      <c r="B194" s="70"/>
      <c r="C194" s="74" t="str">
        <f>IFERROR(VLOOKUP(B194,'04. Products &amp; Services'!$B$6:$E$50,4,FALSE),"")</f>
        <v/>
      </c>
      <c r="D194" s="72"/>
      <c r="E194" s="67"/>
      <c r="F194" s="72"/>
      <c r="G194" s="72"/>
      <c r="H194" s="72"/>
      <c r="I194" s="67"/>
      <c r="J194" s="152" t="str">
        <f>IF($B194="","",_xlfn.LET(_xlpm.x,_xlfn.XLOOKUP($B194,'07. BIA'!$F$6:$F$285,'07. BIA'!$AA$6:$AA$285,""),IF(_xlpm.x=0,"",_xlpm.x)))</f>
        <v/>
      </c>
      <c r="K194" s="152" t="str">
        <f>IF($B194="","",_xlfn.LET(_xlpm.x,_xlfn.XLOOKUP($B194,'07. BIA'!$F$6:$F$285,'07. BIA'!$AD$6:$AD$285,""),IF(_xlpm.x=0,"",_xlpm.x)))</f>
        <v/>
      </c>
      <c r="L194" s="221"/>
    </row>
    <row r="195" spans="1:12" x14ac:dyDescent="0.35">
      <c r="A195" s="219">
        <v>191</v>
      </c>
      <c r="B195" s="70"/>
      <c r="C195" s="74" t="str">
        <f>IFERROR(VLOOKUP(B195,'04. Products &amp; Services'!$B$6:$E$50,4,FALSE),"")</f>
        <v/>
      </c>
      <c r="D195" s="72"/>
      <c r="E195" s="67"/>
      <c r="F195" s="72"/>
      <c r="G195" s="72"/>
      <c r="H195" s="72"/>
      <c r="I195" s="67"/>
      <c r="J195" s="152" t="str">
        <f>IF($B195="","",_xlfn.LET(_xlpm.x,_xlfn.XLOOKUP($B195,'07. BIA'!$F$6:$F$285,'07. BIA'!$AA$6:$AA$285,""),IF(_xlpm.x=0,"",_xlpm.x)))</f>
        <v/>
      </c>
      <c r="K195" s="152" t="str">
        <f>IF($B195="","",_xlfn.LET(_xlpm.x,_xlfn.XLOOKUP($B195,'07. BIA'!$F$6:$F$285,'07. BIA'!$AD$6:$AD$285,""),IF(_xlpm.x=0,"",_xlpm.x)))</f>
        <v/>
      </c>
      <c r="L195" s="221"/>
    </row>
    <row r="196" spans="1:12" x14ac:dyDescent="0.35">
      <c r="A196" s="219">
        <v>192</v>
      </c>
      <c r="B196" s="70"/>
      <c r="C196" s="74" t="str">
        <f>IFERROR(VLOOKUP(B196,'04. Products &amp; Services'!$B$6:$E$50,4,FALSE),"")</f>
        <v/>
      </c>
      <c r="D196" s="72"/>
      <c r="E196" s="67"/>
      <c r="F196" s="72"/>
      <c r="G196" s="72"/>
      <c r="H196" s="72"/>
      <c r="I196" s="67"/>
      <c r="J196" s="152" t="str">
        <f>IF($B196="","",_xlfn.LET(_xlpm.x,_xlfn.XLOOKUP($B196,'07. BIA'!$F$6:$F$285,'07. BIA'!$AA$6:$AA$285,""),IF(_xlpm.x=0,"",_xlpm.x)))</f>
        <v/>
      </c>
      <c r="K196" s="152" t="str">
        <f>IF($B196="","",_xlfn.LET(_xlpm.x,_xlfn.XLOOKUP($B196,'07. BIA'!$F$6:$F$285,'07. BIA'!$AD$6:$AD$285,""),IF(_xlpm.x=0,"",_xlpm.x)))</f>
        <v/>
      </c>
      <c r="L196" s="221"/>
    </row>
    <row r="197" spans="1:12" x14ac:dyDescent="0.35">
      <c r="A197" s="219">
        <v>193</v>
      </c>
      <c r="B197" s="70"/>
      <c r="C197" s="74" t="str">
        <f>IFERROR(VLOOKUP(B197,'04. Products &amp; Services'!$B$6:$E$50,4,FALSE),"")</f>
        <v/>
      </c>
      <c r="D197" s="72"/>
      <c r="E197" s="67"/>
      <c r="F197" s="72"/>
      <c r="G197" s="72"/>
      <c r="H197" s="72"/>
      <c r="I197" s="67"/>
      <c r="J197" s="152" t="str">
        <f>IF($B197="","",_xlfn.LET(_xlpm.x,_xlfn.XLOOKUP($B197,'07. BIA'!$F$6:$F$285,'07. BIA'!$AA$6:$AA$285,""),IF(_xlpm.x=0,"",_xlpm.x)))</f>
        <v/>
      </c>
      <c r="K197" s="152" t="str">
        <f>IF($B197="","",_xlfn.LET(_xlpm.x,_xlfn.XLOOKUP($B197,'07. BIA'!$F$6:$F$285,'07. BIA'!$AD$6:$AD$285,""),IF(_xlpm.x=0,"",_xlpm.x)))</f>
        <v/>
      </c>
      <c r="L197" s="221"/>
    </row>
    <row r="198" spans="1:12" x14ac:dyDescent="0.35">
      <c r="A198" s="219">
        <v>194</v>
      </c>
      <c r="B198" s="70"/>
      <c r="C198" s="74" t="str">
        <f>IFERROR(VLOOKUP(B198,'04. Products &amp; Services'!$B$6:$E$50,4,FALSE),"")</f>
        <v/>
      </c>
      <c r="D198" s="72"/>
      <c r="E198" s="67"/>
      <c r="F198" s="72"/>
      <c r="G198" s="72"/>
      <c r="H198" s="72"/>
      <c r="I198" s="67"/>
      <c r="J198" s="152" t="str">
        <f>IF($B198="","",_xlfn.LET(_xlpm.x,_xlfn.XLOOKUP($B198,'07. BIA'!$F$6:$F$285,'07. BIA'!$AA$6:$AA$285,""),IF(_xlpm.x=0,"",_xlpm.x)))</f>
        <v/>
      </c>
      <c r="K198" s="152" t="str">
        <f>IF($B198="","",_xlfn.LET(_xlpm.x,_xlfn.XLOOKUP($B198,'07. BIA'!$F$6:$F$285,'07. BIA'!$AD$6:$AD$285,""),IF(_xlpm.x=0,"",_xlpm.x)))</f>
        <v/>
      </c>
      <c r="L198" s="221"/>
    </row>
    <row r="199" spans="1:12" x14ac:dyDescent="0.35">
      <c r="A199" s="219">
        <v>195</v>
      </c>
      <c r="B199" s="70"/>
      <c r="C199" s="74" t="str">
        <f>IFERROR(VLOOKUP(B199,'04. Products &amp; Services'!$B$6:$E$50,4,FALSE),"")</f>
        <v/>
      </c>
      <c r="D199" s="72"/>
      <c r="E199" s="67"/>
      <c r="F199" s="72"/>
      <c r="G199" s="72"/>
      <c r="H199" s="72"/>
      <c r="I199" s="67"/>
      <c r="J199" s="152" t="str">
        <f>IF($B199="","",_xlfn.LET(_xlpm.x,_xlfn.XLOOKUP($B199,'07. BIA'!$F$6:$F$285,'07. BIA'!$AA$6:$AA$285,""),IF(_xlpm.x=0,"",_xlpm.x)))</f>
        <v/>
      </c>
      <c r="K199" s="152" t="str">
        <f>IF($B199="","",_xlfn.LET(_xlpm.x,_xlfn.XLOOKUP($B199,'07. BIA'!$F$6:$F$285,'07. BIA'!$AD$6:$AD$285,""),IF(_xlpm.x=0,"",_xlpm.x)))</f>
        <v/>
      </c>
      <c r="L199" s="221"/>
    </row>
    <row r="200" spans="1:12" x14ac:dyDescent="0.35">
      <c r="A200" s="219">
        <v>196</v>
      </c>
      <c r="B200" s="70"/>
      <c r="C200" s="74" t="str">
        <f>IFERROR(VLOOKUP(B200,'04. Products &amp; Services'!$B$6:$E$50,4,FALSE),"")</f>
        <v/>
      </c>
      <c r="D200" s="72"/>
      <c r="E200" s="67"/>
      <c r="F200" s="72"/>
      <c r="G200" s="72"/>
      <c r="H200" s="72"/>
      <c r="I200" s="67"/>
      <c r="J200" s="152" t="str">
        <f>IF($B200="","",_xlfn.LET(_xlpm.x,_xlfn.XLOOKUP($B200,'07. BIA'!$F$6:$F$285,'07. BIA'!$AA$6:$AA$285,""),IF(_xlpm.x=0,"",_xlpm.x)))</f>
        <v/>
      </c>
      <c r="K200" s="152" t="str">
        <f>IF($B200="","",_xlfn.LET(_xlpm.x,_xlfn.XLOOKUP($B200,'07. BIA'!$F$6:$F$285,'07. BIA'!$AD$6:$AD$285,""),IF(_xlpm.x=0,"",_xlpm.x)))</f>
        <v/>
      </c>
      <c r="L200" s="221"/>
    </row>
    <row r="201" spans="1:12" x14ac:dyDescent="0.35">
      <c r="A201" s="219">
        <v>197</v>
      </c>
      <c r="B201" s="70"/>
      <c r="C201" s="74" t="str">
        <f>IFERROR(VLOOKUP(B201,'04. Products &amp; Services'!$B$6:$E$50,4,FALSE),"")</f>
        <v/>
      </c>
      <c r="D201" s="72"/>
      <c r="E201" s="67"/>
      <c r="F201" s="72"/>
      <c r="G201" s="72"/>
      <c r="H201" s="72"/>
      <c r="I201" s="67"/>
      <c r="J201" s="152" t="str">
        <f>IF($B201="","",_xlfn.LET(_xlpm.x,_xlfn.XLOOKUP($B201,'07. BIA'!$F$6:$F$285,'07. BIA'!$AA$6:$AA$285,""),IF(_xlpm.x=0,"",_xlpm.x)))</f>
        <v/>
      </c>
      <c r="K201" s="152" t="str">
        <f>IF($B201="","",_xlfn.LET(_xlpm.x,_xlfn.XLOOKUP($B201,'07. BIA'!$F$6:$F$285,'07. BIA'!$AD$6:$AD$285,""),IF(_xlpm.x=0,"",_xlpm.x)))</f>
        <v/>
      </c>
      <c r="L201" s="221"/>
    </row>
    <row r="202" spans="1:12" x14ac:dyDescent="0.35">
      <c r="A202" s="219">
        <v>198</v>
      </c>
      <c r="B202" s="70"/>
      <c r="C202" s="74" t="str">
        <f>IFERROR(VLOOKUP(B202,'04. Products &amp; Services'!$B$6:$E$50,4,FALSE),"")</f>
        <v/>
      </c>
      <c r="D202" s="72"/>
      <c r="E202" s="67"/>
      <c r="F202" s="72"/>
      <c r="G202" s="72"/>
      <c r="H202" s="72"/>
      <c r="I202" s="67"/>
      <c r="J202" s="152" t="str">
        <f>IF($B202="","",_xlfn.LET(_xlpm.x,_xlfn.XLOOKUP($B202,'07. BIA'!$F$6:$F$285,'07. BIA'!$AA$6:$AA$285,""),IF(_xlpm.x=0,"",_xlpm.x)))</f>
        <v/>
      </c>
      <c r="K202" s="152" t="str">
        <f>IF($B202="","",_xlfn.LET(_xlpm.x,_xlfn.XLOOKUP($B202,'07. BIA'!$F$6:$F$285,'07. BIA'!$AD$6:$AD$285,""),IF(_xlpm.x=0,"",_xlpm.x)))</f>
        <v/>
      </c>
      <c r="L202" s="221"/>
    </row>
    <row r="203" spans="1:12" x14ac:dyDescent="0.35">
      <c r="A203" s="219">
        <v>199</v>
      </c>
      <c r="B203" s="70"/>
      <c r="C203" s="74" t="str">
        <f>IFERROR(VLOOKUP(B203,'04. Products &amp; Services'!$B$6:$E$50,4,FALSE),"")</f>
        <v/>
      </c>
      <c r="D203" s="72"/>
      <c r="E203" s="67"/>
      <c r="F203" s="72"/>
      <c r="G203" s="72"/>
      <c r="H203" s="72"/>
      <c r="I203" s="67"/>
      <c r="J203" s="152" t="str">
        <f>IF($B203="","",_xlfn.LET(_xlpm.x,_xlfn.XLOOKUP($B203,'07. BIA'!$F$6:$F$285,'07. BIA'!$AA$6:$AA$285,""),IF(_xlpm.x=0,"",_xlpm.x)))</f>
        <v/>
      </c>
      <c r="K203" s="152" t="str">
        <f>IF($B203="","",_xlfn.LET(_xlpm.x,_xlfn.XLOOKUP($B203,'07. BIA'!$F$6:$F$285,'07. BIA'!$AD$6:$AD$285,""),IF(_xlpm.x=0,"",_xlpm.x)))</f>
        <v/>
      </c>
      <c r="L203" s="221"/>
    </row>
    <row r="204" spans="1:12" x14ac:dyDescent="0.35">
      <c r="A204" s="219">
        <v>200</v>
      </c>
      <c r="B204" s="70"/>
      <c r="C204" s="74" t="str">
        <f>IFERROR(VLOOKUP(B204,'04. Products &amp; Services'!$B$6:$E$50,4,FALSE),"")</f>
        <v/>
      </c>
      <c r="D204" s="72"/>
      <c r="E204" s="67"/>
      <c r="F204" s="72"/>
      <c r="G204" s="72"/>
      <c r="H204" s="72"/>
      <c r="I204" s="67"/>
      <c r="J204" s="152" t="str">
        <f>IF($B204="","",_xlfn.LET(_xlpm.x,_xlfn.XLOOKUP($B204,'07. BIA'!$F$6:$F$285,'07. BIA'!$AA$6:$AA$285,""),IF(_xlpm.x=0,"",_xlpm.x)))</f>
        <v/>
      </c>
      <c r="K204" s="152" t="str">
        <f>IF($B204="","",_xlfn.LET(_xlpm.x,_xlfn.XLOOKUP($B204,'07. BIA'!$F$6:$F$285,'07. BIA'!$AD$6:$AD$285,""),IF(_xlpm.x=0,"",_xlpm.x)))</f>
        <v/>
      </c>
      <c r="L204" s="221"/>
    </row>
    <row r="205" spans="1:12" x14ac:dyDescent="0.35">
      <c r="A205" s="219">
        <v>201</v>
      </c>
      <c r="B205" s="70"/>
      <c r="C205" s="74" t="str">
        <f>IFERROR(VLOOKUP(B205,'04. Products &amp; Services'!$B$6:$E$50,4,FALSE),"")</f>
        <v/>
      </c>
      <c r="D205" s="72"/>
      <c r="E205" s="67"/>
      <c r="F205" s="72"/>
      <c r="G205" s="72"/>
      <c r="H205" s="72"/>
      <c r="I205" s="67"/>
      <c r="J205" s="152" t="str">
        <f>IF($B205="","",_xlfn.LET(_xlpm.x,_xlfn.XLOOKUP($B205,'07. BIA'!$F$6:$F$285,'07. BIA'!$AA$6:$AA$285,""),IF(_xlpm.x=0,"",_xlpm.x)))</f>
        <v/>
      </c>
      <c r="K205" s="152" t="str">
        <f>IF($B205="","",_xlfn.LET(_xlpm.x,_xlfn.XLOOKUP($B205,'07. BIA'!$F$6:$F$285,'07. BIA'!$AD$6:$AD$285,""),IF(_xlpm.x=0,"",_xlpm.x)))</f>
        <v/>
      </c>
      <c r="L205" s="221"/>
    </row>
    <row r="206" spans="1:12" x14ac:dyDescent="0.35">
      <c r="A206" s="219">
        <v>202</v>
      </c>
      <c r="B206" s="70"/>
      <c r="C206" s="74" t="str">
        <f>IFERROR(VLOOKUP(B206,'04. Products &amp; Services'!$B$6:$E$50,4,FALSE),"")</f>
        <v/>
      </c>
      <c r="D206" s="72"/>
      <c r="E206" s="67"/>
      <c r="F206" s="72"/>
      <c r="G206" s="72"/>
      <c r="H206" s="72"/>
      <c r="I206" s="67"/>
      <c r="J206" s="152" t="str">
        <f>IF($B206="","",_xlfn.LET(_xlpm.x,_xlfn.XLOOKUP($B206,'07. BIA'!$F$6:$F$285,'07. BIA'!$AA$6:$AA$285,""),IF(_xlpm.x=0,"",_xlpm.x)))</f>
        <v/>
      </c>
      <c r="K206" s="152" t="str">
        <f>IF($B206="","",_xlfn.LET(_xlpm.x,_xlfn.XLOOKUP($B206,'07. BIA'!$F$6:$F$285,'07. BIA'!$AD$6:$AD$285,""),IF(_xlpm.x=0,"",_xlpm.x)))</f>
        <v/>
      </c>
      <c r="L206" s="221"/>
    </row>
    <row r="207" spans="1:12" x14ac:dyDescent="0.35">
      <c r="A207" s="219">
        <v>203</v>
      </c>
      <c r="B207" s="70"/>
      <c r="C207" s="74" t="str">
        <f>IFERROR(VLOOKUP(B207,'04. Products &amp; Services'!$B$6:$E$50,4,FALSE),"")</f>
        <v/>
      </c>
      <c r="D207" s="72"/>
      <c r="E207" s="67"/>
      <c r="F207" s="72"/>
      <c r="G207" s="72"/>
      <c r="H207" s="72"/>
      <c r="I207" s="67"/>
      <c r="J207" s="152" t="str">
        <f>IF($B207="","",_xlfn.LET(_xlpm.x,_xlfn.XLOOKUP($B207,'07. BIA'!$F$6:$F$285,'07. BIA'!$AA$6:$AA$285,""),IF(_xlpm.x=0,"",_xlpm.x)))</f>
        <v/>
      </c>
      <c r="K207" s="152" t="str">
        <f>IF($B207="","",_xlfn.LET(_xlpm.x,_xlfn.XLOOKUP($B207,'07. BIA'!$F$6:$F$285,'07. BIA'!$AD$6:$AD$285,""),IF(_xlpm.x=0,"",_xlpm.x)))</f>
        <v/>
      </c>
      <c r="L207" s="221"/>
    </row>
    <row r="208" spans="1:12" x14ac:dyDescent="0.35">
      <c r="A208" s="219">
        <v>204</v>
      </c>
      <c r="B208" s="70"/>
      <c r="C208" s="74" t="str">
        <f>IFERROR(VLOOKUP(B208,'04. Products &amp; Services'!$B$6:$E$50,4,FALSE),"")</f>
        <v/>
      </c>
      <c r="D208" s="72"/>
      <c r="E208" s="67"/>
      <c r="F208" s="72"/>
      <c r="G208" s="72"/>
      <c r="H208" s="72"/>
      <c r="I208" s="67"/>
      <c r="J208" s="152" t="str">
        <f>IF($B208="","",_xlfn.LET(_xlpm.x,_xlfn.XLOOKUP($B208,'07. BIA'!$F$6:$F$285,'07. BIA'!$AA$6:$AA$285,""),IF(_xlpm.x=0,"",_xlpm.x)))</f>
        <v/>
      </c>
      <c r="K208" s="152" t="str">
        <f>IF($B208="","",_xlfn.LET(_xlpm.x,_xlfn.XLOOKUP($B208,'07. BIA'!$F$6:$F$285,'07. BIA'!$AD$6:$AD$285,""),IF(_xlpm.x=0,"",_xlpm.x)))</f>
        <v/>
      </c>
      <c r="L208" s="221"/>
    </row>
    <row r="209" spans="1:12" x14ac:dyDescent="0.35">
      <c r="A209" s="219">
        <v>205</v>
      </c>
      <c r="B209" s="70"/>
      <c r="C209" s="74" t="str">
        <f>IFERROR(VLOOKUP(B209,'04. Products &amp; Services'!$B$6:$E$50,4,FALSE),"")</f>
        <v/>
      </c>
      <c r="D209" s="72"/>
      <c r="E209" s="67"/>
      <c r="F209" s="72"/>
      <c r="G209" s="72"/>
      <c r="H209" s="72"/>
      <c r="I209" s="67"/>
      <c r="J209" s="152" t="str">
        <f>IF($B209="","",_xlfn.LET(_xlpm.x,_xlfn.XLOOKUP($B209,'07. BIA'!$F$6:$F$285,'07. BIA'!$AA$6:$AA$285,""),IF(_xlpm.x=0,"",_xlpm.x)))</f>
        <v/>
      </c>
      <c r="K209" s="152" t="str">
        <f>IF($B209="","",_xlfn.LET(_xlpm.x,_xlfn.XLOOKUP($B209,'07. BIA'!$F$6:$F$285,'07. BIA'!$AD$6:$AD$285,""),IF(_xlpm.x=0,"",_xlpm.x)))</f>
        <v/>
      </c>
      <c r="L209" s="221"/>
    </row>
    <row r="210" spans="1:12" x14ac:dyDescent="0.35">
      <c r="A210" s="219">
        <v>206</v>
      </c>
      <c r="B210" s="70"/>
      <c r="C210" s="74" t="str">
        <f>IFERROR(VLOOKUP(B210,'04. Products &amp; Services'!$B$6:$E$50,4,FALSE),"")</f>
        <v/>
      </c>
      <c r="D210" s="72"/>
      <c r="E210" s="67"/>
      <c r="F210" s="72"/>
      <c r="G210" s="72"/>
      <c r="H210" s="72"/>
      <c r="I210" s="67"/>
      <c r="J210" s="152" t="str">
        <f>IF($B210="","",_xlfn.LET(_xlpm.x,_xlfn.XLOOKUP($B210,'07. BIA'!$F$6:$F$285,'07. BIA'!$AA$6:$AA$285,""),IF(_xlpm.x=0,"",_xlpm.x)))</f>
        <v/>
      </c>
      <c r="K210" s="152" t="str">
        <f>IF($B210="","",_xlfn.LET(_xlpm.x,_xlfn.XLOOKUP($B210,'07. BIA'!$F$6:$F$285,'07. BIA'!$AD$6:$AD$285,""),IF(_xlpm.x=0,"",_xlpm.x)))</f>
        <v/>
      </c>
      <c r="L210" s="221"/>
    </row>
    <row r="211" spans="1:12" x14ac:dyDescent="0.35">
      <c r="A211" s="225">
        <v>207</v>
      </c>
      <c r="B211" s="226"/>
      <c r="C211" s="227" t="str">
        <f>IFERROR(VLOOKUP(B211,'04. Products &amp; Services'!$B$6:$E$50,4,FALSE),"")</f>
        <v/>
      </c>
      <c r="D211" s="228"/>
      <c r="E211" s="67"/>
      <c r="F211" s="228"/>
      <c r="G211" s="228"/>
      <c r="H211" s="228"/>
      <c r="I211" s="67"/>
      <c r="J211" s="229" t="str">
        <f>IF($B211="","",_xlfn.LET(_xlpm.x,_xlfn.XLOOKUP($B211,'07. BIA'!$F$6:$F$285,'07. BIA'!$AA$6:$AA$285,""),IF(_xlpm.x=0,"",_xlpm.x)))</f>
        <v/>
      </c>
      <c r="K211" s="229" t="str">
        <f>IF($B211="","",_xlfn.LET(_xlpm.x,_xlfn.XLOOKUP($B211,'07. BIA'!$F$6:$F$285,'07. BIA'!$AD$6:$AD$285,""),IF(_xlpm.x=0,"",_xlpm.x)))</f>
        <v/>
      </c>
      <c r="L211" s="230"/>
    </row>
    <row r="217" spans="1:12" x14ac:dyDescent="0.35">
      <c r="D217" s="27"/>
    </row>
    <row r="218" spans="1:12" x14ac:dyDescent="0.35">
      <c r="D218" s="27"/>
    </row>
    <row r="219" spans="1:12" x14ac:dyDescent="0.35">
      <c r="D219" s="27"/>
    </row>
  </sheetData>
  <mergeCells count="2">
    <mergeCell ref="A2:L2"/>
    <mergeCell ref="A1:L1"/>
  </mergeCells>
  <dataValidations count="4">
    <dataValidation type="custom" showInputMessage="1" showErrorMessage="1" sqref="D5:D211" xr:uid="{5B2CDD08-7926-4B40-94A3-E29C1405BE1E}">
      <formula1>OR($B5="",LEN(TRIM(D5))&gt;0)</formula1>
    </dataValidation>
    <dataValidation type="custom" showInputMessage="1" showErrorMessage="1" sqref="H5:H211" xr:uid="{61FB08C2-0154-4C79-BD32-12B02BD7C0CA}">
      <formula1>OR($B5="",AND(ISNUMBER(H5),H5&gt;0))</formula1>
    </dataValidation>
    <dataValidation type="list" allowBlank="1" showInputMessage="1" showErrorMessage="1" sqref="E5:E211" xr:uid="{D82D4649-E35B-4A4E-9E63-3189BA8A5441}">
      <formula1>"Daily, Monthly, Weekly, Yearly"</formula1>
    </dataValidation>
    <dataValidation type="list" allowBlank="1" showInputMessage="1" showErrorMessage="1" sqref="I5:I211" xr:uid="{8E35BB6F-E233-4EFA-AB08-7FBD08D086E0}">
      <formula1>"Yes, No"</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'04. Products &amp; Services'!$B$6:$B$50</xm:f>
          </x14:formula1>
          <xm:sqref>B5:B211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4"/>
  <sheetViews>
    <sheetView topLeftCell="C1" workbookViewId="0">
      <selection activeCell="F3" sqref="F1:I1048576"/>
    </sheetView>
  </sheetViews>
  <sheetFormatPr defaultRowHeight="14.5" x14ac:dyDescent="0.35"/>
  <cols>
    <col min="1" max="1" width="15.7265625" bestFit="1" customWidth="1"/>
    <col min="3" max="3" width="17.54296875" bestFit="1" customWidth="1"/>
    <col min="6" max="6" width="10.36328125" customWidth="1"/>
    <col min="7" max="7" width="45.1796875" bestFit="1" customWidth="1"/>
    <col min="8" max="8" width="10.453125" bestFit="1" customWidth="1"/>
    <col min="9" max="9" width="40.26953125" bestFit="1" customWidth="1"/>
  </cols>
  <sheetData>
    <row r="1" spans="1:16" ht="27.75" customHeight="1" x14ac:dyDescent="0.35">
      <c r="A1" s="314" t="s">
        <v>725</v>
      </c>
      <c r="B1" s="315"/>
      <c r="C1" s="315"/>
      <c r="D1" s="315"/>
      <c r="E1" s="315"/>
      <c r="F1" s="315"/>
      <c r="G1" s="315"/>
      <c r="H1" s="315"/>
      <c r="I1" s="315"/>
      <c r="J1" s="315"/>
      <c r="K1" s="315"/>
      <c r="L1" s="315"/>
      <c r="M1" s="315"/>
      <c r="N1" s="315"/>
      <c r="O1" s="315"/>
      <c r="P1" s="315"/>
    </row>
    <row r="2" spans="1:16" ht="18" customHeight="1" x14ac:dyDescent="0.35">
      <c r="A2" s="316" t="s">
        <v>308</v>
      </c>
      <c r="B2" s="315"/>
      <c r="C2" s="315"/>
      <c r="D2" s="315"/>
      <c r="E2" s="315"/>
      <c r="F2" s="315"/>
      <c r="G2" s="315"/>
      <c r="H2" s="315"/>
      <c r="I2" s="315"/>
      <c r="J2" s="315"/>
      <c r="K2" s="315"/>
      <c r="L2" s="315"/>
      <c r="M2" s="315"/>
      <c r="N2" s="315"/>
      <c r="O2" s="315"/>
      <c r="P2" s="315"/>
    </row>
    <row r="3" spans="1:16" ht="15" customHeight="1" x14ac:dyDescent="0.35"/>
    <row r="5" spans="1:16" x14ac:dyDescent="0.35">
      <c r="A5" s="27" t="s">
        <v>322</v>
      </c>
      <c r="B5" s="27" t="s">
        <v>323</v>
      </c>
      <c r="C5" s="27"/>
      <c r="D5" s="27"/>
      <c r="E5" s="27"/>
    </row>
    <row r="8" spans="1:16" x14ac:dyDescent="0.35">
      <c r="F8" s="85" t="s">
        <v>252</v>
      </c>
      <c r="G8" s="345" t="s">
        <v>301</v>
      </c>
      <c r="H8" s="346"/>
      <c r="I8" s="143" t="s">
        <v>304</v>
      </c>
    </row>
    <row r="9" spans="1:16" x14ac:dyDescent="0.35">
      <c r="A9" s="88" t="s">
        <v>704</v>
      </c>
      <c r="C9" s="88" t="s">
        <v>705</v>
      </c>
      <c r="F9" s="87" t="s">
        <v>786</v>
      </c>
      <c r="G9" s="86" t="s">
        <v>319</v>
      </c>
      <c r="H9" s="88" t="s">
        <v>320</v>
      </c>
      <c r="I9" s="245" t="s">
        <v>304</v>
      </c>
    </row>
    <row r="10" spans="1:16" x14ac:dyDescent="0.35">
      <c r="A10" s="263" t="s">
        <v>301</v>
      </c>
      <c r="C10" s="263" t="s">
        <v>319</v>
      </c>
      <c r="F10" s="134">
        <v>1</v>
      </c>
      <c r="G10" s="72"/>
      <c r="H10" s="72"/>
      <c r="I10" s="221"/>
    </row>
    <row r="11" spans="1:16" x14ac:dyDescent="0.35">
      <c r="A11" s="263" t="s">
        <v>304</v>
      </c>
      <c r="C11" s="263" t="s">
        <v>320</v>
      </c>
      <c r="F11" s="134">
        <v>2</v>
      </c>
      <c r="G11" s="72"/>
      <c r="H11" s="72"/>
      <c r="I11" s="221"/>
    </row>
    <row r="12" spans="1:16" x14ac:dyDescent="0.35">
      <c r="C12" s="263" t="s">
        <v>304</v>
      </c>
      <c r="F12" s="134">
        <v>3</v>
      </c>
      <c r="G12" s="72"/>
      <c r="H12" s="72"/>
      <c r="I12" s="221"/>
    </row>
    <row r="13" spans="1:16" x14ac:dyDescent="0.35">
      <c r="F13" s="134">
        <v>4</v>
      </c>
      <c r="G13" s="72"/>
      <c r="H13" s="72"/>
      <c r="I13" s="221"/>
    </row>
    <row r="14" spans="1:16" x14ac:dyDescent="0.35">
      <c r="F14" s="134">
        <v>5</v>
      </c>
      <c r="G14" s="72"/>
      <c r="H14" s="72"/>
      <c r="I14" s="221"/>
    </row>
    <row r="15" spans="1:16" x14ac:dyDescent="0.35">
      <c r="F15" s="134">
        <v>6</v>
      </c>
      <c r="G15" s="72"/>
      <c r="H15" s="72"/>
      <c r="I15" s="221"/>
    </row>
    <row r="16" spans="1:16" x14ac:dyDescent="0.35">
      <c r="F16" s="134">
        <v>7</v>
      </c>
      <c r="G16" s="72"/>
      <c r="H16" s="72"/>
      <c r="I16" s="221"/>
    </row>
    <row r="17" spans="6:9" x14ac:dyDescent="0.35">
      <c r="F17" s="134">
        <v>8</v>
      </c>
      <c r="G17" s="72"/>
      <c r="H17" s="72"/>
      <c r="I17" s="221"/>
    </row>
    <row r="18" spans="6:9" x14ac:dyDescent="0.35">
      <c r="F18" s="134">
        <v>9</v>
      </c>
      <c r="G18" s="72"/>
      <c r="H18" s="72"/>
      <c r="I18" s="221"/>
    </row>
    <row r="19" spans="6:9" x14ac:dyDescent="0.35">
      <c r="F19" s="134">
        <v>10</v>
      </c>
      <c r="G19" s="72"/>
      <c r="H19" s="72"/>
      <c r="I19" s="221"/>
    </row>
    <row r="20" spans="6:9" x14ac:dyDescent="0.35">
      <c r="F20" s="134">
        <v>11</v>
      </c>
      <c r="G20" s="72"/>
      <c r="H20" s="72"/>
      <c r="I20" s="221"/>
    </row>
    <row r="21" spans="6:9" x14ac:dyDescent="0.35">
      <c r="F21" s="134">
        <v>12</v>
      </c>
      <c r="G21" s="72"/>
      <c r="H21" s="72"/>
      <c r="I21" s="221"/>
    </row>
    <row r="22" spans="6:9" x14ac:dyDescent="0.35">
      <c r="F22" s="134">
        <v>13</v>
      </c>
      <c r="G22" s="72"/>
      <c r="H22" s="72"/>
      <c r="I22" s="221"/>
    </row>
    <row r="23" spans="6:9" x14ac:dyDescent="0.35">
      <c r="F23" s="134">
        <v>14</v>
      </c>
      <c r="G23" s="72"/>
      <c r="H23" s="72"/>
      <c r="I23" s="221"/>
    </row>
    <row r="24" spans="6:9" x14ac:dyDescent="0.35">
      <c r="F24" s="134">
        <v>15</v>
      </c>
      <c r="G24" s="72"/>
      <c r="H24" s="72"/>
      <c r="I24" s="221"/>
    </row>
    <row r="25" spans="6:9" x14ac:dyDescent="0.35">
      <c r="F25" s="134">
        <v>16</v>
      </c>
      <c r="G25" s="72"/>
      <c r="H25" s="72"/>
      <c r="I25" s="221"/>
    </row>
    <row r="26" spans="6:9" x14ac:dyDescent="0.35">
      <c r="F26" s="134">
        <v>17</v>
      </c>
      <c r="G26" s="72"/>
      <c r="H26" s="72"/>
      <c r="I26" s="221"/>
    </row>
    <row r="27" spans="6:9" x14ac:dyDescent="0.35">
      <c r="F27" s="134">
        <v>18</v>
      </c>
      <c r="G27" s="72"/>
      <c r="H27" s="72"/>
      <c r="I27" s="221"/>
    </row>
    <row r="28" spans="6:9" x14ac:dyDescent="0.35">
      <c r="F28" s="134">
        <v>19</v>
      </c>
      <c r="G28" s="72"/>
      <c r="H28" s="72"/>
      <c r="I28" s="221"/>
    </row>
    <row r="29" spans="6:9" x14ac:dyDescent="0.35">
      <c r="F29" s="134">
        <v>20</v>
      </c>
      <c r="G29" s="72"/>
      <c r="H29" s="72"/>
      <c r="I29" s="221"/>
    </row>
    <row r="30" spans="6:9" x14ac:dyDescent="0.35">
      <c r="F30" s="134">
        <v>21</v>
      </c>
      <c r="G30" s="72"/>
      <c r="H30" s="72"/>
      <c r="I30" s="221"/>
    </row>
    <row r="31" spans="6:9" x14ac:dyDescent="0.35">
      <c r="F31" s="134">
        <v>22</v>
      </c>
      <c r="G31" s="72"/>
      <c r="H31" s="72"/>
      <c r="I31" s="221"/>
    </row>
    <row r="32" spans="6:9" x14ac:dyDescent="0.35">
      <c r="F32" s="134">
        <v>23</v>
      </c>
      <c r="G32" s="72"/>
      <c r="H32" s="72"/>
      <c r="I32" s="221"/>
    </row>
    <row r="33" spans="6:9" x14ac:dyDescent="0.35">
      <c r="F33" s="134">
        <v>24</v>
      </c>
      <c r="G33" s="72"/>
      <c r="H33" s="72"/>
      <c r="I33" s="221"/>
    </row>
    <row r="34" spans="6:9" x14ac:dyDescent="0.35">
      <c r="F34" s="246">
        <v>25</v>
      </c>
      <c r="G34" s="228"/>
      <c r="H34" s="228"/>
      <c r="I34" s="230"/>
    </row>
  </sheetData>
  <mergeCells count="3">
    <mergeCell ref="G8:H8"/>
    <mergeCell ref="A1:P1"/>
    <mergeCell ref="A2:P2"/>
  </mergeCells>
  <phoneticPr fontId="52" type="noConversion"/>
  <dataValidations disablePrompts="1" count="1">
    <dataValidation type="list" allowBlank="1" showInputMessage="1" showErrorMessage="1" sqref="N9" xr:uid="{95AAB555-C847-405F-896C-31A65CE4D0ED}">
      <formula1>"I_A, I_S"</formula1>
    </dataValidation>
  </dataValidations>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4687"/>
  </sheetPr>
  <dimension ref="A1:AJ285"/>
  <sheetViews>
    <sheetView showGridLines="0" zoomScale="95" zoomScaleNormal="85" workbookViewId="0">
      <pane xSplit="5" ySplit="5" topLeftCell="Z6" activePane="bottomRight" state="frozen"/>
      <selection pane="topRight" activeCell="U1" sqref="U1"/>
      <selection pane="bottomLeft" activeCell="A6" sqref="A6"/>
      <selection pane="bottomRight" activeCell="AH6" sqref="AH6:AJ12"/>
    </sheetView>
  </sheetViews>
  <sheetFormatPr defaultColWidth="8.54296875" defaultRowHeight="15" customHeight="1" x14ac:dyDescent="0.35"/>
  <cols>
    <col min="1" max="1" width="3.81640625" bestFit="1" customWidth="1"/>
    <col min="2" max="2" width="5.81640625" bestFit="1" customWidth="1"/>
    <col min="3" max="3" width="12.54296875" bestFit="1" customWidth="1"/>
    <col min="4" max="4" width="12.81640625" bestFit="1" customWidth="1"/>
    <col min="5" max="5" width="21.90625" bestFit="1" customWidth="1"/>
    <col min="6" max="6" width="18.08984375" bestFit="1" customWidth="1"/>
    <col min="7" max="7" width="27.36328125" bestFit="1" customWidth="1"/>
    <col min="8" max="8" width="16.36328125" bestFit="1" customWidth="1"/>
    <col min="9" max="9" width="24.54296875" bestFit="1" customWidth="1"/>
    <col min="10" max="10" width="7.36328125" bestFit="1" customWidth="1"/>
    <col min="11" max="11" width="8.1796875" bestFit="1" customWidth="1"/>
    <col min="12" max="12" width="8.26953125" bestFit="1" customWidth="1"/>
    <col min="13" max="13" width="6.6328125" bestFit="1" customWidth="1"/>
    <col min="14" max="14" width="6.81640625" customWidth="1"/>
    <col min="15" max="16" width="8" customWidth="1"/>
    <col min="17" max="17" width="7.36328125" bestFit="1" customWidth="1"/>
    <col min="18" max="18" width="9.08984375" bestFit="1" customWidth="1"/>
    <col min="19" max="19" width="10.453125" bestFit="1" customWidth="1"/>
    <col min="20" max="20" width="20.81640625" bestFit="1" customWidth="1"/>
    <col min="21" max="21" width="12.26953125" bestFit="1" customWidth="1"/>
    <col min="22" max="22" width="10.08984375" bestFit="1" customWidth="1"/>
    <col min="23" max="23" width="10.36328125" bestFit="1" customWidth="1"/>
    <col min="24" max="24" width="21.90625" bestFit="1" customWidth="1"/>
    <col min="25" max="25" width="10.7265625" bestFit="1" customWidth="1"/>
    <col min="26" max="26" width="27.36328125" bestFit="1" customWidth="1"/>
    <col min="27" max="27" width="11.54296875" bestFit="1" customWidth="1"/>
    <col min="28" max="28" width="10.7265625" bestFit="1" customWidth="1"/>
    <col min="29" max="29" width="4.90625" bestFit="1" customWidth="1"/>
    <col min="30" max="30" width="17.453125" bestFit="1" customWidth="1"/>
    <col min="31" max="31" width="26.7265625" bestFit="1" customWidth="1"/>
    <col min="32" max="32" width="11.1796875" bestFit="1" customWidth="1"/>
    <col min="33" max="33" width="12" bestFit="1" customWidth="1"/>
    <col min="34" max="34" width="8.1796875" bestFit="1" customWidth="1"/>
    <col min="35" max="35" width="6.54296875" bestFit="1" customWidth="1"/>
    <col min="36" max="36" width="8.26953125" bestFit="1" customWidth="1"/>
  </cols>
  <sheetData>
    <row r="1" spans="1:36" ht="18" customHeight="1" x14ac:dyDescent="0.35">
      <c r="A1" s="314" t="s">
        <v>266</v>
      </c>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5"/>
    </row>
    <row r="2" spans="1:36" ht="14.5" customHeight="1" x14ac:dyDescent="0.35">
      <c r="A2" s="316" t="s">
        <v>267</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row>
    <row r="4" spans="1:36" ht="14.5" customHeight="1" x14ac:dyDescent="0.35">
      <c r="A4" s="350" t="s">
        <v>237</v>
      </c>
      <c r="B4" s="350" t="s">
        <v>268</v>
      </c>
      <c r="C4" s="350" t="s">
        <v>239</v>
      </c>
      <c r="D4" s="350" t="s">
        <v>240</v>
      </c>
      <c r="E4" s="350" t="s">
        <v>269</v>
      </c>
      <c r="F4" s="350" t="s">
        <v>270</v>
      </c>
      <c r="G4" s="350" t="s">
        <v>271</v>
      </c>
      <c r="H4" s="378"/>
      <c r="I4" s="350" t="s">
        <v>272</v>
      </c>
      <c r="J4" s="373" t="s">
        <v>273</v>
      </c>
      <c r="K4" s="374"/>
      <c r="L4" s="374"/>
      <c r="M4" s="374"/>
      <c r="N4" s="374"/>
      <c r="O4" s="374"/>
      <c r="P4" s="374"/>
      <c r="Q4" s="374"/>
      <c r="R4" s="375"/>
      <c r="S4" s="350" t="s">
        <v>274</v>
      </c>
      <c r="T4" s="342"/>
      <c r="U4" s="342"/>
      <c r="V4" s="342"/>
      <c r="W4" s="378"/>
      <c r="X4" s="350" t="s">
        <v>275</v>
      </c>
      <c r="Y4" s="342"/>
      <c r="Z4" s="342"/>
      <c r="AA4" s="342"/>
      <c r="AB4" s="342"/>
      <c r="AC4" s="342"/>
      <c r="AD4" s="342"/>
      <c r="AE4" s="342"/>
      <c r="AF4" s="342"/>
      <c r="AG4" s="378"/>
      <c r="AH4" s="379" t="s">
        <v>276</v>
      </c>
      <c r="AI4" s="342"/>
      <c r="AJ4" s="378"/>
    </row>
    <row r="5" spans="1:36" ht="34.5" customHeight="1" x14ac:dyDescent="0.35">
      <c r="A5" s="351"/>
      <c r="B5" s="351"/>
      <c r="C5" s="351"/>
      <c r="D5" s="351"/>
      <c r="E5" s="351"/>
      <c r="F5" s="351"/>
      <c r="G5" s="13" t="s">
        <v>277</v>
      </c>
      <c r="H5" s="13" t="s">
        <v>278</v>
      </c>
      <c r="I5" s="351"/>
      <c r="J5" s="13" t="s">
        <v>279</v>
      </c>
      <c r="K5" s="13" t="s">
        <v>280</v>
      </c>
      <c r="L5" s="13" t="s">
        <v>281</v>
      </c>
      <c r="M5" s="13" t="s">
        <v>282</v>
      </c>
      <c r="N5" s="13" t="s">
        <v>283</v>
      </c>
      <c r="O5" s="13" t="s">
        <v>284</v>
      </c>
      <c r="P5" s="13" t="s">
        <v>285</v>
      </c>
      <c r="Q5" s="13" t="s">
        <v>715</v>
      </c>
      <c r="R5" s="13" t="s">
        <v>286</v>
      </c>
      <c r="S5" s="14" t="s">
        <v>287</v>
      </c>
      <c r="T5" s="14" t="s">
        <v>288</v>
      </c>
      <c r="U5" s="14" t="s">
        <v>289</v>
      </c>
      <c r="V5" s="13" t="s">
        <v>290</v>
      </c>
      <c r="W5" s="14" t="s">
        <v>291</v>
      </c>
      <c r="X5" s="14" t="s">
        <v>292</v>
      </c>
      <c r="Y5" s="13" t="s">
        <v>716</v>
      </c>
      <c r="Z5" s="13" t="s">
        <v>293</v>
      </c>
      <c r="AA5" s="14" t="s">
        <v>708</v>
      </c>
      <c r="AB5" s="14" t="s">
        <v>294</v>
      </c>
      <c r="AC5" s="14" t="s">
        <v>378</v>
      </c>
      <c r="AD5" s="14" t="s">
        <v>710</v>
      </c>
      <c r="AE5" s="13" t="s">
        <v>707</v>
      </c>
      <c r="AF5" s="13" t="s">
        <v>295</v>
      </c>
      <c r="AG5" s="14" t="s">
        <v>296</v>
      </c>
      <c r="AH5" s="14" t="s">
        <v>297</v>
      </c>
      <c r="AI5" s="14" t="s">
        <v>298</v>
      </c>
      <c r="AJ5" s="14" t="s">
        <v>299</v>
      </c>
    </row>
    <row r="6" spans="1:36" ht="14.5" x14ac:dyDescent="0.35">
      <c r="A6" s="359">
        <v>1</v>
      </c>
      <c r="B6" s="371" t="str">
        <f>IF($E6="","","BIA-"&amp;TEXT(1,"000"))</f>
        <v>BIA-001</v>
      </c>
      <c r="C6" s="347" t="str">
        <f>IFERROR(INDEX(BusinessUnits1,MATCH(A6,'04. Products &amp; Services'!$N$6:$N$50,0)),"")</f>
        <v>ss</v>
      </c>
      <c r="D6" s="347" t="str">
        <f>IFERROR(INDEX(DivisionSites,MATCH(A6,'04. Products &amp; Services'!$N$6:$N$50,0)),"")</f>
        <v>hr</v>
      </c>
      <c r="E6" s="360" t="str">
        <f>IFERROR(INDEX(ScopeNames,MATCH(A6,'04. Products &amp; Services'!$N$6:$N$50,0)),"")</f>
        <v>cb</v>
      </c>
      <c r="F6" s="372" t="str">
        <f>_xlfn.XLOOKUP(E6,'04. Products &amp; Services'!$E$5:$E$50,'04. Products &amp; Services'!$B$5:$B$50,"")</f>
        <v>PS-001</v>
      </c>
      <c r="G6" s="76" t="s">
        <v>300</v>
      </c>
      <c r="H6" s="64" t="s">
        <v>248</v>
      </c>
      <c r="I6" s="139" t="s">
        <v>197</v>
      </c>
      <c r="J6" s="64">
        <v>1</v>
      </c>
      <c r="K6" s="64">
        <v>2</v>
      </c>
      <c r="L6" s="64">
        <v>3</v>
      </c>
      <c r="M6" s="64">
        <v>3</v>
      </c>
      <c r="N6" s="64">
        <v>4</v>
      </c>
      <c r="O6" s="64">
        <v>4</v>
      </c>
      <c r="P6" s="64"/>
      <c r="Q6" s="140"/>
      <c r="R6" s="64"/>
      <c r="S6" s="354">
        <f>IF(COUNT(J6:R12)=0,"",MAX(J6:R12))</f>
        <v>5</v>
      </c>
      <c r="T6" s="136" t="str">
        <f t="shared" ref="T6:T12" si="0">IF($S$6="","",IF(COUNT(J6:R6)=0,"",IF(MAX(J6:R6)&gt;3,$I6,"")))</f>
        <v>Financial</v>
      </c>
      <c r="U6" s="356" t="str" cm="1">
        <f t="array" ref="U6">IF($E6="","",_xlfn.LET(_xlpm.matches,_xlfn._xlws.FILTER('04. Products &amp; Services'!$J$6:$J$50,'04. Products &amp; Services'!$E$6:$E$50=$E6,""),_xlpm.n,COUNTIF($E$6:$E6,$E6),_xlpm.v,IFERROR(INDEX(_xlpm.matches,_xlpm.n),""),IF(OR(_xlpm.v="",_xlpm.v=0),"",_xlpm.v)))</f>
        <v>Yes</v>
      </c>
      <c r="V6" s="357" t="s">
        <v>248</v>
      </c>
      <c r="W6" s="354" t="str">
        <f>IF($E6="","",IF(OR($U6="Yes",$V6="Yes"),"Yes",IF(AND($U6="No",$V6="No"),"No",IF(AND($U6="Under Evaluation",$V6="No"),"Under Evaluation",""))))</f>
        <v>Yes</v>
      </c>
      <c r="X6" s="377" t="str">
        <f>IF($E6="","",IFERROR(_xlfn.LET(_xlpm.v,INDEX('04. Products &amp; Services'!$K$6:$K$50,MATCH($E6,ScopeNames,0)),IF(_xlpm.v="","",_xlpm.v)),""))</f>
        <v>fill this with the MBCO</v>
      </c>
      <c r="Y6" s="376"/>
      <c r="Z6" s="376"/>
      <c r="AA6" s="354">
        <f>IF($E6="","",IF(COUNT(J6:R12)=0,"",IF(MAX(J6:J12)&gt;=4,6,IF(MAX(K6:K12)&gt;=4,18,IF(MAX(L6:L12)&gt;=4,36,IF(MAX(M6:M12)&gt;=4,72,IF(MAX(N6:N12)&gt;=4,168,IF(MAX(O6:O12)&gt;=4,336,IF(MAX(P6:P12)&gt;=4,504,IF(MAX(Q6:Q12)&gt;=4,672,IF(MAX(R6:R12)&gt;=4,"","")))))))))))</f>
        <v>6</v>
      </c>
      <c r="AB6" s="354" t="str">
        <f>IF($F6="","",IFERROR(VLOOKUP($F6,'04. Products &amp; Services'!$B$5:$M$50,12,0),""))</f>
        <v/>
      </c>
      <c r="AC6" s="352" t="s">
        <v>958</v>
      </c>
      <c r="AD6" s="367" cm="1">
        <f t="array" ref="AD6">IF(ISBLANK(AC6),"",_xlfn.LET(
_xlpm.Num,--_xlfn.TEXTBEFORE(AC6," "),
_xlpm.Unit,LOWER(_xlfn.TEXTAFTER(AC6," ")),
_xlfn.SWITCH(_xlpm.Unit,
"hour",_xlpm.Num,
"hours",_xlpm.Num,
"day",_xlpm.Num*24,
"days",_xlpm.Num*24,
"week",_xlpm.Num*24*7,
"weeks",_xlpm.Num*24*7,
"month",_xlpm.Num*24*(365.25/12),
"months",_xlpm.Num*24*(365.25/12),
"")
))</f>
        <v>168</v>
      </c>
      <c r="AE6" s="368"/>
      <c r="AF6" s="370">
        <f ca="1">TODAY()</f>
        <v>46300</v>
      </c>
      <c r="AG6" s="363">
        <f ca="1">IF($AF6="","",DATE(YEAR($AF6)+1,MONTH($AF6),DAY($AF6)))</f>
        <v>46665</v>
      </c>
      <c r="AH6" s="361" t="str" cm="1">
        <f t="array" ref="AH6">IF($B6="","",_xlfn.LET(_xlpm.ids,'15. BCM Risk Register'!$A$6:$A$65,_xlpm.links,'15. BCM Risk Register'!$I$6:$I$65,_xlpm.hit,ISNUMBER(SEARCH(","&amp;$B6&amp;",",","&amp;SUBSTITUTE(_xlpm.links," ","")&amp;",")),IFERROR(_xlfn.TEXTJOIN(", ",TRUE,_xlfn.UNIQUE(_xlfn._xlws.FILTER(_xlpm.ids,_xlpm.hit*(_xlpm.ids&lt;&gt;"")))),"Not Created")))</f>
        <v>RA-001</v>
      </c>
      <c r="AI6" s="361" t="str" cm="1">
        <f t="array" ref="AI6">IF($B6="","",_xlfn.LET(_xlpm.ids,'15. BCM Risk Register'!$L$6:$L$65,_xlpm.links,'15. BCM Risk Register'!$I$6:$I$65,_xlpm.hit,ISNUMBER(SEARCH(","&amp;$B6&amp;",",","&amp;SUBSTITUTE(_xlpm.links," ","")&amp;",")),IFERROR(_xlfn.TEXTJOIN(", ",TRUE,_xlfn.UNIQUE(_xlfn._xlws.FILTER(_xlpm.ids,_xlpm.hit*(_xlpm.ids&lt;&gt;"")*(_xlpm.ids&lt;&gt;"Not Created")))),"Not Created")))</f>
        <v>SS-030</v>
      </c>
      <c r="AJ6" s="361" t="str" cm="1">
        <f t="array" ref="AJ6">IF($B6="","",_xlfn.LET(_xlpm.ids,'15. BCM Risk Register'!$K$6:$K$65,_xlpm.links,'15. BCM Risk Register'!$I$6:$I$65,_xlpm.hit,ISNUMBER(SEARCH(","&amp;$B6&amp;",",","&amp;SUBSTITUTE(_xlpm.links," ","")&amp;",")),IFERROR(_xlfn.TEXTJOIN(", ",TRUE,_xlfn.UNIQUE(_xlfn._xlws.FILTER(_xlpm.ids,_xlpm.hit*(_xlpm.ids&lt;&gt;"")*(_xlpm.ids&lt;&gt;"Not Created")))),"Not Created")))</f>
        <v>RR-001</v>
      </c>
    </row>
    <row r="7" spans="1:36" ht="14.5" customHeight="1" x14ac:dyDescent="0.35">
      <c r="A7" s="355"/>
      <c r="B7" s="355"/>
      <c r="C7" s="348"/>
      <c r="D7" s="348"/>
      <c r="E7" s="355"/>
      <c r="F7" s="353"/>
      <c r="G7" s="76" t="s">
        <v>301</v>
      </c>
      <c r="H7" s="64"/>
      <c r="I7" s="139" t="s">
        <v>199</v>
      </c>
      <c r="J7" s="64"/>
      <c r="K7" s="64">
        <v>5</v>
      </c>
      <c r="L7" s="64"/>
      <c r="M7" s="64"/>
      <c r="N7" s="64"/>
      <c r="O7" s="64"/>
      <c r="P7" s="64"/>
      <c r="Q7" s="140"/>
      <c r="R7" s="64"/>
      <c r="S7" s="355"/>
      <c r="T7" s="136" t="str">
        <f t="shared" si="0"/>
        <v>Operational</v>
      </c>
      <c r="U7" s="355"/>
      <c r="V7" s="358"/>
      <c r="W7" s="355"/>
      <c r="X7" s="355"/>
      <c r="Y7" s="369"/>
      <c r="Z7" s="369"/>
      <c r="AA7" s="355"/>
      <c r="AB7" s="355"/>
      <c r="AC7" s="353"/>
      <c r="AD7" s="355"/>
      <c r="AE7" s="369"/>
      <c r="AF7" s="369"/>
      <c r="AG7" s="355"/>
      <c r="AH7" s="362"/>
      <c r="AI7" s="362"/>
      <c r="AJ7" s="362"/>
    </row>
    <row r="8" spans="1:36" ht="14.5" customHeight="1" x14ac:dyDescent="0.35">
      <c r="A8" s="355"/>
      <c r="B8" s="355"/>
      <c r="C8" s="348"/>
      <c r="D8" s="348"/>
      <c r="E8" s="355"/>
      <c r="F8" s="353"/>
      <c r="G8" s="76" t="s">
        <v>302</v>
      </c>
      <c r="H8" s="64"/>
      <c r="I8" s="139" t="s">
        <v>200</v>
      </c>
      <c r="J8" s="64"/>
      <c r="K8" s="64">
        <v>1</v>
      </c>
      <c r="L8" s="64">
        <v>1</v>
      </c>
      <c r="M8" s="64">
        <v>1</v>
      </c>
      <c r="N8" s="64">
        <v>1</v>
      </c>
      <c r="O8" s="64">
        <v>1</v>
      </c>
      <c r="P8" s="64">
        <v>1</v>
      </c>
      <c r="Q8" s="140">
        <v>1</v>
      </c>
      <c r="R8" s="64">
        <v>1</v>
      </c>
      <c r="S8" s="355"/>
      <c r="T8" s="136" t="str">
        <f t="shared" si="0"/>
        <v/>
      </c>
      <c r="U8" s="355"/>
      <c r="V8" s="358"/>
      <c r="W8" s="355"/>
      <c r="X8" s="355"/>
      <c r="Y8" s="369"/>
      <c r="Z8" s="369"/>
      <c r="AA8" s="355"/>
      <c r="AB8" s="355"/>
      <c r="AC8" s="353"/>
      <c r="AD8" s="355"/>
      <c r="AE8" s="369"/>
      <c r="AF8" s="369"/>
      <c r="AG8" s="355"/>
      <c r="AH8" s="362"/>
      <c r="AI8" s="362"/>
      <c r="AJ8" s="362"/>
    </row>
    <row r="9" spans="1:36" ht="14.5" customHeight="1" x14ac:dyDescent="0.35">
      <c r="A9" s="355"/>
      <c r="B9" s="355"/>
      <c r="C9" s="348"/>
      <c r="D9" s="348"/>
      <c r="E9" s="355"/>
      <c r="F9" s="353"/>
      <c r="G9" s="76" t="s">
        <v>303</v>
      </c>
      <c r="H9" s="64"/>
      <c r="I9" s="139" t="s">
        <v>202</v>
      </c>
      <c r="J9" s="64"/>
      <c r="K9" s="64">
        <v>2</v>
      </c>
      <c r="L9" s="64">
        <v>2</v>
      </c>
      <c r="M9" s="64">
        <v>2</v>
      </c>
      <c r="N9" s="64">
        <v>2</v>
      </c>
      <c r="O9" s="64">
        <v>2</v>
      </c>
      <c r="P9" s="64">
        <v>2</v>
      </c>
      <c r="Q9" s="140">
        <v>2</v>
      </c>
      <c r="R9" s="64">
        <v>2</v>
      </c>
      <c r="S9" s="355"/>
      <c r="T9" s="136" t="str">
        <f t="shared" si="0"/>
        <v/>
      </c>
      <c r="U9" s="355"/>
      <c r="V9" s="358"/>
      <c r="W9" s="355"/>
      <c r="X9" s="355"/>
      <c r="Y9" s="369"/>
      <c r="Z9" s="369"/>
      <c r="AA9" s="355"/>
      <c r="AB9" s="355"/>
      <c r="AC9" s="353"/>
      <c r="AD9" s="355"/>
      <c r="AE9" s="369"/>
      <c r="AF9" s="369"/>
      <c r="AG9" s="355"/>
      <c r="AH9" s="362"/>
      <c r="AI9" s="362"/>
      <c r="AJ9" s="362"/>
    </row>
    <row r="10" spans="1:36" ht="14.5" customHeight="1" x14ac:dyDescent="0.35">
      <c r="A10" s="355"/>
      <c r="B10" s="355"/>
      <c r="C10" s="348"/>
      <c r="D10" s="348"/>
      <c r="E10" s="355"/>
      <c r="F10" s="353"/>
      <c r="G10" s="76" t="s">
        <v>304</v>
      </c>
      <c r="H10" s="64"/>
      <c r="I10" s="139" t="s">
        <v>203</v>
      </c>
      <c r="J10" s="64"/>
      <c r="K10" s="64">
        <v>3</v>
      </c>
      <c r="L10" s="64">
        <v>3</v>
      </c>
      <c r="M10" s="64">
        <v>3</v>
      </c>
      <c r="N10" s="64">
        <v>3</v>
      </c>
      <c r="O10" s="64">
        <v>3</v>
      </c>
      <c r="P10" s="64">
        <v>3</v>
      </c>
      <c r="Q10" s="140">
        <v>3</v>
      </c>
      <c r="R10" s="64">
        <v>3</v>
      </c>
      <c r="S10" s="355"/>
      <c r="T10" s="136" t="str">
        <f t="shared" si="0"/>
        <v/>
      </c>
      <c r="U10" s="355"/>
      <c r="V10" s="358"/>
      <c r="W10" s="355"/>
      <c r="X10" s="355"/>
      <c r="Y10" s="369"/>
      <c r="Z10" s="369"/>
      <c r="AA10" s="355"/>
      <c r="AB10" s="355"/>
      <c r="AC10" s="353"/>
      <c r="AD10" s="355"/>
      <c r="AE10" s="369"/>
      <c r="AF10" s="369"/>
      <c r="AG10" s="355"/>
      <c r="AH10" s="362"/>
      <c r="AI10" s="362"/>
      <c r="AJ10" s="362"/>
    </row>
    <row r="11" spans="1:36" ht="14.5" customHeight="1" x14ac:dyDescent="0.35">
      <c r="A11" s="355"/>
      <c r="B11" s="355"/>
      <c r="C11" s="348"/>
      <c r="D11" s="348"/>
      <c r="E11" s="355"/>
      <c r="F11" s="353"/>
      <c r="G11" s="76" t="s">
        <v>305</v>
      </c>
      <c r="H11" s="64"/>
      <c r="I11" s="139" t="s">
        <v>204</v>
      </c>
      <c r="J11" s="64"/>
      <c r="K11" s="64">
        <v>4</v>
      </c>
      <c r="L11" s="64">
        <v>4</v>
      </c>
      <c r="M11" s="64">
        <v>4</v>
      </c>
      <c r="N11" s="64">
        <v>4</v>
      </c>
      <c r="O11" s="64">
        <v>4</v>
      </c>
      <c r="P11" s="64">
        <v>4</v>
      </c>
      <c r="Q11" s="140"/>
      <c r="R11" s="64"/>
      <c r="S11" s="355"/>
      <c r="T11" s="136" t="str">
        <f t="shared" si="0"/>
        <v>Reputation</v>
      </c>
      <c r="U11" s="355"/>
      <c r="V11" s="358"/>
      <c r="W11" s="355"/>
      <c r="X11" s="355"/>
      <c r="Y11" s="369"/>
      <c r="Z11" s="369"/>
      <c r="AA11" s="355"/>
      <c r="AB11" s="355"/>
      <c r="AC11" s="353"/>
      <c r="AD11" s="355"/>
      <c r="AE11" s="369"/>
      <c r="AF11" s="369"/>
      <c r="AG11" s="355"/>
      <c r="AH11" s="362"/>
      <c r="AI11" s="362"/>
      <c r="AJ11" s="362"/>
    </row>
    <row r="12" spans="1:36" ht="14.5" customHeight="1" x14ac:dyDescent="0.35">
      <c r="A12" s="355"/>
      <c r="B12" s="355"/>
      <c r="C12" s="349"/>
      <c r="D12" s="349"/>
      <c r="E12" s="355"/>
      <c r="F12" s="353"/>
      <c r="G12" s="76" t="s">
        <v>306</v>
      </c>
      <c r="H12" s="64"/>
      <c r="I12" s="139" t="s">
        <v>205</v>
      </c>
      <c r="J12" s="64">
        <v>5</v>
      </c>
      <c r="K12" s="64">
        <v>5</v>
      </c>
      <c r="L12" s="64"/>
      <c r="M12" s="64"/>
      <c r="N12" s="64"/>
      <c r="O12" s="64"/>
      <c r="P12" s="64"/>
      <c r="Q12" s="140"/>
      <c r="R12" s="64"/>
      <c r="S12" s="355"/>
      <c r="T12" s="136" t="str">
        <f t="shared" si="0"/>
        <v>Information Technology</v>
      </c>
      <c r="U12" s="355"/>
      <c r="V12" s="358"/>
      <c r="W12" s="355"/>
      <c r="X12" s="355"/>
      <c r="Y12" s="369"/>
      <c r="Z12" s="369"/>
      <c r="AA12" s="355"/>
      <c r="AB12" s="355"/>
      <c r="AC12" s="353"/>
      <c r="AD12" s="355"/>
      <c r="AE12" s="369"/>
      <c r="AF12" s="369"/>
      <c r="AG12" s="355"/>
      <c r="AH12" s="362"/>
      <c r="AI12" s="362"/>
      <c r="AJ12" s="362"/>
    </row>
    <row r="13" spans="1:36" ht="14.5" customHeight="1" x14ac:dyDescent="0.35">
      <c r="A13" s="359">
        <v>2</v>
      </c>
      <c r="B13" s="371" t="str">
        <f>IF($E13="","","BIA-"&amp;TEXT(2,"000"))</f>
        <v/>
      </c>
      <c r="C13" s="347" t="str">
        <f>IFERROR(INDEX(BusinessUnits1,MATCH(A13,'04. Products &amp; Services'!$N$6:$N$50,0)),"")</f>
        <v/>
      </c>
      <c r="D13" s="347" t="str">
        <f>IFERROR(INDEX(DivisionSites,MATCH(A13,'04. Products &amp; Services'!$N$6:$N$50,0)),"")</f>
        <v/>
      </c>
      <c r="E13" s="360" t="str">
        <f>IFERROR(INDEX(ScopeNames,MATCH(A13,'04. Products &amp; Services'!$N$6:$N$50,0)),"")</f>
        <v/>
      </c>
      <c r="F13" s="372" t="str">
        <f>_xlfn.XLOOKUP(E13,'04. Products &amp; Services'!$E$5:$E$50,'04. Products &amp; Services'!$B$5:$B$50,"")</f>
        <v/>
      </c>
      <c r="G13" s="76" t="s">
        <v>300</v>
      </c>
      <c r="H13" s="64"/>
      <c r="I13" s="139" t="s">
        <v>197</v>
      </c>
      <c r="J13" s="64"/>
      <c r="K13" s="64"/>
      <c r="L13" s="64"/>
      <c r="M13" s="64"/>
      <c r="N13" s="64"/>
      <c r="O13" s="64"/>
      <c r="P13" s="64"/>
      <c r="Q13" s="64"/>
      <c r="R13" s="64"/>
      <c r="S13" s="364" t="str">
        <f>IF(COUNT(J13:R19)=0,"",MAX(J13:R19))</f>
        <v/>
      </c>
      <c r="T13" s="136" t="str">
        <f t="shared" ref="T13:T19" si="1">IF($S$13="","",IF(COUNT(J13:R13)=0,"",IF(MAX(J13:R13)&gt;3,$I13,"")))</f>
        <v/>
      </c>
      <c r="U13" s="356" t="str" cm="1">
        <f t="array" ref="U13">IF($E13="","",_xlfn.LET(_xlpm.matches,_xlfn._xlws.FILTER('04. Products &amp; Services'!$J$6:$J$50,'04. Products &amp; Services'!$E$6:$E$50=$E13,""),_xlpm.n,COUNTIF($E$6:$E13,$E13),_xlpm.v,IFERROR(INDEX(_xlpm.matches,_xlpm.n),""),IF(OR(_xlpm.v="",_xlpm.v=0),"",_xlpm.v)))</f>
        <v/>
      </c>
      <c r="V13" s="357"/>
      <c r="W13" s="354" t="str">
        <f>IF($E13="","",IF(OR($U13="Yes",$V13="Yes"),"Yes",IF(AND($U13="No",$V13="No"),"No",IF(AND($U13="Under Evaluation",$V13="No"),"Under Evaluation",""))))</f>
        <v/>
      </c>
      <c r="X13" s="377" t="str">
        <f>IF($E13="","",IFERROR(_xlfn.LET(_xlpm.v,INDEX('04. Products &amp; Services'!$K$6:$K$50,MATCH($E13,ScopeNames,0)),IF(_xlpm.v="","",_xlpm.v)),""))</f>
        <v/>
      </c>
      <c r="Y13" s="376"/>
      <c r="Z13" s="376"/>
      <c r="AA13" s="354" t="str">
        <f>IF($E13="","",IF(COUNT(J13:R19)=0,"",IF(MAX(J13:J19)&gt;=4,6,IF(MAX(K13:K19)&gt;=4,18,IF(MAX(L13:L19)&gt;=4,36,IF(MAX(M13:M19)&gt;=4,72,IF(MAX(N13:N19)&gt;=4,168,IF(MAX(O13:O19)&gt;=4,336,IF(MAX(P13:P19)&gt;=4,504,IF(MAX(Q13:Q19)&gt;=4,672,IF(MAX(R13:R19)&gt;=4,"","")))))))))))</f>
        <v/>
      </c>
      <c r="AB13" s="354" t="str">
        <f>IF($F13="","",IFERROR(VLOOKUP($F13,'04. Products &amp; Services'!$B$5:$M$50,12,0),""))</f>
        <v/>
      </c>
      <c r="AC13" s="352"/>
      <c r="AD13" s="367" t="str" cm="1">
        <f t="array" ref="AD13">IF(ISBLANK(AC13),"",_xlfn.LET(
_xlpm.Num,--_xlfn.TEXTBEFORE(AC13," "),
_xlpm.Unit,LOWER(_xlfn.TEXTAFTER(AC13," ")),
_xlfn.SWITCH(_xlpm.Unit,
"hour",_xlpm.Num,
"hours",_xlpm.Num,
"day",_xlpm.Num*24,
"days",_xlpm.Num*24,
"week",_xlpm.Num*24*7,
"weeks",_xlpm.Num*24*7,
"month",_xlpm.Num*24*(365.25/12),
"months",_xlpm.Num*24*(365.25/12),
"")
))</f>
        <v/>
      </c>
      <c r="AE13" s="368"/>
      <c r="AF13" s="370"/>
      <c r="AG13" s="363" t="str">
        <f>IF($AF13="","",DATE(YEAR($AF13)+1,MONTH($AF13),DAY($AF13)))</f>
        <v/>
      </c>
      <c r="AH13" s="361" t="str" cm="1">
        <f t="array" ref="AH13">IF($B13="","",_xlfn.LET(_xlpm.ids,'15. BCM Risk Register'!$A$6:$A$65,_xlpm.links,'15. BCM Risk Register'!$I$6:$I$65,_xlpm.hit,ISNUMBER(SEARCH(","&amp;$B13&amp;",",","&amp;SUBSTITUTE(_xlpm.links," ","")&amp;",")),IFERROR(_xlfn.TEXTJOIN(", ",TRUE,_xlfn.UNIQUE(_xlfn._xlws.FILTER(_xlpm.ids,_xlpm.hit*(_xlpm.ids&lt;&gt;"")))),"Not Created")))</f>
        <v/>
      </c>
      <c r="AI13" s="361" t="str" cm="1">
        <f t="array" ref="AI13">IF($B13="","",_xlfn.LET(_xlpm.ids,'15. BCM Risk Register'!$L$6:$L$65,_xlpm.links,'15. BCM Risk Register'!$I$6:$I$65,_xlpm.hit,ISNUMBER(SEARCH(","&amp;$B13&amp;",",","&amp;SUBSTITUTE(_xlpm.links," ","")&amp;",")),IFERROR(_xlfn.TEXTJOIN(", ",TRUE,_xlfn.UNIQUE(_xlfn._xlws.FILTER(_xlpm.ids,_xlpm.hit*(_xlpm.ids&lt;&gt;"")*(_xlpm.ids&lt;&gt;"Not Created")))),"Not Created")))</f>
        <v/>
      </c>
      <c r="AJ13" s="361" t="str" cm="1">
        <f t="array" ref="AJ13">IF($B13="","",_xlfn.LET(_xlpm.ids,'15. BCM Risk Register'!$K$6:$K$65,_xlpm.links,'15. BCM Risk Register'!$I$6:$I$65,_xlpm.hit,ISNUMBER(SEARCH(","&amp;$B13&amp;",",","&amp;SUBSTITUTE(_xlpm.links," ","")&amp;",")),IFERROR(_xlfn.TEXTJOIN(", ",TRUE,_xlfn.UNIQUE(_xlfn._xlws.FILTER(_xlpm.ids,_xlpm.hit*(_xlpm.ids&lt;&gt;"")*(_xlpm.ids&lt;&gt;"Not Created")))),"Not Created")))</f>
        <v/>
      </c>
    </row>
    <row r="14" spans="1:36" ht="14.5" customHeight="1" x14ac:dyDescent="0.35">
      <c r="A14" s="355"/>
      <c r="B14" s="355"/>
      <c r="C14" s="348"/>
      <c r="D14" s="348"/>
      <c r="E14" s="355"/>
      <c r="F14" s="353"/>
      <c r="G14" s="76" t="s">
        <v>301</v>
      </c>
      <c r="H14" s="64"/>
      <c r="I14" s="139" t="s">
        <v>199</v>
      </c>
      <c r="J14" s="64"/>
      <c r="K14" s="64"/>
      <c r="L14" s="64"/>
      <c r="M14" s="64"/>
      <c r="N14" s="64"/>
      <c r="O14" s="64"/>
      <c r="P14" s="64"/>
      <c r="Q14" s="64"/>
      <c r="R14" s="64"/>
      <c r="S14" s="365"/>
      <c r="T14" s="136" t="str">
        <f t="shared" si="1"/>
        <v/>
      </c>
      <c r="U14" s="355"/>
      <c r="V14" s="358"/>
      <c r="W14" s="355"/>
      <c r="X14" s="355"/>
      <c r="Y14" s="369"/>
      <c r="Z14" s="369"/>
      <c r="AA14" s="355"/>
      <c r="AB14" s="355"/>
      <c r="AC14" s="353"/>
      <c r="AD14" s="355"/>
      <c r="AE14" s="369"/>
      <c r="AF14" s="369"/>
      <c r="AG14" s="355"/>
      <c r="AH14" s="362"/>
      <c r="AI14" s="362"/>
      <c r="AJ14" s="362"/>
    </row>
    <row r="15" spans="1:36" ht="14.5" customHeight="1" x14ac:dyDescent="0.35">
      <c r="A15" s="355"/>
      <c r="B15" s="355"/>
      <c r="C15" s="348"/>
      <c r="D15" s="348"/>
      <c r="E15" s="355"/>
      <c r="F15" s="353"/>
      <c r="G15" s="76" t="s">
        <v>302</v>
      </c>
      <c r="H15" s="64"/>
      <c r="I15" s="139" t="s">
        <v>200</v>
      </c>
      <c r="J15" s="64"/>
      <c r="K15" s="64"/>
      <c r="L15" s="64"/>
      <c r="M15" s="64"/>
      <c r="N15" s="64"/>
      <c r="O15" s="64"/>
      <c r="P15" s="64"/>
      <c r="Q15" s="64"/>
      <c r="R15" s="64"/>
      <c r="S15" s="365"/>
      <c r="T15" s="136" t="str">
        <f t="shared" si="1"/>
        <v/>
      </c>
      <c r="U15" s="355"/>
      <c r="V15" s="358"/>
      <c r="W15" s="355"/>
      <c r="X15" s="355"/>
      <c r="Y15" s="369"/>
      <c r="Z15" s="369"/>
      <c r="AA15" s="355"/>
      <c r="AB15" s="355"/>
      <c r="AC15" s="353"/>
      <c r="AD15" s="355"/>
      <c r="AE15" s="369"/>
      <c r="AF15" s="369"/>
      <c r="AG15" s="355"/>
      <c r="AH15" s="362"/>
      <c r="AI15" s="362"/>
      <c r="AJ15" s="362"/>
    </row>
    <row r="16" spans="1:36" ht="14.5" customHeight="1" x14ac:dyDescent="0.35">
      <c r="A16" s="355"/>
      <c r="B16" s="355"/>
      <c r="C16" s="348"/>
      <c r="D16" s="348"/>
      <c r="E16" s="355"/>
      <c r="F16" s="353"/>
      <c r="G16" s="76" t="s">
        <v>303</v>
      </c>
      <c r="H16" s="64"/>
      <c r="I16" s="139" t="s">
        <v>202</v>
      </c>
      <c r="J16" s="64"/>
      <c r="K16" s="64"/>
      <c r="L16" s="64"/>
      <c r="M16" s="64"/>
      <c r="N16" s="64"/>
      <c r="O16" s="64"/>
      <c r="P16" s="64"/>
      <c r="Q16" s="64"/>
      <c r="R16" s="64"/>
      <c r="S16" s="365"/>
      <c r="T16" s="136" t="str">
        <f t="shared" si="1"/>
        <v/>
      </c>
      <c r="U16" s="355"/>
      <c r="V16" s="358"/>
      <c r="W16" s="355"/>
      <c r="X16" s="355"/>
      <c r="Y16" s="369"/>
      <c r="Z16" s="369"/>
      <c r="AA16" s="355"/>
      <c r="AB16" s="355"/>
      <c r="AC16" s="353"/>
      <c r="AD16" s="355"/>
      <c r="AE16" s="369"/>
      <c r="AF16" s="369"/>
      <c r="AG16" s="355"/>
      <c r="AH16" s="362"/>
      <c r="AI16" s="362"/>
      <c r="AJ16" s="362"/>
    </row>
    <row r="17" spans="1:36" ht="14.5" customHeight="1" x14ac:dyDescent="0.35">
      <c r="A17" s="355"/>
      <c r="B17" s="355"/>
      <c r="C17" s="348"/>
      <c r="D17" s="348"/>
      <c r="E17" s="355"/>
      <c r="F17" s="353"/>
      <c r="G17" s="76" t="s">
        <v>304</v>
      </c>
      <c r="H17" s="64"/>
      <c r="I17" s="139" t="s">
        <v>203</v>
      </c>
      <c r="J17" s="64"/>
      <c r="K17" s="64"/>
      <c r="L17" s="64"/>
      <c r="M17" s="64"/>
      <c r="N17" s="64"/>
      <c r="O17" s="64"/>
      <c r="P17" s="64"/>
      <c r="Q17" s="64"/>
      <c r="R17" s="64"/>
      <c r="S17" s="365"/>
      <c r="T17" s="136" t="str">
        <f t="shared" si="1"/>
        <v/>
      </c>
      <c r="U17" s="355"/>
      <c r="V17" s="358"/>
      <c r="W17" s="355"/>
      <c r="X17" s="355"/>
      <c r="Y17" s="369"/>
      <c r="Z17" s="369"/>
      <c r="AA17" s="355"/>
      <c r="AB17" s="355"/>
      <c r="AC17" s="353"/>
      <c r="AD17" s="355"/>
      <c r="AE17" s="369"/>
      <c r="AF17" s="369"/>
      <c r="AG17" s="355"/>
      <c r="AH17" s="362"/>
      <c r="AI17" s="362"/>
      <c r="AJ17" s="362"/>
    </row>
    <row r="18" spans="1:36" ht="14.5" customHeight="1" x14ac:dyDescent="0.35">
      <c r="A18" s="355"/>
      <c r="B18" s="355"/>
      <c r="C18" s="348"/>
      <c r="D18" s="348"/>
      <c r="E18" s="355"/>
      <c r="F18" s="353"/>
      <c r="G18" s="76" t="s">
        <v>305</v>
      </c>
      <c r="H18" s="64"/>
      <c r="I18" s="139" t="s">
        <v>204</v>
      </c>
      <c r="J18" s="64"/>
      <c r="K18" s="64"/>
      <c r="L18" s="64"/>
      <c r="M18" s="64"/>
      <c r="N18" s="64"/>
      <c r="O18" s="64"/>
      <c r="P18" s="64"/>
      <c r="Q18" s="64"/>
      <c r="R18" s="64"/>
      <c r="S18" s="365"/>
      <c r="T18" s="136" t="str">
        <f t="shared" si="1"/>
        <v/>
      </c>
      <c r="U18" s="355"/>
      <c r="V18" s="358"/>
      <c r="W18" s="355"/>
      <c r="X18" s="355"/>
      <c r="Y18" s="369"/>
      <c r="Z18" s="369"/>
      <c r="AA18" s="355"/>
      <c r="AB18" s="355"/>
      <c r="AC18" s="353"/>
      <c r="AD18" s="355"/>
      <c r="AE18" s="369"/>
      <c r="AF18" s="369"/>
      <c r="AG18" s="355"/>
      <c r="AH18" s="362"/>
      <c r="AI18" s="362"/>
      <c r="AJ18" s="362"/>
    </row>
    <row r="19" spans="1:36" ht="14.5" customHeight="1" x14ac:dyDescent="0.35">
      <c r="A19" s="355"/>
      <c r="B19" s="355"/>
      <c r="C19" s="349"/>
      <c r="D19" s="349"/>
      <c r="E19" s="355"/>
      <c r="F19" s="353"/>
      <c r="G19" s="76" t="s">
        <v>306</v>
      </c>
      <c r="H19" s="64"/>
      <c r="I19" s="139" t="s">
        <v>205</v>
      </c>
      <c r="J19" s="64"/>
      <c r="K19" s="64"/>
      <c r="L19" s="64"/>
      <c r="M19" s="64"/>
      <c r="N19" s="64"/>
      <c r="O19" s="64"/>
      <c r="P19" s="64"/>
      <c r="Q19" s="64"/>
      <c r="R19" s="64"/>
      <c r="S19" s="366"/>
      <c r="T19" s="136" t="str">
        <f t="shared" si="1"/>
        <v/>
      </c>
      <c r="U19" s="355"/>
      <c r="V19" s="358"/>
      <c r="W19" s="355"/>
      <c r="X19" s="355"/>
      <c r="Y19" s="369"/>
      <c r="Z19" s="369"/>
      <c r="AA19" s="355"/>
      <c r="AB19" s="355"/>
      <c r="AC19" s="353"/>
      <c r="AD19" s="355"/>
      <c r="AE19" s="369"/>
      <c r="AF19" s="369"/>
      <c r="AG19" s="355"/>
      <c r="AH19" s="362"/>
      <c r="AI19" s="362"/>
      <c r="AJ19" s="362"/>
    </row>
    <row r="20" spans="1:36" ht="14.5" customHeight="1" x14ac:dyDescent="0.35">
      <c r="A20" s="359">
        <v>3</v>
      </c>
      <c r="B20" s="371" t="str">
        <f>IF($E20="","","BIA-"&amp;TEXT(3,"000"))</f>
        <v/>
      </c>
      <c r="C20" s="347" t="str">
        <f>IFERROR(INDEX(BusinessUnits1,MATCH(A20,'04. Products &amp; Services'!$N$6:$N$50,0)),"")</f>
        <v/>
      </c>
      <c r="D20" s="347" t="str">
        <f>IFERROR(INDEX(DivisionSites,MATCH(A20,'04. Products &amp; Services'!$N$6:$N$50,0)),"")</f>
        <v/>
      </c>
      <c r="E20" s="360" t="str">
        <f>IFERROR(INDEX(ScopeNames,MATCH(A20,'04. Products &amp; Services'!$N$6:$N$50,0)),"")</f>
        <v/>
      </c>
      <c r="F20" s="372" t="str">
        <f>_xlfn.XLOOKUP(E20,'04. Products &amp; Services'!$E$5:$E$50,'04. Products &amp; Services'!$B$5:$B$50,"")</f>
        <v/>
      </c>
      <c r="G20" s="76" t="s">
        <v>300</v>
      </c>
      <c r="H20" s="64"/>
      <c r="I20" s="139" t="s">
        <v>197</v>
      </c>
      <c r="J20" s="64"/>
      <c r="K20" s="64"/>
      <c r="L20" s="64"/>
      <c r="M20" s="64"/>
      <c r="N20" s="64"/>
      <c r="O20" s="64"/>
      <c r="P20" s="64"/>
      <c r="Q20" s="64"/>
      <c r="R20" s="64"/>
      <c r="S20" s="364" t="str">
        <f>IF(COUNT(J20:R26)=0,"",MAX(J20:R26))</f>
        <v/>
      </c>
      <c r="T20" s="136" t="str">
        <f t="shared" ref="T20:T26" si="2">IF($S$20="","",IF(COUNT(J20:R20)=0,"",IF(MAX(J20:R20)&gt;3,$I20,"")))</f>
        <v/>
      </c>
      <c r="U20" s="356" t="str" cm="1">
        <f t="array" ref="U20">IF($E20="","",_xlfn.LET(_xlpm.matches,_xlfn._xlws.FILTER('04. Products &amp; Services'!$J$6:$J$50,'04. Products &amp; Services'!$E$6:$E$50=$E20,""),_xlpm.n,COUNTIF($E$6:$E20,$E20),_xlpm.v,IFERROR(INDEX(_xlpm.matches,_xlpm.n),""),IF(OR(_xlpm.v="",_xlpm.v=0),"",_xlpm.v)))</f>
        <v/>
      </c>
      <c r="V20" s="357"/>
      <c r="W20" s="354" t="str">
        <f>IF($E20="","",IF(OR($U20="Yes",$V20="Yes"),"Yes",IF(AND($U20="No",$V20="No"),"No",IF(AND($U20="Under Evaluation",$V20="No"),"Under Evaluation",""))))</f>
        <v/>
      </c>
      <c r="X20" s="377" t="str">
        <f>IF($E20="","",IFERROR(_xlfn.LET(_xlpm.v,INDEX('04. Products &amp; Services'!$K$6:$K$50,MATCH($E20,ScopeNames,0)),IF(_xlpm.v="","",_xlpm.v)),""))</f>
        <v/>
      </c>
      <c r="Y20" s="376"/>
      <c r="Z20" s="376"/>
      <c r="AA20" s="354" t="str">
        <f>IF($E20="","",IF(COUNT(J20:R26)=0,"",IF(MAX(J20:J26)&gt;=4,6,IF(MAX(K20:K26)&gt;=4,18,IF(MAX(L20:L26)&gt;=4,36,IF(MAX(M20:M26)&gt;=4,72,IF(MAX(N20:N26)&gt;=4,168,IF(MAX(O20:O26)&gt;=4,336,IF(MAX(P20:P26)&gt;=4,504,IF(MAX(Q20:Q26)&gt;=4,672,IF(MAX(R20:R26)&gt;=4,"","")))))))))))</f>
        <v/>
      </c>
      <c r="AB20" s="354" t="str">
        <f>IF($F20="","",IFERROR(VLOOKUP($F20,'04. Products &amp; Services'!$B$5:$M$50,12,0),""))</f>
        <v/>
      </c>
      <c r="AC20" s="352"/>
      <c r="AD20" s="367" t="str" cm="1">
        <f t="array" ref="AD20">IF(ISBLANK(AC20),"",_xlfn.LET(
_xlpm.Num,--_xlfn.TEXTBEFORE(AC20," "),
_xlpm.Unit,LOWER(_xlfn.TEXTAFTER(AC20," ")),
_xlfn.SWITCH(_xlpm.Unit,
"hour",_xlpm.Num,
"hours",_xlpm.Num,
"day",_xlpm.Num*24,
"days",_xlpm.Num*24,
"week",_xlpm.Num*24*7,
"weeks",_xlpm.Num*24*7,
"month",_xlpm.Num*24*(365.25/12),
"months",_xlpm.Num*24*(365.25/12),
"")
))</f>
        <v/>
      </c>
      <c r="AE20" s="368"/>
      <c r="AF20" s="370"/>
      <c r="AG20" s="363" t="str">
        <f>IF($AF20="","",DATE(YEAR($AF20)+1,MONTH($AF20),DAY($AF20)))</f>
        <v/>
      </c>
      <c r="AH20" s="361" t="str" cm="1">
        <f t="array" ref="AH20">IF($B20="","",_xlfn.LET(_xlpm.ids,'15. BCM Risk Register'!$A$6:$A$65,_xlpm.links,'15. BCM Risk Register'!$I$6:$I$65,_xlpm.hit,ISNUMBER(SEARCH(","&amp;$B20&amp;",",","&amp;SUBSTITUTE(_xlpm.links," ","")&amp;",")),IFERROR(_xlfn.TEXTJOIN(", ",TRUE,_xlfn.UNIQUE(_xlfn._xlws.FILTER(_xlpm.ids,_xlpm.hit*(_xlpm.ids&lt;&gt;"")))),"Not Created")))</f>
        <v/>
      </c>
      <c r="AI20" s="361" t="str" cm="1">
        <f t="array" ref="AI20">IF($B20="","",_xlfn.LET(_xlpm.ids,'15. BCM Risk Register'!$L$6:$L$65,_xlpm.links,'15. BCM Risk Register'!$I$6:$I$65,_xlpm.hit,ISNUMBER(SEARCH(","&amp;$B20&amp;",",","&amp;SUBSTITUTE(_xlpm.links," ","")&amp;",")),IFERROR(_xlfn.TEXTJOIN(", ",TRUE,_xlfn.UNIQUE(_xlfn._xlws.FILTER(_xlpm.ids,_xlpm.hit*(_xlpm.ids&lt;&gt;"")*(_xlpm.ids&lt;&gt;"Not Created")))),"Not Created")))</f>
        <v/>
      </c>
      <c r="AJ20" s="361" t="str" cm="1">
        <f t="array" ref="AJ20">IF($B20="","",_xlfn.LET(_xlpm.ids,'15. BCM Risk Register'!$K$6:$K$65,_xlpm.links,'15. BCM Risk Register'!$I$6:$I$65,_xlpm.hit,ISNUMBER(SEARCH(","&amp;$B20&amp;",",","&amp;SUBSTITUTE(_xlpm.links," ","")&amp;",")),IFERROR(_xlfn.TEXTJOIN(", ",TRUE,_xlfn.UNIQUE(_xlfn._xlws.FILTER(_xlpm.ids,_xlpm.hit*(_xlpm.ids&lt;&gt;"")*(_xlpm.ids&lt;&gt;"Not Created")))),"Not Created")))</f>
        <v/>
      </c>
    </row>
    <row r="21" spans="1:36" ht="14.5" customHeight="1" x14ac:dyDescent="0.35">
      <c r="A21" s="355"/>
      <c r="B21" s="355"/>
      <c r="C21" s="348"/>
      <c r="D21" s="348"/>
      <c r="E21" s="355"/>
      <c r="F21" s="353"/>
      <c r="G21" s="76" t="s">
        <v>301</v>
      </c>
      <c r="H21" s="64"/>
      <c r="I21" s="139" t="s">
        <v>199</v>
      </c>
      <c r="J21" s="64"/>
      <c r="K21" s="64"/>
      <c r="L21" s="64"/>
      <c r="M21" s="64"/>
      <c r="N21" s="64"/>
      <c r="O21" s="64"/>
      <c r="P21" s="64"/>
      <c r="Q21" s="64"/>
      <c r="R21" s="64"/>
      <c r="S21" s="365"/>
      <c r="T21" s="136" t="str">
        <f t="shared" si="2"/>
        <v/>
      </c>
      <c r="U21" s="355"/>
      <c r="V21" s="358"/>
      <c r="W21" s="355"/>
      <c r="X21" s="355"/>
      <c r="Y21" s="369"/>
      <c r="Z21" s="369"/>
      <c r="AA21" s="355"/>
      <c r="AB21" s="355"/>
      <c r="AC21" s="353"/>
      <c r="AD21" s="355"/>
      <c r="AE21" s="369"/>
      <c r="AF21" s="369"/>
      <c r="AG21" s="355"/>
      <c r="AH21" s="362"/>
      <c r="AI21" s="362"/>
      <c r="AJ21" s="362"/>
    </row>
    <row r="22" spans="1:36" ht="14.5" customHeight="1" x14ac:dyDescent="0.35">
      <c r="A22" s="355"/>
      <c r="B22" s="355"/>
      <c r="C22" s="348"/>
      <c r="D22" s="348"/>
      <c r="E22" s="355"/>
      <c r="F22" s="353"/>
      <c r="G22" s="76" t="s">
        <v>302</v>
      </c>
      <c r="H22" s="64"/>
      <c r="I22" s="139" t="s">
        <v>200</v>
      </c>
      <c r="J22" s="64"/>
      <c r="K22" s="64"/>
      <c r="L22" s="64"/>
      <c r="M22" s="64"/>
      <c r="N22" s="64"/>
      <c r="O22" s="64"/>
      <c r="P22" s="64"/>
      <c r="Q22" s="64"/>
      <c r="R22" s="64"/>
      <c r="S22" s="365"/>
      <c r="T22" s="136" t="str">
        <f t="shared" si="2"/>
        <v/>
      </c>
      <c r="U22" s="355"/>
      <c r="V22" s="358"/>
      <c r="W22" s="355"/>
      <c r="X22" s="355"/>
      <c r="Y22" s="369"/>
      <c r="Z22" s="369"/>
      <c r="AA22" s="355"/>
      <c r="AB22" s="355"/>
      <c r="AC22" s="353"/>
      <c r="AD22" s="355"/>
      <c r="AE22" s="369"/>
      <c r="AF22" s="369"/>
      <c r="AG22" s="355"/>
      <c r="AH22" s="362"/>
      <c r="AI22" s="362"/>
      <c r="AJ22" s="362"/>
    </row>
    <row r="23" spans="1:36" ht="14.5" customHeight="1" x14ac:dyDescent="0.35">
      <c r="A23" s="355"/>
      <c r="B23" s="355"/>
      <c r="C23" s="348"/>
      <c r="D23" s="348"/>
      <c r="E23" s="355"/>
      <c r="F23" s="353"/>
      <c r="G23" s="76" t="s">
        <v>303</v>
      </c>
      <c r="H23" s="64"/>
      <c r="I23" s="139" t="s">
        <v>202</v>
      </c>
      <c r="J23" s="64"/>
      <c r="K23" s="64"/>
      <c r="L23" s="64"/>
      <c r="M23" s="64"/>
      <c r="N23" s="64"/>
      <c r="O23" s="64"/>
      <c r="P23" s="64"/>
      <c r="Q23" s="64"/>
      <c r="R23" s="64"/>
      <c r="S23" s="365"/>
      <c r="T23" s="136" t="str">
        <f t="shared" si="2"/>
        <v/>
      </c>
      <c r="U23" s="355"/>
      <c r="V23" s="358"/>
      <c r="W23" s="355"/>
      <c r="X23" s="355"/>
      <c r="Y23" s="369"/>
      <c r="Z23" s="369"/>
      <c r="AA23" s="355"/>
      <c r="AB23" s="355"/>
      <c r="AC23" s="353"/>
      <c r="AD23" s="355"/>
      <c r="AE23" s="369"/>
      <c r="AF23" s="369"/>
      <c r="AG23" s="355"/>
      <c r="AH23" s="362"/>
      <c r="AI23" s="362"/>
      <c r="AJ23" s="362"/>
    </row>
    <row r="24" spans="1:36" ht="14.5" customHeight="1" x14ac:dyDescent="0.35">
      <c r="A24" s="355"/>
      <c r="B24" s="355"/>
      <c r="C24" s="348"/>
      <c r="D24" s="348"/>
      <c r="E24" s="355"/>
      <c r="F24" s="353"/>
      <c r="G24" s="76" t="s">
        <v>304</v>
      </c>
      <c r="H24" s="64"/>
      <c r="I24" s="139" t="s">
        <v>203</v>
      </c>
      <c r="J24" s="64"/>
      <c r="K24" s="64"/>
      <c r="L24" s="64"/>
      <c r="M24" s="64"/>
      <c r="N24" s="64"/>
      <c r="O24" s="64"/>
      <c r="P24" s="64"/>
      <c r="Q24" s="64"/>
      <c r="R24" s="64"/>
      <c r="S24" s="365"/>
      <c r="T24" s="136" t="str">
        <f t="shared" si="2"/>
        <v/>
      </c>
      <c r="U24" s="355"/>
      <c r="V24" s="358"/>
      <c r="W24" s="355"/>
      <c r="X24" s="355"/>
      <c r="Y24" s="369"/>
      <c r="Z24" s="369"/>
      <c r="AA24" s="355"/>
      <c r="AB24" s="355"/>
      <c r="AC24" s="353"/>
      <c r="AD24" s="355"/>
      <c r="AE24" s="369"/>
      <c r="AF24" s="369"/>
      <c r="AG24" s="355"/>
      <c r="AH24" s="362"/>
      <c r="AI24" s="362"/>
      <c r="AJ24" s="362"/>
    </row>
    <row r="25" spans="1:36" ht="14.5" customHeight="1" x14ac:dyDescent="0.35">
      <c r="A25" s="355"/>
      <c r="B25" s="355"/>
      <c r="C25" s="348"/>
      <c r="D25" s="348"/>
      <c r="E25" s="355"/>
      <c r="F25" s="353"/>
      <c r="G25" s="76" t="s">
        <v>305</v>
      </c>
      <c r="H25" s="64"/>
      <c r="I25" s="139" t="s">
        <v>204</v>
      </c>
      <c r="J25" s="64"/>
      <c r="K25" s="64"/>
      <c r="L25" s="64"/>
      <c r="M25" s="64"/>
      <c r="N25" s="64"/>
      <c r="O25" s="64"/>
      <c r="P25" s="64"/>
      <c r="Q25" s="64"/>
      <c r="R25" s="64"/>
      <c r="S25" s="365"/>
      <c r="T25" s="136" t="str">
        <f t="shared" si="2"/>
        <v/>
      </c>
      <c r="U25" s="355"/>
      <c r="V25" s="358"/>
      <c r="W25" s="355"/>
      <c r="X25" s="355"/>
      <c r="Y25" s="369"/>
      <c r="Z25" s="369"/>
      <c r="AA25" s="355"/>
      <c r="AB25" s="355"/>
      <c r="AC25" s="353"/>
      <c r="AD25" s="355"/>
      <c r="AE25" s="369"/>
      <c r="AF25" s="369"/>
      <c r="AG25" s="355"/>
      <c r="AH25" s="362"/>
      <c r="AI25" s="362"/>
      <c r="AJ25" s="362"/>
    </row>
    <row r="26" spans="1:36" ht="14.5" customHeight="1" x14ac:dyDescent="0.35">
      <c r="A26" s="355"/>
      <c r="B26" s="355"/>
      <c r="C26" s="349"/>
      <c r="D26" s="349"/>
      <c r="E26" s="355"/>
      <c r="F26" s="353"/>
      <c r="G26" s="76" t="s">
        <v>306</v>
      </c>
      <c r="H26" s="64"/>
      <c r="I26" s="139" t="s">
        <v>205</v>
      </c>
      <c r="J26" s="64"/>
      <c r="K26" s="64"/>
      <c r="L26" s="64"/>
      <c r="M26" s="64"/>
      <c r="N26" s="64"/>
      <c r="O26" s="64"/>
      <c r="P26" s="64"/>
      <c r="Q26" s="64"/>
      <c r="R26" s="64"/>
      <c r="S26" s="366"/>
      <c r="T26" s="136" t="str">
        <f t="shared" si="2"/>
        <v/>
      </c>
      <c r="U26" s="355"/>
      <c r="V26" s="358"/>
      <c r="W26" s="355"/>
      <c r="X26" s="355"/>
      <c r="Y26" s="369"/>
      <c r="Z26" s="369"/>
      <c r="AA26" s="355"/>
      <c r="AB26" s="355"/>
      <c r="AC26" s="353"/>
      <c r="AD26" s="355"/>
      <c r="AE26" s="369"/>
      <c r="AF26" s="369"/>
      <c r="AG26" s="355"/>
      <c r="AH26" s="362"/>
      <c r="AI26" s="362"/>
      <c r="AJ26" s="362"/>
    </row>
    <row r="27" spans="1:36" ht="14.5" customHeight="1" x14ac:dyDescent="0.35">
      <c r="A27" s="359">
        <v>4</v>
      </c>
      <c r="B27" s="371" t="str">
        <f>IF($E27="","","BIA-"&amp;TEXT(4,"000"))</f>
        <v/>
      </c>
      <c r="C27" s="347" t="str">
        <f>IFERROR(INDEX(BusinessUnits1,MATCH(A27,'04. Products &amp; Services'!$N$6:$N$50,0)),"")</f>
        <v/>
      </c>
      <c r="D27" s="347" t="str">
        <f>IFERROR(INDEX(DivisionSites,MATCH(A27,'04. Products &amp; Services'!$N$6:$N$50,0)),"")</f>
        <v/>
      </c>
      <c r="E27" s="360" t="str">
        <f>IFERROR(INDEX(ScopeNames,MATCH(A27,'04. Products &amp; Services'!$N$6:$N$50,0)),"")</f>
        <v/>
      </c>
      <c r="F27" s="372" t="str">
        <f>_xlfn.XLOOKUP(E27,'04. Products &amp; Services'!$E$5:$E$50,'04. Products &amp; Services'!$B$5:$B$50,"")</f>
        <v/>
      </c>
      <c r="G27" s="76" t="s">
        <v>300</v>
      </c>
      <c r="H27" s="64"/>
      <c r="I27" s="139" t="s">
        <v>197</v>
      </c>
      <c r="J27" s="64"/>
      <c r="K27" s="64"/>
      <c r="L27" s="64"/>
      <c r="M27" s="64"/>
      <c r="N27" s="64"/>
      <c r="O27" s="64"/>
      <c r="P27" s="64"/>
      <c r="Q27" s="64"/>
      <c r="R27" s="64"/>
      <c r="S27" s="364" t="str">
        <f>IF(COUNT(J27:R33)=0,"",MAX(J27:R33))</f>
        <v/>
      </c>
      <c r="T27" s="136" t="str">
        <f t="shared" ref="T27:T33" si="3">IF($S$27="","",IF(COUNT(J27:R27)=0,"",IF(MAX(J27:R27)&gt;3,$I27,"")))</f>
        <v/>
      </c>
      <c r="U27" s="356" t="str" cm="1">
        <f t="array" ref="U27">IF($E27="","",_xlfn.LET(_xlpm.matches,_xlfn._xlws.FILTER('04. Products &amp; Services'!$J$6:$J$50,'04. Products &amp; Services'!$E$6:$E$50=$E27,""),_xlpm.n,COUNTIF($E$6:$E27,$E27),_xlpm.v,IFERROR(INDEX(_xlpm.matches,_xlpm.n),""),IF(OR(_xlpm.v="",_xlpm.v=0),"",_xlpm.v)))</f>
        <v/>
      </c>
      <c r="V27" s="357"/>
      <c r="W27" s="354" t="str">
        <f>IF($E27="","",IF(OR($U27="Yes",$V27="Yes"),"Yes",IF(AND($U27="No",$V27="No"),"No",IF(AND($U27="Under Evaluation",$V27="No"),"Under Evaluation",""))))</f>
        <v/>
      </c>
      <c r="X27" s="377" t="str">
        <f>IF($E27="","",IFERROR(_xlfn.LET(_xlpm.v,INDEX('04. Products &amp; Services'!$K$6:$K$50,MATCH($E27,ScopeNames,0)),IF(_xlpm.v="","",_xlpm.v)),""))</f>
        <v/>
      </c>
      <c r="Y27" s="376"/>
      <c r="Z27" s="376"/>
      <c r="AA27" s="354" t="str">
        <f>IF($E27="","",IF(COUNT(J27:R33)=0,"",IF(MAX(J27:J33)&gt;=4,6,IF(MAX(K27:K33)&gt;=4,18,IF(MAX(L27:L33)&gt;=4,36,IF(MAX(M27:M33)&gt;=4,72,IF(MAX(N27:N33)&gt;=4,168,IF(MAX(O27:O33)&gt;=4,336,IF(MAX(P27:P33)&gt;=4,504,IF(MAX(Q27:Q33)&gt;=4,672,IF(MAX(R27:R33)&gt;=4,"","")))))))))))</f>
        <v/>
      </c>
      <c r="AB27" s="354" t="str">
        <f>IF($F27="","",IFERROR(VLOOKUP($F27,'04. Products &amp; Services'!$B$5:$M$50,12,0),""))</f>
        <v/>
      </c>
      <c r="AC27" s="352"/>
      <c r="AD27" s="367" t="str" cm="1">
        <f t="array" ref="AD27">IF(ISBLANK(AC27),"",_xlfn.LET(
_xlpm.Num,--_xlfn.TEXTBEFORE(AC27," "),
_xlpm.Unit,LOWER(_xlfn.TEXTAFTER(AC27," ")),
_xlfn.SWITCH(_xlpm.Unit,
"hour",_xlpm.Num,
"hours",_xlpm.Num,
"day",_xlpm.Num*24,
"days",_xlpm.Num*24,
"week",_xlpm.Num*24*7,
"weeks",_xlpm.Num*24*7,
"month",_xlpm.Num*24*(365.25/12),
"months",_xlpm.Num*24*(365.25/12),
"")
))</f>
        <v/>
      </c>
      <c r="AE27" s="368"/>
      <c r="AF27" s="370"/>
      <c r="AG27" s="363" t="str">
        <f>IF($AF27="","",DATE(YEAR($AF27)+1,MONTH($AF27),DAY($AF27)))</f>
        <v/>
      </c>
      <c r="AH27" s="361" t="str" cm="1">
        <f t="array" ref="AH27">IF($B27="","",_xlfn.LET(_xlpm.ids,'15. BCM Risk Register'!$A$6:$A$65,_xlpm.links,'15. BCM Risk Register'!$I$6:$I$65,_xlpm.hit,ISNUMBER(SEARCH(","&amp;$B27&amp;",",","&amp;SUBSTITUTE(_xlpm.links," ","")&amp;",")),IFERROR(_xlfn.TEXTJOIN(", ",TRUE,_xlfn.UNIQUE(_xlfn._xlws.FILTER(_xlpm.ids,_xlpm.hit*(_xlpm.ids&lt;&gt;"")))),"Not Created")))</f>
        <v/>
      </c>
      <c r="AI27" s="361" t="str" cm="1">
        <f t="array" ref="AI27">IF($B27="","",_xlfn.LET(_xlpm.ids,'15. BCM Risk Register'!$L$6:$L$65,_xlpm.links,'15. BCM Risk Register'!$I$6:$I$65,_xlpm.hit,ISNUMBER(SEARCH(","&amp;$B27&amp;",",","&amp;SUBSTITUTE(_xlpm.links," ","")&amp;",")),IFERROR(_xlfn.TEXTJOIN(", ",TRUE,_xlfn.UNIQUE(_xlfn._xlws.FILTER(_xlpm.ids,_xlpm.hit*(_xlpm.ids&lt;&gt;"")*(_xlpm.ids&lt;&gt;"Not Created")))),"Not Created")))</f>
        <v/>
      </c>
      <c r="AJ27" s="361" t="str" cm="1">
        <f t="array" ref="AJ27">IF($B27="","",_xlfn.LET(_xlpm.ids,'15. BCM Risk Register'!$K$6:$K$65,_xlpm.links,'15. BCM Risk Register'!$I$6:$I$65,_xlpm.hit,ISNUMBER(SEARCH(","&amp;$B27&amp;",",","&amp;SUBSTITUTE(_xlpm.links," ","")&amp;",")),IFERROR(_xlfn.TEXTJOIN(", ",TRUE,_xlfn.UNIQUE(_xlfn._xlws.FILTER(_xlpm.ids,_xlpm.hit*(_xlpm.ids&lt;&gt;"")*(_xlpm.ids&lt;&gt;"Not Created")))),"Not Created")))</f>
        <v/>
      </c>
    </row>
    <row r="28" spans="1:36" ht="14.5" customHeight="1" x14ac:dyDescent="0.35">
      <c r="A28" s="355"/>
      <c r="B28" s="355"/>
      <c r="C28" s="348"/>
      <c r="D28" s="348"/>
      <c r="E28" s="355"/>
      <c r="F28" s="353"/>
      <c r="G28" s="76" t="s">
        <v>301</v>
      </c>
      <c r="H28" s="64"/>
      <c r="I28" s="139" t="s">
        <v>199</v>
      </c>
      <c r="J28" s="64"/>
      <c r="K28" s="64"/>
      <c r="L28" s="64"/>
      <c r="M28" s="64"/>
      <c r="N28" s="64"/>
      <c r="O28" s="64"/>
      <c r="P28" s="64"/>
      <c r="Q28" s="64"/>
      <c r="R28" s="64"/>
      <c r="S28" s="365"/>
      <c r="T28" s="136" t="str">
        <f t="shared" si="3"/>
        <v/>
      </c>
      <c r="U28" s="355"/>
      <c r="V28" s="358"/>
      <c r="W28" s="355"/>
      <c r="X28" s="355"/>
      <c r="Y28" s="369"/>
      <c r="Z28" s="369"/>
      <c r="AA28" s="355"/>
      <c r="AB28" s="355"/>
      <c r="AC28" s="353"/>
      <c r="AD28" s="355"/>
      <c r="AE28" s="369"/>
      <c r="AF28" s="369"/>
      <c r="AG28" s="355"/>
      <c r="AH28" s="362"/>
      <c r="AI28" s="362"/>
      <c r="AJ28" s="362"/>
    </row>
    <row r="29" spans="1:36" ht="14.5" customHeight="1" x14ac:dyDescent="0.35">
      <c r="A29" s="355"/>
      <c r="B29" s="355"/>
      <c r="C29" s="348"/>
      <c r="D29" s="348"/>
      <c r="E29" s="355"/>
      <c r="F29" s="353"/>
      <c r="G29" s="76" t="s">
        <v>302</v>
      </c>
      <c r="H29" s="64"/>
      <c r="I29" s="139" t="s">
        <v>200</v>
      </c>
      <c r="J29" s="64"/>
      <c r="K29" s="64"/>
      <c r="L29" s="64"/>
      <c r="M29" s="64"/>
      <c r="N29" s="64"/>
      <c r="O29" s="64"/>
      <c r="P29" s="64"/>
      <c r="Q29" s="64"/>
      <c r="R29" s="64"/>
      <c r="S29" s="365"/>
      <c r="T29" s="136" t="str">
        <f t="shared" si="3"/>
        <v/>
      </c>
      <c r="U29" s="355"/>
      <c r="V29" s="358"/>
      <c r="W29" s="355"/>
      <c r="X29" s="355"/>
      <c r="Y29" s="369"/>
      <c r="Z29" s="369"/>
      <c r="AA29" s="355"/>
      <c r="AB29" s="355"/>
      <c r="AC29" s="353"/>
      <c r="AD29" s="355"/>
      <c r="AE29" s="369"/>
      <c r="AF29" s="369"/>
      <c r="AG29" s="355"/>
      <c r="AH29" s="362"/>
      <c r="AI29" s="362"/>
      <c r="AJ29" s="362"/>
    </row>
    <row r="30" spans="1:36" ht="14.5" customHeight="1" x14ac:dyDescent="0.35">
      <c r="A30" s="355"/>
      <c r="B30" s="355"/>
      <c r="C30" s="348"/>
      <c r="D30" s="348"/>
      <c r="E30" s="355"/>
      <c r="F30" s="353"/>
      <c r="G30" s="76" t="s">
        <v>303</v>
      </c>
      <c r="H30" s="64"/>
      <c r="I30" s="139" t="s">
        <v>202</v>
      </c>
      <c r="J30" s="64"/>
      <c r="K30" s="64"/>
      <c r="L30" s="64"/>
      <c r="M30" s="64"/>
      <c r="N30" s="64"/>
      <c r="O30" s="64"/>
      <c r="P30" s="64"/>
      <c r="Q30" s="64"/>
      <c r="R30" s="64"/>
      <c r="S30" s="365"/>
      <c r="T30" s="136" t="str">
        <f t="shared" si="3"/>
        <v/>
      </c>
      <c r="U30" s="355"/>
      <c r="V30" s="358"/>
      <c r="W30" s="355"/>
      <c r="X30" s="355"/>
      <c r="Y30" s="369"/>
      <c r="Z30" s="369"/>
      <c r="AA30" s="355"/>
      <c r="AB30" s="355"/>
      <c r="AC30" s="353"/>
      <c r="AD30" s="355"/>
      <c r="AE30" s="369"/>
      <c r="AF30" s="369"/>
      <c r="AG30" s="355"/>
      <c r="AH30" s="362"/>
      <c r="AI30" s="362"/>
      <c r="AJ30" s="362"/>
    </row>
    <row r="31" spans="1:36" ht="14.5" customHeight="1" x14ac:dyDescent="0.35">
      <c r="A31" s="355"/>
      <c r="B31" s="355"/>
      <c r="C31" s="348"/>
      <c r="D31" s="348"/>
      <c r="E31" s="355"/>
      <c r="F31" s="353"/>
      <c r="G31" s="76" t="s">
        <v>304</v>
      </c>
      <c r="H31" s="64"/>
      <c r="I31" s="139" t="s">
        <v>203</v>
      </c>
      <c r="J31" s="64"/>
      <c r="K31" s="64"/>
      <c r="L31" s="64"/>
      <c r="M31" s="64"/>
      <c r="N31" s="64"/>
      <c r="O31" s="64"/>
      <c r="P31" s="64"/>
      <c r="Q31" s="64"/>
      <c r="R31" s="64"/>
      <c r="S31" s="365"/>
      <c r="T31" s="136" t="str">
        <f t="shared" si="3"/>
        <v/>
      </c>
      <c r="U31" s="355"/>
      <c r="V31" s="358"/>
      <c r="W31" s="355"/>
      <c r="X31" s="355"/>
      <c r="Y31" s="369"/>
      <c r="Z31" s="369"/>
      <c r="AA31" s="355"/>
      <c r="AB31" s="355"/>
      <c r="AC31" s="353"/>
      <c r="AD31" s="355"/>
      <c r="AE31" s="369"/>
      <c r="AF31" s="369"/>
      <c r="AG31" s="355"/>
      <c r="AH31" s="362"/>
      <c r="AI31" s="362"/>
      <c r="AJ31" s="362"/>
    </row>
    <row r="32" spans="1:36" ht="14.5" customHeight="1" x14ac:dyDescent="0.35">
      <c r="A32" s="355"/>
      <c r="B32" s="355"/>
      <c r="C32" s="348"/>
      <c r="D32" s="348"/>
      <c r="E32" s="355"/>
      <c r="F32" s="353"/>
      <c r="G32" s="76" t="s">
        <v>305</v>
      </c>
      <c r="H32" s="64"/>
      <c r="I32" s="139" t="s">
        <v>204</v>
      </c>
      <c r="J32" s="64"/>
      <c r="K32" s="64"/>
      <c r="L32" s="64"/>
      <c r="M32" s="64"/>
      <c r="N32" s="64"/>
      <c r="O32" s="64"/>
      <c r="P32" s="64"/>
      <c r="Q32" s="64"/>
      <c r="R32" s="64"/>
      <c r="S32" s="365"/>
      <c r="T32" s="136" t="str">
        <f t="shared" si="3"/>
        <v/>
      </c>
      <c r="U32" s="355"/>
      <c r="V32" s="358"/>
      <c r="W32" s="355"/>
      <c r="X32" s="355"/>
      <c r="Y32" s="369"/>
      <c r="Z32" s="369"/>
      <c r="AA32" s="355"/>
      <c r="AB32" s="355"/>
      <c r="AC32" s="353"/>
      <c r="AD32" s="355"/>
      <c r="AE32" s="369"/>
      <c r="AF32" s="369"/>
      <c r="AG32" s="355"/>
      <c r="AH32" s="362"/>
      <c r="AI32" s="362"/>
      <c r="AJ32" s="362"/>
    </row>
    <row r="33" spans="1:36" ht="14.5" customHeight="1" x14ac:dyDescent="0.35">
      <c r="A33" s="355"/>
      <c r="B33" s="355"/>
      <c r="C33" s="349"/>
      <c r="D33" s="349"/>
      <c r="E33" s="355"/>
      <c r="F33" s="353"/>
      <c r="G33" s="76" t="s">
        <v>306</v>
      </c>
      <c r="H33" s="64"/>
      <c r="I33" s="139" t="s">
        <v>205</v>
      </c>
      <c r="J33" s="64"/>
      <c r="K33" s="64"/>
      <c r="L33" s="64"/>
      <c r="M33" s="64"/>
      <c r="N33" s="64"/>
      <c r="O33" s="64"/>
      <c r="P33" s="64"/>
      <c r="Q33" s="64"/>
      <c r="R33" s="64"/>
      <c r="S33" s="366"/>
      <c r="T33" s="136" t="str">
        <f t="shared" si="3"/>
        <v/>
      </c>
      <c r="U33" s="355"/>
      <c r="V33" s="358"/>
      <c r="W33" s="355"/>
      <c r="X33" s="355"/>
      <c r="Y33" s="369"/>
      <c r="Z33" s="369"/>
      <c r="AA33" s="355"/>
      <c r="AB33" s="355"/>
      <c r="AC33" s="353"/>
      <c r="AD33" s="355"/>
      <c r="AE33" s="369"/>
      <c r="AF33" s="369"/>
      <c r="AG33" s="355"/>
      <c r="AH33" s="362"/>
      <c r="AI33" s="362"/>
      <c r="AJ33" s="362"/>
    </row>
    <row r="34" spans="1:36" ht="14.5" customHeight="1" x14ac:dyDescent="0.35">
      <c r="A34" s="359">
        <v>5</v>
      </c>
      <c r="B34" s="371" t="str">
        <f>IF($E34="","","BIA-"&amp;TEXT(5,"000"))</f>
        <v/>
      </c>
      <c r="C34" s="347" t="str">
        <f>IFERROR(INDEX(BusinessUnits1,MATCH(A34,'04. Products &amp; Services'!$N$6:$N$50,0)),"")</f>
        <v/>
      </c>
      <c r="D34" s="347" t="str">
        <f>IFERROR(INDEX(DivisionSites,MATCH(A34,'04. Products &amp; Services'!$N$6:$N$50,0)),"")</f>
        <v/>
      </c>
      <c r="E34" s="360" t="str">
        <f>IFERROR(INDEX(ScopeNames,MATCH(A34,'04. Products &amp; Services'!$N$6:$N$50,0)),"")</f>
        <v/>
      </c>
      <c r="F34" s="372" t="str">
        <f>_xlfn.XLOOKUP(E34,'04. Products &amp; Services'!$E$5:$E$50,'04. Products &amp; Services'!$B$5:$B$50,"")</f>
        <v/>
      </c>
      <c r="G34" s="76" t="s">
        <v>300</v>
      </c>
      <c r="H34" s="64"/>
      <c r="I34" s="139" t="s">
        <v>197</v>
      </c>
      <c r="J34" s="64"/>
      <c r="K34" s="64"/>
      <c r="L34" s="64"/>
      <c r="M34" s="64"/>
      <c r="N34" s="64"/>
      <c r="O34" s="64"/>
      <c r="P34" s="64"/>
      <c r="Q34" s="64"/>
      <c r="R34" s="64"/>
      <c r="S34" s="364" t="str">
        <f>IF(COUNT(J34:R40)=0,"",MAX(J34:R40))</f>
        <v/>
      </c>
      <c r="T34" s="136" t="str">
        <f t="shared" ref="T34:T40" si="4">IF($S$34="","",IF(COUNT(J34:R34)=0,"",IF(MAX(J34:R34)&gt;3,$I34,"")))</f>
        <v/>
      </c>
      <c r="U34" s="356" t="str" cm="1">
        <f t="array" ref="U34">IF($E34="","",_xlfn.LET(_xlpm.matches,_xlfn._xlws.FILTER('04. Products &amp; Services'!$J$6:$J$50,'04. Products &amp; Services'!$E$6:$E$50=$E34,""),_xlpm.n,COUNTIF($E$6:$E34,$E34),_xlpm.v,IFERROR(INDEX(_xlpm.matches,_xlpm.n),""),IF(OR(_xlpm.v="",_xlpm.v=0),"",_xlpm.v)))</f>
        <v/>
      </c>
      <c r="V34" s="357"/>
      <c r="W34" s="354" t="str">
        <f>IF($E34="","",IF(OR($U34="Yes",$V34="Yes"),"Yes",IF(AND($U34="No",$V34="No"),"No",IF(AND($U34="Under Evaluation",$V34="No"),"Under Evaluation",""))))</f>
        <v/>
      </c>
      <c r="X34" s="377" t="str">
        <f>IF($E34="","",IFERROR(_xlfn.LET(_xlpm.v,INDEX('04. Products &amp; Services'!$K$6:$K$50,MATCH($E34,ScopeNames,0)),IF(_xlpm.v="","",_xlpm.v)),""))</f>
        <v/>
      </c>
      <c r="Y34" s="376"/>
      <c r="Z34" s="376"/>
      <c r="AA34" s="354" t="str">
        <f>IF($E34="","",IF(COUNT(J34:R40)=0,"",IF(MAX(J34:J40)&gt;=4,6,IF(MAX(K34:K40)&gt;=4,18,IF(MAX(L34:L40)&gt;=4,36,IF(MAX(M34:M40)&gt;=4,72,IF(MAX(N34:N40)&gt;=4,168,IF(MAX(O34:O40)&gt;=4,336,IF(MAX(P34:P40)&gt;=4,504,IF(MAX(Q34:Q40)&gt;=4,672,IF(MAX(R34:R40)&gt;=4,"","")))))))))))</f>
        <v/>
      </c>
      <c r="AB34" s="354" t="str">
        <f>IF($F34="","",IFERROR(VLOOKUP($F34,'04. Products &amp; Services'!$B$5:$M$50,12,0),""))</f>
        <v/>
      </c>
      <c r="AC34" s="352"/>
      <c r="AD34" s="367" t="str" cm="1">
        <f t="array" ref="AD34">IF(ISBLANK(AC34),"",_xlfn.LET(
_xlpm.Num,--_xlfn.TEXTBEFORE(AC34," "),
_xlpm.Unit,LOWER(_xlfn.TEXTAFTER(AC34," ")),
_xlfn.SWITCH(_xlpm.Unit,
"hour",_xlpm.Num,
"hours",_xlpm.Num,
"day",_xlpm.Num*24,
"days",_xlpm.Num*24,
"week",_xlpm.Num*24*7,
"weeks",_xlpm.Num*24*7,
"month",_xlpm.Num*24*(365.25/12),
"months",_xlpm.Num*24*(365.25/12),
"")
))</f>
        <v/>
      </c>
      <c r="AE34" s="368"/>
      <c r="AF34" s="370"/>
      <c r="AG34" s="363" t="str">
        <f>IF($AF34="","",DATE(YEAR($AF34)+1,MONTH($AF34),DAY($AF34)))</f>
        <v/>
      </c>
      <c r="AH34" s="361" t="str" cm="1">
        <f t="array" ref="AH34">IF($B34="","",_xlfn.LET(_xlpm.ids,'15. BCM Risk Register'!$A$6:$A$65,_xlpm.links,'15. BCM Risk Register'!$I$6:$I$65,_xlpm.hit,ISNUMBER(SEARCH(","&amp;$B34&amp;",",","&amp;SUBSTITUTE(_xlpm.links," ","")&amp;",")),IFERROR(_xlfn.TEXTJOIN(", ",TRUE,_xlfn.UNIQUE(_xlfn._xlws.FILTER(_xlpm.ids,_xlpm.hit*(_xlpm.ids&lt;&gt;"")))),"Not Created")))</f>
        <v/>
      </c>
      <c r="AI34" s="361" t="str" cm="1">
        <f t="array" ref="AI34">IF($B34="","",_xlfn.LET(_xlpm.ids,'15. BCM Risk Register'!$L$6:$L$65,_xlpm.links,'15. BCM Risk Register'!$I$6:$I$65,_xlpm.hit,ISNUMBER(SEARCH(","&amp;$B34&amp;",",","&amp;SUBSTITUTE(_xlpm.links," ","")&amp;",")),IFERROR(_xlfn.TEXTJOIN(", ",TRUE,_xlfn.UNIQUE(_xlfn._xlws.FILTER(_xlpm.ids,_xlpm.hit*(_xlpm.ids&lt;&gt;"")*(_xlpm.ids&lt;&gt;"Not Created")))),"Not Created")))</f>
        <v/>
      </c>
      <c r="AJ34" s="361" t="str" cm="1">
        <f t="array" ref="AJ34">IF($B34="","",_xlfn.LET(_xlpm.ids,'15. BCM Risk Register'!$K$6:$K$65,_xlpm.links,'15. BCM Risk Register'!$I$6:$I$65,_xlpm.hit,ISNUMBER(SEARCH(","&amp;$B34&amp;",",","&amp;SUBSTITUTE(_xlpm.links," ","")&amp;",")),IFERROR(_xlfn.TEXTJOIN(", ",TRUE,_xlfn.UNIQUE(_xlfn._xlws.FILTER(_xlpm.ids,_xlpm.hit*(_xlpm.ids&lt;&gt;"")*(_xlpm.ids&lt;&gt;"Not Created")))),"Not Created")))</f>
        <v/>
      </c>
    </row>
    <row r="35" spans="1:36" ht="14.5" customHeight="1" x14ac:dyDescent="0.35">
      <c r="A35" s="355"/>
      <c r="B35" s="355"/>
      <c r="C35" s="348"/>
      <c r="D35" s="348"/>
      <c r="E35" s="355"/>
      <c r="F35" s="353"/>
      <c r="G35" s="76" t="s">
        <v>301</v>
      </c>
      <c r="H35" s="64"/>
      <c r="I35" s="139" t="s">
        <v>199</v>
      </c>
      <c r="J35" s="64"/>
      <c r="K35" s="64"/>
      <c r="L35" s="64"/>
      <c r="M35" s="64"/>
      <c r="N35" s="64"/>
      <c r="O35" s="64"/>
      <c r="P35" s="64"/>
      <c r="Q35" s="64"/>
      <c r="R35" s="64"/>
      <c r="S35" s="365"/>
      <c r="T35" s="136" t="str">
        <f t="shared" si="4"/>
        <v/>
      </c>
      <c r="U35" s="355"/>
      <c r="V35" s="358"/>
      <c r="W35" s="355"/>
      <c r="X35" s="355"/>
      <c r="Y35" s="369"/>
      <c r="Z35" s="369"/>
      <c r="AA35" s="355"/>
      <c r="AB35" s="355"/>
      <c r="AC35" s="353"/>
      <c r="AD35" s="355"/>
      <c r="AE35" s="369"/>
      <c r="AF35" s="369"/>
      <c r="AG35" s="355"/>
      <c r="AH35" s="362"/>
      <c r="AI35" s="362"/>
      <c r="AJ35" s="362"/>
    </row>
    <row r="36" spans="1:36" ht="14.5" customHeight="1" x14ac:dyDescent="0.35">
      <c r="A36" s="355"/>
      <c r="B36" s="355"/>
      <c r="C36" s="348"/>
      <c r="D36" s="348"/>
      <c r="E36" s="355"/>
      <c r="F36" s="353"/>
      <c r="G36" s="76" t="s">
        <v>302</v>
      </c>
      <c r="H36" s="64"/>
      <c r="I36" s="139" t="s">
        <v>200</v>
      </c>
      <c r="J36" s="64"/>
      <c r="K36" s="64"/>
      <c r="L36" s="64"/>
      <c r="M36" s="64"/>
      <c r="N36" s="64"/>
      <c r="O36" s="64"/>
      <c r="P36" s="64"/>
      <c r="Q36" s="64"/>
      <c r="R36" s="64"/>
      <c r="S36" s="365"/>
      <c r="T36" s="136" t="str">
        <f t="shared" si="4"/>
        <v/>
      </c>
      <c r="U36" s="355"/>
      <c r="V36" s="358"/>
      <c r="W36" s="355"/>
      <c r="X36" s="355"/>
      <c r="Y36" s="369"/>
      <c r="Z36" s="369"/>
      <c r="AA36" s="355"/>
      <c r="AB36" s="355"/>
      <c r="AC36" s="353"/>
      <c r="AD36" s="355"/>
      <c r="AE36" s="369"/>
      <c r="AF36" s="369"/>
      <c r="AG36" s="355"/>
      <c r="AH36" s="362"/>
      <c r="AI36" s="362"/>
      <c r="AJ36" s="362"/>
    </row>
    <row r="37" spans="1:36" ht="14.5" customHeight="1" x14ac:dyDescent="0.35">
      <c r="A37" s="355"/>
      <c r="B37" s="355"/>
      <c r="C37" s="348"/>
      <c r="D37" s="348"/>
      <c r="E37" s="355"/>
      <c r="F37" s="353"/>
      <c r="G37" s="76" t="s">
        <v>303</v>
      </c>
      <c r="H37" s="64"/>
      <c r="I37" s="139" t="s">
        <v>202</v>
      </c>
      <c r="J37" s="64"/>
      <c r="K37" s="64"/>
      <c r="L37" s="64"/>
      <c r="M37" s="64"/>
      <c r="N37" s="64"/>
      <c r="O37" s="64"/>
      <c r="P37" s="64"/>
      <c r="Q37" s="64"/>
      <c r="R37" s="64"/>
      <c r="S37" s="365"/>
      <c r="T37" s="136" t="str">
        <f t="shared" si="4"/>
        <v/>
      </c>
      <c r="U37" s="355"/>
      <c r="V37" s="358"/>
      <c r="W37" s="355"/>
      <c r="X37" s="355"/>
      <c r="Y37" s="369"/>
      <c r="Z37" s="369"/>
      <c r="AA37" s="355"/>
      <c r="AB37" s="355"/>
      <c r="AC37" s="353"/>
      <c r="AD37" s="355"/>
      <c r="AE37" s="369"/>
      <c r="AF37" s="369"/>
      <c r="AG37" s="355"/>
      <c r="AH37" s="362"/>
      <c r="AI37" s="362"/>
      <c r="AJ37" s="362"/>
    </row>
    <row r="38" spans="1:36" ht="14.5" customHeight="1" x14ac:dyDescent="0.35">
      <c r="A38" s="355"/>
      <c r="B38" s="355"/>
      <c r="C38" s="348"/>
      <c r="D38" s="348"/>
      <c r="E38" s="355"/>
      <c r="F38" s="353"/>
      <c r="G38" s="76" t="s">
        <v>304</v>
      </c>
      <c r="H38" s="64"/>
      <c r="I38" s="139" t="s">
        <v>203</v>
      </c>
      <c r="J38" s="64"/>
      <c r="K38" s="64"/>
      <c r="L38" s="64"/>
      <c r="M38" s="64"/>
      <c r="N38" s="64"/>
      <c r="O38" s="64"/>
      <c r="P38" s="64"/>
      <c r="Q38" s="64"/>
      <c r="R38" s="64"/>
      <c r="S38" s="365"/>
      <c r="T38" s="136" t="str">
        <f t="shared" si="4"/>
        <v/>
      </c>
      <c r="U38" s="355"/>
      <c r="V38" s="358"/>
      <c r="W38" s="355"/>
      <c r="X38" s="355"/>
      <c r="Y38" s="369"/>
      <c r="Z38" s="369"/>
      <c r="AA38" s="355"/>
      <c r="AB38" s="355"/>
      <c r="AC38" s="353"/>
      <c r="AD38" s="355"/>
      <c r="AE38" s="369"/>
      <c r="AF38" s="369"/>
      <c r="AG38" s="355"/>
      <c r="AH38" s="362"/>
      <c r="AI38" s="362"/>
      <c r="AJ38" s="362"/>
    </row>
    <row r="39" spans="1:36" ht="14.5" customHeight="1" x14ac:dyDescent="0.35">
      <c r="A39" s="355"/>
      <c r="B39" s="355"/>
      <c r="C39" s="348"/>
      <c r="D39" s="348"/>
      <c r="E39" s="355"/>
      <c r="F39" s="353"/>
      <c r="G39" s="76" t="s">
        <v>305</v>
      </c>
      <c r="H39" s="64"/>
      <c r="I39" s="139" t="s">
        <v>204</v>
      </c>
      <c r="J39" s="64"/>
      <c r="K39" s="64"/>
      <c r="L39" s="64"/>
      <c r="M39" s="64"/>
      <c r="N39" s="64"/>
      <c r="O39" s="64"/>
      <c r="P39" s="64"/>
      <c r="Q39" s="64"/>
      <c r="R39" s="64"/>
      <c r="S39" s="365"/>
      <c r="T39" s="136" t="str">
        <f t="shared" si="4"/>
        <v/>
      </c>
      <c r="U39" s="355"/>
      <c r="V39" s="358"/>
      <c r="W39" s="355"/>
      <c r="X39" s="355"/>
      <c r="Y39" s="369"/>
      <c r="Z39" s="369"/>
      <c r="AA39" s="355"/>
      <c r="AB39" s="355"/>
      <c r="AC39" s="353"/>
      <c r="AD39" s="355"/>
      <c r="AE39" s="369"/>
      <c r="AF39" s="369"/>
      <c r="AG39" s="355"/>
      <c r="AH39" s="362"/>
      <c r="AI39" s="362"/>
      <c r="AJ39" s="362"/>
    </row>
    <row r="40" spans="1:36" ht="14.5" customHeight="1" x14ac:dyDescent="0.35">
      <c r="A40" s="355"/>
      <c r="B40" s="355"/>
      <c r="C40" s="349"/>
      <c r="D40" s="349"/>
      <c r="E40" s="355"/>
      <c r="F40" s="353"/>
      <c r="G40" s="76" t="s">
        <v>306</v>
      </c>
      <c r="H40" s="64"/>
      <c r="I40" s="139" t="s">
        <v>205</v>
      </c>
      <c r="J40" s="64"/>
      <c r="K40" s="64"/>
      <c r="L40" s="64"/>
      <c r="M40" s="64"/>
      <c r="N40" s="64"/>
      <c r="O40" s="64"/>
      <c r="P40" s="64"/>
      <c r="Q40" s="64"/>
      <c r="R40" s="64"/>
      <c r="S40" s="366"/>
      <c r="T40" s="136" t="str">
        <f t="shared" si="4"/>
        <v/>
      </c>
      <c r="U40" s="355"/>
      <c r="V40" s="358"/>
      <c r="W40" s="355"/>
      <c r="X40" s="355"/>
      <c r="Y40" s="369"/>
      <c r="Z40" s="369"/>
      <c r="AA40" s="355"/>
      <c r="AB40" s="355"/>
      <c r="AC40" s="353"/>
      <c r="AD40" s="355"/>
      <c r="AE40" s="369"/>
      <c r="AF40" s="369"/>
      <c r="AG40" s="355"/>
      <c r="AH40" s="362"/>
      <c r="AI40" s="362"/>
      <c r="AJ40" s="362"/>
    </row>
    <row r="41" spans="1:36" ht="14.5" customHeight="1" x14ac:dyDescent="0.35">
      <c r="A41" s="359">
        <v>6</v>
      </c>
      <c r="B41" s="371" t="str">
        <f>IF($E41="","","BIA-"&amp;TEXT(6,"000"))</f>
        <v/>
      </c>
      <c r="C41" s="347" t="str">
        <f>IFERROR(INDEX(BusinessUnits1,MATCH(A41,'04. Products &amp; Services'!$N$6:$N$50,0)),"")</f>
        <v/>
      </c>
      <c r="D41" s="347" t="str">
        <f>IFERROR(INDEX(DivisionSites,MATCH(A41,'04. Products &amp; Services'!$N$6:$N$50,0)),"")</f>
        <v/>
      </c>
      <c r="E41" s="360" t="str">
        <f>IFERROR(INDEX(ScopeNames,MATCH(A41,'04. Products &amp; Services'!$N$6:$N$50,0)),"")</f>
        <v/>
      </c>
      <c r="F41" s="372" t="str">
        <f>_xlfn.XLOOKUP(E41,'04. Products &amp; Services'!$E$5:$E$50,'04. Products &amp; Services'!$B$5:$B$50,"")</f>
        <v/>
      </c>
      <c r="G41" s="76" t="s">
        <v>300</v>
      </c>
      <c r="H41" s="64"/>
      <c r="I41" s="139" t="s">
        <v>197</v>
      </c>
      <c r="J41" s="64"/>
      <c r="K41" s="64"/>
      <c r="L41" s="64"/>
      <c r="M41" s="64"/>
      <c r="N41" s="64"/>
      <c r="O41" s="64"/>
      <c r="P41" s="64"/>
      <c r="Q41" s="64"/>
      <c r="R41" s="64"/>
      <c r="S41" s="364" t="str">
        <f>IF(COUNT(J41:R47)=0,"",MAX(J41:R47))</f>
        <v/>
      </c>
      <c r="T41" s="136" t="str">
        <f t="shared" ref="T41:T47" si="5">IF($S$41="","",IF(COUNT(J41:R41)=0,"",IF(MAX(J41:R41)&gt;3,$I41,"")))</f>
        <v/>
      </c>
      <c r="U41" s="356" t="str" cm="1">
        <f t="array" ref="U41">IF($E41="","",_xlfn.LET(_xlpm.matches,_xlfn._xlws.FILTER('04. Products &amp; Services'!$J$6:$J$50,'04. Products &amp; Services'!$E$6:$E$50=$E41,""),_xlpm.n,COUNTIF($E$6:$E41,$E41),_xlpm.v,IFERROR(INDEX(_xlpm.matches,_xlpm.n),""),IF(OR(_xlpm.v="",_xlpm.v=0),"",_xlpm.v)))</f>
        <v/>
      </c>
      <c r="V41" s="357"/>
      <c r="W41" s="354" t="str">
        <f>IF($E41="","",IF(OR($U41="Yes",$V41="Yes"),"Yes",IF(AND($U41="No",$V41="No"),"No",IF(AND($U41="Under Evaluation",$V41="No"),"Under Evaluation",""))))</f>
        <v/>
      </c>
      <c r="X41" s="377" t="str">
        <f>IF($E41="","",IFERROR(_xlfn.LET(_xlpm.v,INDEX('04. Products &amp; Services'!$K$6:$K$50,MATCH($E41,ScopeNames,0)),IF(_xlpm.v="","",_xlpm.v)),""))</f>
        <v/>
      </c>
      <c r="Y41" s="376"/>
      <c r="Z41" s="376"/>
      <c r="AA41" s="354" t="str">
        <f>IF($E41="","",IF(COUNT(J41:R47)=0,"",IF(MAX(J41:J47)&gt;=4,6,IF(MAX(K41:K47)&gt;=4,18,IF(MAX(L41:L47)&gt;=4,36,IF(MAX(M41:M47)&gt;=4,72,IF(MAX(N41:N47)&gt;=4,168,IF(MAX(O41:O47)&gt;=4,336,IF(MAX(P41:P47)&gt;=4,504,IF(MAX(Q41:Q47)&gt;=4,672,IF(MAX(R41:R47)&gt;=4,"","")))))))))))</f>
        <v/>
      </c>
      <c r="AB41" s="354" t="str">
        <f>IF($F41="","",IFERROR(VLOOKUP($F41,'04. Products &amp; Services'!$B$5:$M$50,12,0),""))</f>
        <v/>
      </c>
      <c r="AC41" s="352"/>
      <c r="AD41" s="367" t="str" cm="1">
        <f t="array" ref="AD41">IF(ISBLANK(AC41),"",_xlfn.LET(
_xlpm.Num,--_xlfn.TEXTBEFORE(AC41," "),
_xlpm.Unit,LOWER(_xlfn.TEXTAFTER(AC41," ")),
_xlfn.SWITCH(_xlpm.Unit,
"hour",_xlpm.Num,
"hours",_xlpm.Num,
"day",_xlpm.Num*24,
"days",_xlpm.Num*24,
"week",_xlpm.Num*24*7,
"weeks",_xlpm.Num*24*7,
"month",_xlpm.Num*24*(365.25/12),
"months",_xlpm.Num*24*(365.25/12),
"")
))</f>
        <v/>
      </c>
      <c r="AE41" s="368"/>
      <c r="AF41" s="370"/>
      <c r="AG41" s="363" t="str">
        <f>IF($AF41="","",DATE(YEAR($AF41)+1,MONTH($AF41),DAY($AF41)))</f>
        <v/>
      </c>
      <c r="AH41" s="361" t="str" cm="1">
        <f t="array" ref="AH41">IF($B41="","",_xlfn.LET(_xlpm.ids,'15. BCM Risk Register'!$A$6:$A$65,_xlpm.links,'15. BCM Risk Register'!$I$6:$I$65,_xlpm.hit,ISNUMBER(SEARCH(","&amp;$B41&amp;",",","&amp;SUBSTITUTE(_xlpm.links," ","")&amp;",")),IFERROR(_xlfn.TEXTJOIN(", ",TRUE,_xlfn.UNIQUE(_xlfn._xlws.FILTER(_xlpm.ids,_xlpm.hit*(_xlpm.ids&lt;&gt;"")))),"Not Created")))</f>
        <v/>
      </c>
      <c r="AI41" s="361" t="str" cm="1">
        <f t="array" ref="AI41">IF($B41="","",_xlfn.LET(_xlpm.ids,'15. BCM Risk Register'!$L$6:$L$65,_xlpm.links,'15. BCM Risk Register'!$I$6:$I$65,_xlpm.hit,ISNUMBER(SEARCH(","&amp;$B41&amp;",",","&amp;SUBSTITUTE(_xlpm.links," ","")&amp;",")),IFERROR(_xlfn.TEXTJOIN(", ",TRUE,_xlfn.UNIQUE(_xlfn._xlws.FILTER(_xlpm.ids,_xlpm.hit*(_xlpm.ids&lt;&gt;"")*(_xlpm.ids&lt;&gt;"Not Created")))),"Not Created")))</f>
        <v/>
      </c>
      <c r="AJ41" s="361" t="str" cm="1">
        <f t="array" ref="AJ41">IF($B41="","",_xlfn.LET(_xlpm.ids,'15. BCM Risk Register'!$K$6:$K$65,_xlpm.links,'15. BCM Risk Register'!$I$6:$I$65,_xlpm.hit,ISNUMBER(SEARCH(","&amp;$B41&amp;",",","&amp;SUBSTITUTE(_xlpm.links," ","")&amp;",")),IFERROR(_xlfn.TEXTJOIN(", ",TRUE,_xlfn.UNIQUE(_xlfn._xlws.FILTER(_xlpm.ids,_xlpm.hit*(_xlpm.ids&lt;&gt;"")*(_xlpm.ids&lt;&gt;"Not Created")))),"Not Created")))</f>
        <v/>
      </c>
    </row>
    <row r="42" spans="1:36" ht="14.5" customHeight="1" x14ac:dyDescent="0.35">
      <c r="A42" s="355"/>
      <c r="B42" s="355"/>
      <c r="C42" s="348"/>
      <c r="D42" s="348"/>
      <c r="E42" s="355"/>
      <c r="F42" s="353"/>
      <c r="G42" s="76" t="s">
        <v>301</v>
      </c>
      <c r="H42" s="64"/>
      <c r="I42" s="139" t="s">
        <v>199</v>
      </c>
      <c r="J42" s="64"/>
      <c r="K42" s="64"/>
      <c r="L42" s="64"/>
      <c r="M42" s="64"/>
      <c r="N42" s="64"/>
      <c r="O42" s="64"/>
      <c r="P42" s="64"/>
      <c r="Q42" s="64"/>
      <c r="R42" s="64"/>
      <c r="S42" s="365"/>
      <c r="T42" s="136" t="str">
        <f t="shared" si="5"/>
        <v/>
      </c>
      <c r="U42" s="355"/>
      <c r="V42" s="358"/>
      <c r="W42" s="355"/>
      <c r="X42" s="355"/>
      <c r="Y42" s="369"/>
      <c r="Z42" s="369"/>
      <c r="AA42" s="355"/>
      <c r="AB42" s="355"/>
      <c r="AC42" s="353"/>
      <c r="AD42" s="355"/>
      <c r="AE42" s="369"/>
      <c r="AF42" s="369"/>
      <c r="AG42" s="355"/>
      <c r="AH42" s="362"/>
      <c r="AI42" s="362"/>
      <c r="AJ42" s="362"/>
    </row>
    <row r="43" spans="1:36" ht="14.5" customHeight="1" x14ac:dyDescent="0.35">
      <c r="A43" s="355"/>
      <c r="B43" s="355"/>
      <c r="C43" s="348"/>
      <c r="D43" s="348"/>
      <c r="E43" s="355"/>
      <c r="F43" s="353"/>
      <c r="G43" s="76" t="s">
        <v>302</v>
      </c>
      <c r="H43" s="64"/>
      <c r="I43" s="139" t="s">
        <v>200</v>
      </c>
      <c r="J43" s="64"/>
      <c r="K43" s="64"/>
      <c r="L43" s="64"/>
      <c r="M43" s="64"/>
      <c r="N43" s="64"/>
      <c r="O43" s="64"/>
      <c r="P43" s="64"/>
      <c r="Q43" s="64"/>
      <c r="R43" s="64"/>
      <c r="S43" s="365"/>
      <c r="T43" s="136" t="str">
        <f t="shared" si="5"/>
        <v/>
      </c>
      <c r="U43" s="355"/>
      <c r="V43" s="358"/>
      <c r="W43" s="355"/>
      <c r="X43" s="355"/>
      <c r="Y43" s="369"/>
      <c r="Z43" s="369"/>
      <c r="AA43" s="355"/>
      <c r="AB43" s="355"/>
      <c r="AC43" s="353"/>
      <c r="AD43" s="355"/>
      <c r="AE43" s="369"/>
      <c r="AF43" s="369"/>
      <c r="AG43" s="355"/>
      <c r="AH43" s="362"/>
      <c r="AI43" s="362"/>
      <c r="AJ43" s="362"/>
    </row>
    <row r="44" spans="1:36" ht="14.5" customHeight="1" x14ac:dyDescent="0.35">
      <c r="A44" s="355"/>
      <c r="B44" s="355"/>
      <c r="C44" s="348"/>
      <c r="D44" s="348"/>
      <c r="E44" s="355"/>
      <c r="F44" s="353"/>
      <c r="G44" s="76" t="s">
        <v>303</v>
      </c>
      <c r="H44" s="64"/>
      <c r="I44" s="139" t="s">
        <v>202</v>
      </c>
      <c r="J44" s="64"/>
      <c r="K44" s="64"/>
      <c r="L44" s="64"/>
      <c r="M44" s="64"/>
      <c r="N44" s="64"/>
      <c r="O44" s="64"/>
      <c r="P44" s="64"/>
      <c r="Q44" s="64"/>
      <c r="R44" s="64"/>
      <c r="S44" s="365"/>
      <c r="T44" s="136" t="str">
        <f t="shared" si="5"/>
        <v/>
      </c>
      <c r="U44" s="355"/>
      <c r="V44" s="358"/>
      <c r="W44" s="355"/>
      <c r="X44" s="355"/>
      <c r="Y44" s="369"/>
      <c r="Z44" s="369"/>
      <c r="AA44" s="355"/>
      <c r="AB44" s="355"/>
      <c r="AC44" s="353"/>
      <c r="AD44" s="355"/>
      <c r="AE44" s="369"/>
      <c r="AF44" s="369"/>
      <c r="AG44" s="355"/>
      <c r="AH44" s="362"/>
      <c r="AI44" s="362"/>
      <c r="AJ44" s="362"/>
    </row>
    <row r="45" spans="1:36" ht="14.5" customHeight="1" x14ac:dyDescent="0.35">
      <c r="A45" s="355"/>
      <c r="B45" s="355"/>
      <c r="C45" s="348"/>
      <c r="D45" s="348"/>
      <c r="E45" s="355"/>
      <c r="F45" s="353"/>
      <c r="G45" s="76" t="s">
        <v>304</v>
      </c>
      <c r="H45" s="64"/>
      <c r="I45" s="139" t="s">
        <v>203</v>
      </c>
      <c r="J45" s="64"/>
      <c r="K45" s="64"/>
      <c r="L45" s="64"/>
      <c r="M45" s="64"/>
      <c r="N45" s="64"/>
      <c r="O45" s="64"/>
      <c r="P45" s="64"/>
      <c r="Q45" s="64"/>
      <c r="R45" s="64"/>
      <c r="S45" s="365"/>
      <c r="T45" s="136" t="str">
        <f t="shared" si="5"/>
        <v/>
      </c>
      <c r="U45" s="355"/>
      <c r="V45" s="358"/>
      <c r="W45" s="355"/>
      <c r="X45" s="355"/>
      <c r="Y45" s="369"/>
      <c r="Z45" s="369"/>
      <c r="AA45" s="355"/>
      <c r="AB45" s="355"/>
      <c r="AC45" s="353"/>
      <c r="AD45" s="355"/>
      <c r="AE45" s="369"/>
      <c r="AF45" s="369"/>
      <c r="AG45" s="355"/>
      <c r="AH45" s="362"/>
      <c r="AI45" s="362"/>
      <c r="AJ45" s="362"/>
    </row>
    <row r="46" spans="1:36" ht="14.5" customHeight="1" x14ac:dyDescent="0.35">
      <c r="A46" s="355"/>
      <c r="B46" s="355"/>
      <c r="C46" s="348"/>
      <c r="D46" s="348"/>
      <c r="E46" s="355"/>
      <c r="F46" s="353"/>
      <c r="G46" s="76" t="s">
        <v>305</v>
      </c>
      <c r="H46" s="64"/>
      <c r="I46" s="139" t="s">
        <v>204</v>
      </c>
      <c r="J46" s="64"/>
      <c r="K46" s="64"/>
      <c r="L46" s="64"/>
      <c r="M46" s="64"/>
      <c r="N46" s="64"/>
      <c r="O46" s="64"/>
      <c r="P46" s="64"/>
      <c r="Q46" s="64"/>
      <c r="R46" s="64"/>
      <c r="S46" s="365"/>
      <c r="T46" s="136" t="str">
        <f t="shared" si="5"/>
        <v/>
      </c>
      <c r="U46" s="355"/>
      <c r="V46" s="358"/>
      <c r="W46" s="355"/>
      <c r="X46" s="355"/>
      <c r="Y46" s="369"/>
      <c r="Z46" s="369"/>
      <c r="AA46" s="355"/>
      <c r="AB46" s="355"/>
      <c r="AC46" s="353"/>
      <c r="AD46" s="355"/>
      <c r="AE46" s="369"/>
      <c r="AF46" s="369"/>
      <c r="AG46" s="355"/>
      <c r="AH46" s="362"/>
      <c r="AI46" s="362"/>
      <c r="AJ46" s="362"/>
    </row>
    <row r="47" spans="1:36" ht="14.5" customHeight="1" x14ac:dyDescent="0.35">
      <c r="A47" s="355"/>
      <c r="B47" s="355"/>
      <c r="C47" s="349"/>
      <c r="D47" s="349"/>
      <c r="E47" s="355"/>
      <c r="F47" s="353"/>
      <c r="G47" s="76" t="s">
        <v>306</v>
      </c>
      <c r="H47" s="64"/>
      <c r="I47" s="139" t="s">
        <v>205</v>
      </c>
      <c r="J47" s="64"/>
      <c r="K47" s="64"/>
      <c r="L47" s="64"/>
      <c r="M47" s="64"/>
      <c r="N47" s="64"/>
      <c r="O47" s="64"/>
      <c r="P47" s="64"/>
      <c r="Q47" s="64"/>
      <c r="R47" s="64"/>
      <c r="S47" s="366"/>
      <c r="T47" s="136" t="str">
        <f t="shared" si="5"/>
        <v/>
      </c>
      <c r="U47" s="355"/>
      <c r="V47" s="358"/>
      <c r="W47" s="355"/>
      <c r="X47" s="355"/>
      <c r="Y47" s="369"/>
      <c r="Z47" s="369"/>
      <c r="AA47" s="355"/>
      <c r="AB47" s="355"/>
      <c r="AC47" s="353"/>
      <c r="AD47" s="355"/>
      <c r="AE47" s="369"/>
      <c r="AF47" s="369"/>
      <c r="AG47" s="355"/>
      <c r="AH47" s="362"/>
      <c r="AI47" s="362"/>
      <c r="AJ47" s="362"/>
    </row>
    <row r="48" spans="1:36" ht="14.5" customHeight="1" x14ac:dyDescent="0.35">
      <c r="A48" s="359">
        <v>7</v>
      </c>
      <c r="B48" s="371" t="str">
        <f>IF($E48="","","BIA-"&amp;TEXT(7,"000"))</f>
        <v/>
      </c>
      <c r="C48" s="347" t="str">
        <f>IFERROR(INDEX(BusinessUnits1,MATCH(A48,'04. Products &amp; Services'!$N$6:$N$50,0)),"")</f>
        <v/>
      </c>
      <c r="D48" s="347" t="str">
        <f>IFERROR(INDEX(DivisionSites,MATCH(A48,'04. Products &amp; Services'!$N$6:$N$50,0)),"")</f>
        <v/>
      </c>
      <c r="E48" s="360" t="str">
        <f>IFERROR(INDEX(ScopeNames,MATCH(A48,'04. Products &amp; Services'!$N$6:$N$50,0)),"")</f>
        <v/>
      </c>
      <c r="F48" s="372" t="str">
        <f>_xlfn.XLOOKUP(E48,'04. Products &amp; Services'!$E$5:$E$50,'04. Products &amp; Services'!$B$5:$B$50,"")</f>
        <v/>
      </c>
      <c r="G48" s="76" t="s">
        <v>300</v>
      </c>
      <c r="H48" s="64"/>
      <c r="I48" s="139" t="s">
        <v>197</v>
      </c>
      <c r="J48" s="64"/>
      <c r="K48" s="64"/>
      <c r="L48" s="64"/>
      <c r="M48" s="64"/>
      <c r="N48" s="64"/>
      <c r="O48" s="64"/>
      <c r="P48" s="64"/>
      <c r="Q48" s="64"/>
      <c r="R48" s="64"/>
      <c r="S48" s="364" t="str">
        <f>IF(COUNT(J48:R54)=0,"",MAX(J48:R54))</f>
        <v/>
      </c>
      <c r="T48" s="136" t="str">
        <f t="shared" ref="T48:T54" si="6">IF($S$48="","",IF(COUNT(J48:R48)=0,"",IF(MAX(J48:R48)&gt;3,$I48,"")))</f>
        <v/>
      </c>
      <c r="U48" s="356" t="str" cm="1">
        <f t="array" ref="U48">IF($E48="","",_xlfn.LET(_xlpm.matches,_xlfn._xlws.FILTER('04. Products &amp; Services'!$J$6:$J$50,'04. Products &amp; Services'!$E$6:$E$50=$E48,""),_xlpm.n,COUNTIF($E$6:$E48,$E48),_xlpm.v,IFERROR(INDEX(_xlpm.matches,_xlpm.n),""),IF(OR(_xlpm.v="",_xlpm.v=0),"",_xlpm.v)))</f>
        <v/>
      </c>
      <c r="V48" s="357"/>
      <c r="W48" s="354" t="str">
        <f>IF($E48="","",IF(OR($U48="Yes",$V48="Yes"),"Yes",IF(AND($U48="No",$V48="No"),"No",IF(AND($U48="Under Evaluation",$V48="No"),"Under Evaluation",""))))</f>
        <v/>
      </c>
      <c r="X48" s="377" t="str">
        <f>IF($E48="","",IFERROR(_xlfn.LET(_xlpm.v,INDEX('04. Products &amp; Services'!$K$6:$K$50,MATCH($E48,ScopeNames,0)),IF(_xlpm.v="","",_xlpm.v)),""))</f>
        <v/>
      </c>
      <c r="Y48" s="376"/>
      <c r="Z48" s="376"/>
      <c r="AA48" s="354" t="str">
        <f>IF($E48="","",IF(COUNT(J48:R54)=0,"",IF(MAX(J48:J54)&gt;=4,6,IF(MAX(K48:K54)&gt;=4,18,IF(MAX(L48:L54)&gt;=4,36,IF(MAX(M48:M54)&gt;=4,72,IF(MAX(N48:N54)&gt;=4,168,IF(MAX(O48:O54)&gt;=4,336,IF(MAX(P48:P54)&gt;=4,504,IF(MAX(Q48:Q54)&gt;=4,672,IF(MAX(R48:R54)&gt;=4,"","")))))))))))</f>
        <v/>
      </c>
      <c r="AB48" s="354" t="str">
        <f>IF($F48="","",IFERROR(VLOOKUP($F48,'04. Products &amp; Services'!$B$5:$M$50,12,0),""))</f>
        <v/>
      </c>
      <c r="AC48" s="352"/>
      <c r="AD48" s="367" t="str" cm="1">
        <f t="array" ref="AD48">IF(ISBLANK(AC48),"",_xlfn.LET(
_xlpm.Num,--_xlfn.TEXTBEFORE(AC48," "),
_xlpm.Unit,LOWER(_xlfn.TEXTAFTER(AC48," ")),
_xlfn.SWITCH(_xlpm.Unit,
"hour",_xlpm.Num,
"hours",_xlpm.Num,
"day",_xlpm.Num*24,
"days",_xlpm.Num*24,
"week",_xlpm.Num*24*7,
"weeks",_xlpm.Num*24*7,
"month",_xlpm.Num*24*(365.25/12),
"months",_xlpm.Num*24*(365.25/12),
"")
))</f>
        <v/>
      </c>
      <c r="AE48" s="368"/>
      <c r="AF48" s="370"/>
      <c r="AG48" s="363" t="str">
        <f>IF($AF48="","",DATE(YEAR($AF48)+1,MONTH($AF48),DAY($AF48)))</f>
        <v/>
      </c>
      <c r="AH48" s="361" t="str" cm="1">
        <f t="array" ref="AH48">IF($B48="","",_xlfn.LET(_xlpm.ids,'15. BCM Risk Register'!$A$6:$A$65,_xlpm.links,'15. BCM Risk Register'!$I$6:$I$65,_xlpm.hit,ISNUMBER(SEARCH(","&amp;$B48&amp;",",","&amp;SUBSTITUTE(_xlpm.links," ","")&amp;",")),IFERROR(_xlfn.TEXTJOIN(", ",TRUE,_xlfn.UNIQUE(_xlfn._xlws.FILTER(_xlpm.ids,_xlpm.hit*(_xlpm.ids&lt;&gt;"")))),"Not Created")))</f>
        <v/>
      </c>
      <c r="AI48" s="361" t="str" cm="1">
        <f t="array" ref="AI48">IF($B48="","",_xlfn.LET(_xlpm.ids,'15. BCM Risk Register'!$L$6:$L$65,_xlpm.links,'15. BCM Risk Register'!$I$6:$I$65,_xlpm.hit,ISNUMBER(SEARCH(","&amp;$B48&amp;",",","&amp;SUBSTITUTE(_xlpm.links," ","")&amp;",")),IFERROR(_xlfn.TEXTJOIN(", ",TRUE,_xlfn.UNIQUE(_xlfn._xlws.FILTER(_xlpm.ids,_xlpm.hit*(_xlpm.ids&lt;&gt;"")*(_xlpm.ids&lt;&gt;"Not Created")))),"Not Created")))</f>
        <v/>
      </c>
      <c r="AJ48" s="361" t="str" cm="1">
        <f t="array" ref="AJ48">IF($B48="","",_xlfn.LET(_xlpm.ids,'15. BCM Risk Register'!$K$6:$K$65,_xlpm.links,'15. BCM Risk Register'!$I$6:$I$65,_xlpm.hit,ISNUMBER(SEARCH(","&amp;$B48&amp;",",","&amp;SUBSTITUTE(_xlpm.links," ","")&amp;",")),IFERROR(_xlfn.TEXTJOIN(", ",TRUE,_xlfn.UNIQUE(_xlfn._xlws.FILTER(_xlpm.ids,_xlpm.hit*(_xlpm.ids&lt;&gt;"")*(_xlpm.ids&lt;&gt;"Not Created")))),"Not Created")))</f>
        <v/>
      </c>
    </row>
    <row r="49" spans="1:36" ht="14.5" customHeight="1" x14ac:dyDescent="0.35">
      <c r="A49" s="355"/>
      <c r="B49" s="355"/>
      <c r="C49" s="348"/>
      <c r="D49" s="348"/>
      <c r="E49" s="355"/>
      <c r="F49" s="353"/>
      <c r="G49" s="76" t="s">
        <v>301</v>
      </c>
      <c r="H49" s="64"/>
      <c r="I49" s="139" t="s">
        <v>199</v>
      </c>
      <c r="J49" s="64"/>
      <c r="K49" s="64"/>
      <c r="L49" s="64"/>
      <c r="M49" s="64"/>
      <c r="N49" s="64"/>
      <c r="O49" s="64"/>
      <c r="P49" s="64"/>
      <c r="Q49" s="64"/>
      <c r="R49" s="64"/>
      <c r="S49" s="365"/>
      <c r="T49" s="136" t="str">
        <f t="shared" si="6"/>
        <v/>
      </c>
      <c r="U49" s="355"/>
      <c r="V49" s="358"/>
      <c r="W49" s="355"/>
      <c r="X49" s="355"/>
      <c r="Y49" s="369"/>
      <c r="Z49" s="369"/>
      <c r="AA49" s="355"/>
      <c r="AB49" s="355"/>
      <c r="AC49" s="353"/>
      <c r="AD49" s="355"/>
      <c r="AE49" s="369"/>
      <c r="AF49" s="369"/>
      <c r="AG49" s="355"/>
      <c r="AH49" s="362"/>
      <c r="AI49" s="362"/>
      <c r="AJ49" s="362"/>
    </row>
    <row r="50" spans="1:36" ht="14.5" customHeight="1" x14ac:dyDescent="0.35">
      <c r="A50" s="355"/>
      <c r="B50" s="355"/>
      <c r="C50" s="348"/>
      <c r="D50" s="348"/>
      <c r="E50" s="355"/>
      <c r="F50" s="353"/>
      <c r="G50" s="76" t="s">
        <v>302</v>
      </c>
      <c r="H50" s="64"/>
      <c r="I50" s="139" t="s">
        <v>200</v>
      </c>
      <c r="J50" s="64"/>
      <c r="K50" s="64"/>
      <c r="L50" s="64"/>
      <c r="M50" s="64"/>
      <c r="N50" s="64"/>
      <c r="O50" s="64"/>
      <c r="P50" s="64"/>
      <c r="Q50" s="64"/>
      <c r="R50" s="64"/>
      <c r="S50" s="365"/>
      <c r="T50" s="136" t="str">
        <f t="shared" si="6"/>
        <v/>
      </c>
      <c r="U50" s="355"/>
      <c r="V50" s="358"/>
      <c r="W50" s="355"/>
      <c r="X50" s="355"/>
      <c r="Y50" s="369"/>
      <c r="Z50" s="369"/>
      <c r="AA50" s="355"/>
      <c r="AB50" s="355"/>
      <c r="AC50" s="353"/>
      <c r="AD50" s="355"/>
      <c r="AE50" s="369"/>
      <c r="AF50" s="369"/>
      <c r="AG50" s="355"/>
      <c r="AH50" s="362"/>
      <c r="AI50" s="362"/>
      <c r="AJ50" s="362"/>
    </row>
    <row r="51" spans="1:36" ht="14.5" customHeight="1" x14ac:dyDescent="0.35">
      <c r="A51" s="355"/>
      <c r="B51" s="355"/>
      <c r="C51" s="348"/>
      <c r="D51" s="348"/>
      <c r="E51" s="355"/>
      <c r="F51" s="353"/>
      <c r="G51" s="76" t="s">
        <v>303</v>
      </c>
      <c r="H51" s="64"/>
      <c r="I51" s="139" t="s">
        <v>202</v>
      </c>
      <c r="J51" s="64"/>
      <c r="K51" s="64"/>
      <c r="L51" s="64"/>
      <c r="M51" s="64"/>
      <c r="N51" s="64"/>
      <c r="O51" s="64"/>
      <c r="P51" s="64"/>
      <c r="Q51" s="64"/>
      <c r="R51" s="64"/>
      <c r="S51" s="365"/>
      <c r="T51" s="136" t="str">
        <f t="shared" si="6"/>
        <v/>
      </c>
      <c r="U51" s="355"/>
      <c r="V51" s="358"/>
      <c r="W51" s="355"/>
      <c r="X51" s="355"/>
      <c r="Y51" s="369"/>
      <c r="Z51" s="369"/>
      <c r="AA51" s="355"/>
      <c r="AB51" s="355"/>
      <c r="AC51" s="353"/>
      <c r="AD51" s="355"/>
      <c r="AE51" s="369"/>
      <c r="AF51" s="369"/>
      <c r="AG51" s="355"/>
      <c r="AH51" s="362"/>
      <c r="AI51" s="362"/>
      <c r="AJ51" s="362"/>
    </row>
    <row r="52" spans="1:36" ht="14.5" customHeight="1" x14ac:dyDescent="0.35">
      <c r="A52" s="355"/>
      <c r="B52" s="355"/>
      <c r="C52" s="348"/>
      <c r="D52" s="348"/>
      <c r="E52" s="355"/>
      <c r="F52" s="353"/>
      <c r="G52" s="76" t="s">
        <v>304</v>
      </c>
      <c r="H52" s="64"/>
      <c r="I52" s="139" t="s">
        <v>203</v>
      </c>
      <c r="J52" s="64"/>
      <c r="K52" s="64"/>
      <c r="L52" s="64"/>
      <c r="M52" s="64"/>
      <c r="N52" s="64"/>
      <c r="O52" s="64"/>
      <c r="P52" s="64"/>
      <c r="Q52" s="64"/>
      <c r="R52" s="64"/>
      <c r="S52" s="365"/>
      <c r="T52" s="136" t="str">
        <f t="shared" si="6"/>
        <v/>
      </c>
      <c r="U52" s="355"/>
      <c r="V52" s="358"/>
      <c r="W52" s="355"/>
      <c r="X52" s="355"/>
      <c r="Y52" s="369"/>
      <c r="Z52" s="369"/>
      <c r="AA52" s="355"/>
      <c r="AB52" s="355"/>
      <c r="AC52" s="353"/>
      <c r="AD52" s="355"/>
      <c r="AE52" s="369"/>
      <c r="AF52" s="369"/>
      <c r="AG52" s="355"/>
      <c r="AH52" s="362"/>
      <c r="AI52" s="362"/>
      <c r="AJ52" s="362"/>
    </row>
    <row r="53" spans="1:36" ht="14.5" customHeight="1" x14ac:dyDescent="0.35">
      <c r="A53" s="355"/>
      <c r="B53" s="355"/>
      <c r="C53" s="348"/>
      <c r="D53" s="348"/>
      <c r="E53" s="355"/>
      <c r="F53" s="353"/>
      <c r="G53" s="76" t="s">
        <v>305</v>
      </c>
      <c r="H53" s="64"/>
      <c r="I53" s="139" t="s">
        <v>204</v>
      </c>
      <c r="J53" s="64"/>
      <c r="K53" s="64"/>
      <c r="L53" s="64"/>
      <c r="M53" s="64"/>
      <c r="N53" s="64"/>
      <c r="O53" s="64"/>
      <c r="P53" s="64"/>
      <c r="Q53" s="64"/>
      <c r="R53" s="64"/>
      <c r="S53" s="365"/>
      <c r="T53" s="136" t="str">
        <f t="shared" si="6"/>
        <v/>
      </c>
      <c r="U53" s="355"/>
      <c r="V53" s="358"/>
      <c r="W53" s="355"/>
      <c r="X53" s="355"/>
      <c r="Y53" s="369"/>
      <c r="Z53" s="369"/>
      <c r="AA53" s="355"/>
      <c r="AB53" s="355"/>
      <c r="AC53" s="353"/>
      <c r="AD53" s="355"/>
      <c r="AE53" s="369"/>
      <c r="AF53" s="369"/>
      <c r="AG53" s="355"/>
      <c r="AH53" s="362"/>
      <c r="AI53" s="362"/>
      <c r="AJ53" s="362"/>
    </row>
    <row r="54" spans="1:36" ht="14.5" customHeight="1" x14ac:dyDescent="0.35">
      <c r="A54" s="355"/>
      <c r="B54" s="355"/>
      <c r="C54" s="349"/>
      <c r="D54" s="349"/>
      <c r="E54" s="355"/>
      <c r="F54" s="353"/>
      <c r="G54" s="76" t="s">
        <v>306</v>
      </c>
      <c r="H54" s="64"/>
      <c r="I54" s="139" t="s">
        <v>205</v>
      </c>
      <c r="J54" s="64"/>
      <c r="K54" s="64"/>
      <c r="L54" s="64"/>
      <c r="M54" s="64"/>
      <c r="N54" s="64"/>
      <c r="O54" s="64"/>
      <c r="P54" s="64"/>
      <c r="Q54" s="64"/>
      <c r="R54" s="64"/>
      <c r="S54" s="366"/>
      <c r="T54" s="136" t="str">
        <f t="shared" si="6"/>
        <v/>
      </c>
      <c r="U54" s="355"/>
      <c r="V54" s="358"/>
      <c r="W54" s="355"/>
      <c r="X54" s="355"/>
      <c r="Y54" s="369"/>
      <c r="Z54" s="369"/>
      <c r="AA54" s="355"/>
      <c r="AB54" s="355"/>
      <c r="AC54" s="353"/>
      <c r="AD54" s="355"/>
      <c r="AE54" s="369"/>
      <c r="AF54" s="369"/>
      <c r="AG54" s="355"/>
      <c r="AH54" s="362"/>
      <c r="AI54" s="362"/>
      <c r="AJ54" s="362"/>
    </row>
    <row r="55" spans="1:36" ht="14.5" customHeight="1" x14ac:dyDescent="0.35">
      <c r="A55" s="359">
        <v>8</v>
      </c>
      <c r="B55" s="371" t="str">
        <f>IF($E55="","","BIA-"&amp;TEXT(8,"000"))</f>
        <v/>
      </c>
      <c r="C55" s="347" t="str">
        <f>IFERROR(INDEX(BusinessUnits1,MATCH(A55,'04. Products &amp; Services'!$N$6:$N$50,0)),"")</f>
        <v/>
      </c>
      <c r="D55" s="347" t="str">
        <f>IFERROR(INDEX(DivisionSites,MATCH(A55,'04. Products &amp; Services'!$N$6:$N$50,0)),"")</f>
        <v/>
      </c>
      <c r="E55" s="360" t="str">
        <f>IFERROR(INDEX(ScopeNames,MATCH(A55,'04. Products &amp; Services'!$N$6:$N$50,0)),"")</f>
        <v/>
      </c>
      <c r="F55" s="372" t="str">
        <f>_xlfn.XLOOKUP(E55,'04. Products &amp; Services'!$E$5:$E$50,'04. Products &amp; Services'!$B$5:$B$50,"")</f>
        <v/>
      </c>
      <c r="G55" s="76" t="s">
        <v>300</v>
      </c>
      <c r="H55" s="64"/>
      <c r="I55" s="139" t="s">
        <v>197</v>
      </c>
      <c r="J55" s="64"/>
      <c r="K55" s="64"/>
      <c r="L55" s="64"/>
      <c r="M55" s="64"/>
      <c r="N55" s="64"/>
      <c r="O55" s="64"/>
      <c r="P55" s="64"/>
      <c r="Q55" s="140"/>
      <c r="R55" s="64"/>
      <c r="S55" s="364" t="str">
        <f>IF(COUNT(J55:R61)=0,"",MAX(J55:R61))</f>
        <v/>
      </c>
      <c r="T55" s="136" t="str">
        <f t="shared" ref="T55:T61" si="7">IF($S$55="","",IF(COUNT(J55:R55)=0,"",IF(MAX(J55:R55)&gt;3,$I55,"")))</f>
        <v/>
      </c>
      <c r="U55" s="356" t="str" cm="1">
        <f t="array" ref="U55">IF($E55="","",_xlfn.LET(_xlpm.matches,_xlfn._xlws.FILTER('04. Products &amp; Services'!$J$6:$J$50,'04. Products &amp; Services'!$E$6:$E$50=$E55,""),_xlpm.n,COUNTIF($E$6:$E55,$E55),_xlpm.v,IFERROR(INDEX(_xlpm.matches,_xlpm.n),""),IF(OR(_xlpm.v="",_xlpm.v=0),"",_xlpm.v)))</f>
        <v/>
      </c>
      <c r="V55" s="357"/>
      <c r="W55" s="354" t="str">
        <f>IF($E55="","",IF(OR($U55="Yes",$V55="Yes"),"Yes",IF(AND($U55="No",$V55="No"),"No",IF(AND($U55="Under Evaluation",$V55="No"),"Under Evaluation",""))))</f>
        <v/>
      </c>
      <c r="X55" s="377" t="str">
        <f>IF($E55="","",IFERROR(_xlfn.LET(_xlpm.v,INDEX('04. Products &amp; Services'!$K$6:$K$50,MATCH($E55,ScopeNames,0)),IF(_xlpm.v="","",_xlpm.v)),""))</f>
        <v/>
      </c>
      <c r="Y55" s="376"/>
      <c r="Z55" s="376"/>
      <c r="AA55" s="354" t="str">
        <f>IF($E55="","",IF(COUNT(J55:R61)=0,"",IF(MAX(J55:J61)&gt;=4,6,IF(MAX(K55:K61)&gt;=4,18,IF(MAX(L55:L61)&gt;=4,36,IF(MAX(M55:M61)&gt;=4,72,IF(MAX(N55:N61)&gt;=4,168,IF(MAX(O55:O61)&gt;=4,336,IF(MAX(P55:P61)&gt;=4,504,IF(MAX(Q55:Q61)&gt;=4,672,IF(MAX(R55:R61)&gt;=4,"","")))))))))))</f>
        <v/>
      </c>
      <c r="AB55" s="354" t="str">
        <f>IF($F55="","",IFERROR(VLOOKUP($F55,'04. Products &amp; Services'!$B$5:$M$50,12,0),""))</f>
        <v/>
      </c>
      <c r="AC55" s="352"/>
      <c r="AD55" s="367" t="str" cm="1">
        <f t="array" ref="AD55">IF(ISBLANK(AC55),"",_xlfn.LET(
_xlpm.Num,--_xlfn.TEXTBEFORE(AC55," "),
_xlpm.Unit,LOWER(_xlfn.TEXTAFTER(AC55," ")),
_xlfn.SWITCH(_xlpm.Unit,
"hour",_xlpm.Num,
"hours",_xlpm.Num,
"day",_xlpm.Num*24,
"days",_xlpm.Num*24,
"week",_xlpm.Num*24*7,
"weeks",_xlpm.Num*24*7,
"month",_xlpm.Num*24*(365.25/12),
"months",_xlpm.Num*24*(365.25/12),
"")
))</f>
        <v/>
      </c>
      <c r="AE55" s="368"/>
      <c r="AF55" s="370"/>
      <c r="AG55" s="363" t="str">
        <f>IF($AF55="","",DATE(YEAR($AF55)+1,MONTH($AF55),DAY($AF55)))</f>
        <v/>
      </c>
      <c r="AH55" s="361" t="str" cm="1">
        <f t="array" ref="AH55">IF($B55="","",_xlfn.LET(_xlpm.ids,'15. BCM Risk Register'!$A$6:$A$65,_xlpm.links,'15. BCM Risk Register'!$I$6:$I$65,_xlpm.hit,ISNUMBER(SEARCH(","&amp;$B55&amp;",",","&amp;SUBSTITUTE(_xlpm.links," ","")&amp;",")),IFERROR(_xlfn.TEXTJOIN(", ",TRUE,_xlfn.UNIQUE(_xlfn._xlws.FILTER(_xlpm.ids,_xlpm.hit*(_xlpm.ids&lt;&gt;"")))),"Not Created")))</f>
        <v/>
      </c>
      <c r="AI55" s="361" t="str" cm="1">
        <f t="array" ref="AI55">IF($B55="","",_xlfn.LET(_xlpm.ids,'15. BCM Risk Register'!$L$6:$L$65,_xlpm.links,'15. BCM Risk Register'!$I$6:$I$65,_xlpm.hit,ISNUMBER(SEARCH(","&amp;$B55&amp;",",","&amp;SUBSTITUTE(_xlpm.links," ","")&amp;",")),IFERROR(_xlfn.TEXTJOIN(", ",TRUE,_xlfn.UNIQUE(_xlfn._xlws.FILTER(_xlpm.ids,_xlpm.hit*(_xlpm.ids&lt;&gt;"")*(_xlpm.ids&lt;&gt;"Not Created")))),"Not Created")))</f>
        <v/>
      </c>
      <c r="AJ55" s="361" t="str" cm="1">
        <f t="array" ref="AJ55">IF($B55="","",_xlfn.LET(_xlpm.ids,'15. BCM Risk Register'!$K$6:$K$65,_xlpm.links,'15. BCM Risk Register'!$I$6:$I$65,_xlpm.hit,ISNUMBER(SEARCH(","&amp;$B55&amp;",",","&amp;SUBSTITUTE(_xlpm.links," ","")&amp;",")),IFERROR(_xlfn.TEXTJOIN(", ",TRUE,_xlfn.UNIQUE(_xlfn._xlws.FILTER(_xlpm.ids,_xlpm.hit*(_xlpm.ids&lt;&gt;"")*(_xlpm.ids&lt;&gt;"Not Created")))),"Not Created")))</f>
        <v/>
      </c>
    </row>
    <row r="56" spans="1:36" ht="14.5" customHeight="1" x14ac:dyDescent="0.35">
      <c r="A56" s="355"/>
      <c r="B56" s="355"/>
      <c r="C56" s="348"/>
      <c r="D56" s="348"/>
      <c r="E56" s="355"/>
      <c r="F56" s="353"/>
      <c r="G56" s="76" t="s">
        <v>301</v>
      </c>
      <c r="H56" s="64"/>
      <c r="I56" s="139" t="s">
        <v>199</v>
      </c>
      <c r="J56" s="64"/>
      <c r="K56" s="64"/>
      <c r="L56" s="64"/>
      <c r="M56" s="64"/>
      <c r="N56" s="64"/>
      <c r="O56" s="64"/>
      <c r="P56" s="64"/>
      <c r="Q56" s="140"/>
      <c r="R56" s="64"/>
      <c r="S56" s="365"/>
      <c r="T56" s="136" t="str">
        <f t="shared" si="7"/>
        <v/>
      </c>
      <c r="U56" s="355"/>
      <c r="V56" s="358"/>
      <c r="W56" s="355"/>
      <c r="X56" s="355"/>
      <c r="Y56" s="369"/>
      <c r="Z56" s="369"/>
      <c r="AA56" s="355"/>
      <c r="AB56" s="355"/>
      <c r="AC56" s="353"/>
      <c r="AD56" s="355"/>
      <c r="AE56" s="369"/>
      <c r="AF56" s="369"/>
      <c r="AG56" s="355"/>
      <c r="AH56" s="362"/>
      <c r="AI56" s="362"/>
      <c r="AJ56" s="362"/>
    </row>
    <row r="57" spans="1:36" ht="14.5" customHeight="1" x14ac:dyDescent="0.35">
      <c r="A57" s="355"/>
      <c r="B57" s="355"/>
      <c r="C57" s="348"/>
      <c r="D57" s="348"/>
      <c r="E57" s="355"/>
      <c r="F57" s="353"/>
      <c r="G57" s="76" t="s">
        <v>302</v>
      </c>
      <c r="H57" s="64"/>
      <c r="I57" s="139" t="s">
        <v>200</v>
      </c>
      <c r="J57" s="64"/>
      <c r="K57" s="64"/>
      <c r="L57" s="64"/>
      <c r="M57" s="64"/>
      <c r="N57" s="64"/>
      <c r="O57" s="64"/>
      <c r="P57" s="64"/>
      <c r="Q57" s="140"/>
      <c r="R57" s="64"/>
      <c r="S57" s="365"/>
      <c r="T57" s="136" t="str">
        <f t="shared" si="7"/>
        <v/>
      </c>
      <c r="U57" s="355"/>
      <c r="V57" s="358"/>
      <c r="W57" s="355"/>
      <c r="X57" s="355"/>
      <c r="Y57" s="369"/>
      <c r="Z57" s="369"/>
      <c r="AA57" s="355"/>
      <c r="AB57" s="355"/>
      <c r="AC57" s="353"/>
      <c r="AD57" s="355"/>
      <c r="AE57" s="369"/>
      <c r="AF57" s="369"/>
      <c r="AG57" s="355"/>
      <c r="AH57" s="362"/>
      <c r="AI57" s="362"/>
      <c r="AJ57" s="362"/>
    </row>
    <row r="58" spans="1:36" ht="14.5" customHeight="1" x14ac:dyDescent="0.35">
      <c r="A58" s="355"/>
      <c r="B58" s="355"/>
      <c r="C58" s="348"/>
      <c r="D58" s="348"/>
      <c r="E58" s="355"/>
      <c r="F58" s="353"/>
      <c r="G58" s="76" t="s">
        <v>303</v>
      </c>
      <c r="H58" s="64"/>
      <c r="I58" s="139" t="s">
        <v>202</v>
      </c>
      <c r="J58" s="64"/>
      <c r="K58" s="64"/>
      <c r="L58" s="64"/>
      <c r="M58" s="64"/>
      <c r="N58" s="64"/>
      <c r="O58" s="64"/>
      <c r="P58" s="64"/>
      <c r="Q58" s="140"/>
      <c r="R58" s="64"/>
      <c r="S58" s="365"/>
      <c r="T58" s="136" t="str">
        <f t="shared" si="7"/>
        <v/>
      </c>
      <c r="U58" s="355"/>
      <c r="V58" s="358"/>
      <c r="W58" s="355"/>
      <c r="X58" s="355"/>
      <c r="Y58" s="369"/>
      <c r="Z58" s="369"/>
      <c r="AA58" s="355"/>
      <c r="AB58" s="355"/>
      <c r="AC58" s="353"/>
      <c r="AD58" s="355"/>
      <c r="AE58" s="369"/>
      <c r="AF58" s="369"/>
      <c r="AG58" s="355"/>
      <c r="AH58" s="362"/>
      <c r="AI58" s="362"/>
      <c r="AJ58" s="362"/>
    </row>
    <row r="59" spans="1:36" ht="14.5" customHeight="1" x14ac:dyDescent="0.35">
      <c r="A59" s="355"/>
      <c r="B59" s="355"/>
      <c r="C59" s="348"/>
      <c r="D59" s="348"/>
      <c r="E59" s="355"/>
      <c r="F59" s="353"/>
      <c r="G59" s="76" t="s">
        <v>304</v>
      </c>
      <c r="H59" s="64"/>
      <c r="I59" s="139" t="s">
        <v>203</v>
      </c>
      <c r="J59" s="64"/>
      <c r="K59" s="64"/>
      <c r="L59" s="64"/>
      <c r="M59" s="64"/>
      <c r="N59" s="64"/>
      <c r="O59" s="64"/>
      <c r="P59" s="64"/>
      <c r="Q59" s="140"/>
      <c r="R59" s="64"/>
      <c r="S59" s="365"/>
      <c r="T59" s="136" t="str">
        <f t="shared" si="7"/>
        <v/>
      </c>
      <c r="U59" s="355"/>
      <c r="V59" s="358"/>
      <c r="W59" s="355"/>
      <c r="X59" s="355"/>
      <c r="Y59" s="369"/>
      <c r="Z59" s="369"/>
      <c r="AA59" s="355"/>
      <c r="AB59" s="355"/>
      <c r="AC59" s="353"/>
      <c r="AD59" s="355"/>
      <c r="AE59" s="369"/>
      <c r="AF59" s="369"/>
      <c r="AG59" s="355"/>
      <c r="AH59" s="362"/>
      <c r="AI59" s="362"/>
      <c r="AJ59" s="362"/>
    </row>
    <row r="60" spans="1:36" ht="14.5" customHeight="1" x14ac:dyDescent="0.35">
      <c r="A60" s="355"/>
      <c r="B60" s="355"/>
      <c r="C60" s="348"/>
      <c r="D60" s="348"/>
      <c r="E60" s="355"/>
      <c r="F60" s="353"/>
      <c r="G60" s="76" t="s">
        <v>305</v>
      </c>
      <c r="H60" s="64"/>
      <c r="I60" s="139" t="s">
        <v>204</v>
      </c>
      <c r="J60" s="64"/>
      <c r="K60" s="64"/>
      <c r="L60" s="64"/>
      <c r="M60" s="64"/>
      <c r="N60" s="64"/>
      <c r="O60" s="64"/>
      <c r="P60" s="64"/>
      <c r="Q60" s="140"/>
      <c r="R60" s="64"/>
      <c r="S60" s="365"/>
      <c r="T60" s="136" t="str">
        <f t="shared" si="7"/>
        <v/>
      </c>
      <c r="U60" s="355"/>
      <c r="V60" s="358"/>
      <c r="W60" s="355"/>
      <c r="X60" s="355"/>
      <c r="Y60" s="369"/>
      <c r="Z60" s="369"/>
      <c r="AA60" s="355"/>
      <c r="AB60" s="355"/>
      <c r="AC60" s="353"/>
      <c r="AD60" s="355"/>
      <c r="AE60" s="369"/>
      <c r="AF60" s="369"/>
      <c r="AG60" s="355"/>
      <c r="AH60" s="362"/>
      <c r="AI60" s="362"/>
      <c r="AJ60" s="362"/>
    </row>
    <row r="61" spans="1:36" ht="14.5" customHeight="1" x14ac:dyDescent="0.35">
      <c r="A61" s="355"/>
      <c r="B61" s="355"/>
      <c r="C61" s="349"/>
      <c r="D61" s="349"/>
      <c r="E61" s="355"/>
      <c r="F61" s="353"/>
      <c r="G61" s="76" t="s">
        <v>306</v>
      </c>
      <c r="H61" s="64"/>
      <c r="I61" s="139" t="s">
        <v>205</v>
      </c>
      <c r="J61" s="64"/>
      <c r="K61" s="64"/>
      <c r="L61" s="64"/>
      <c r="M61" s="64"/>
      <c r="N61" s="64"/>
      <c r="O61" s="64"/>
      <c r="P61" s="64"/>
      <c r="Q61" s="140"/>
      <c r="R61" s="64"/>
      <c r="S61" s="366"/>
      <c r="T61" s="136" t="str">
        <f t="shared" si="7"/>
        <v/>
      </c>
      <c r="U61" s="355"/>
      <c r="V61" s="358"/>
      <c r="W61" s="355"/>
      <c r="X61" s="355"/>
      <c r="Y61" s="369"/>
      <c r="Z61" s="369"/>
      <c r="AA61" s="355"/>
      <c r="AB61" s="355"/>
      <c r="AC61" s="353"/>
      <c r="AD61" s="355"/>
      <c r="AE61" s="369"/>
      <c r="AF61" s="369"/>
      <c r="AG61" s="355"/>
      <c r="AH61" s="362"/>
      <c r="AI61" s="362"/>
      <c r="AJ61" s="362"/>
    </row>
    <row r="62" spans="1:36" ht="14.5" customHeight="1" x14ac:dyDescent="0.35">
      <c r="A62" s="359">
        <v>9</v>
      </c>
      <c r="B62" s="371" t="str">
        <f>IF($E62="","","BIA-"&amp;TEXT(9,"000"))</f>
        <v/>
      </c>
      <c r="C62" s="347" t="str">
        <f>IFERROR(INDEX(BusinessUnits1,MATCH(A62,'04. Products &amp; Services'!$N$6:$N$50,0)),"")</f>
        <v/>
      </c>
      <c r="D62" s="347" t="str">
        <f>IFERROR(INDEX(DivisionSites,MATCH(A62,'04. Products &amp; Services'!$N$6:$N$50,0)),"")</f>
        <v/>
      </c>
      <c r="E62" s="360" t="str">
        <f>IFERROR(INDEX(ScopeNames,MATCH(A62,'04. Products &amp; Services'!$N$6:$N$50,0)),"")</f>
        <v/>
      </c>
      <c r="F62" s="372" t="str">
        <f>_xlfn.XLOOKUP(E62,'04. Products &amp; Services'!$E$5:$E$50,'04. Products &amp; Services'!$B$5:$B$50,"")</f>
        <v/>
      </c>
      <c r="G62" s="76" t="s">
        <v>300</v>
      </c>
      <c r="H62" s="64"/>
      <c r="I62" s="139" t="s">
        <v>197</v>
      </c>
      <c r="J62" s="64"/>
      <c r="K62" s="64"/>
      <c r="L62" s="64"/>
      <c r="M62" s="64"/>
      <c r="N62" s="64"/>
      <c r="O62" s="64"/>
      <c r="P62" s="64"/>
      <c r="Q62" s="64"/>
      <c r="R62" s="64"/>
      <c r="S62" s="364" t="str">
        <f>IF(COUNT(J62:R68)=0,"",MAX(J62:R68))</f>
        <v/>
      </c>
      <c r="T62" s="136" t="str">
        <f t="shared" ref="T62:T68" si="8">IF($S$62="","",IF(COUNT(J62:R62)=0,"",IF(MAX(J62:R62)&gt;3,$I62,"")))</f>
        <v/>
      </c>
      <c r="U62" s="356" t="str" cm="1">
        <f t="array" ref="U62">IF($E62="","",_xlfn.LET(_xlpm.matches,_xlfn._xlws.FILTER('04. Products &amp; Services'!$J$6:$J$50,'04. Products &amp; Services'!$E$6:$E$50=$E62,""),_xlpm.n,COUNTIF($E$6:$E62,$E62),_xlpm.v,IFERROR(INDEX(_xlpm.matches,_xlpm.n),""),IF(OR(_xlpm.v="",_xlpm.v=0),"",_xlpm.v)))</f>
        <v/>
      </c>
      <c r="V62" s="357"/>
      <c r="W62" s="354" t="str">
        <f>IF($E62="","",IF(OR($U62="Yes",$V62="Yes"),"Yes",IF(AND($U62="No",$V62="No"),"No",IF(AND($U62="Under Evaluation",$V62="No"),"Under Evaluation",""))))</f>
        <v/>
      </c>
      <c r="X62" s="377" t="str">
        <f>IF($E62="","",IFERROR(_xlfn.LET(_xlpm.v,INDEX('04. Products &amp; Services'!$K$6:$K$50,MATCH($E62,ScopeNames,0)),IF(_xlpm.v="","",_xlpm.v)),""))</f>
        <v/>
      </c>
      <c r="Y62" s="376"/>
      <c r="Z62" s="376"/>
      <c r="AA62" s="354" t="str">
        <f>IF($E62="","",IF(COUNT(J62:R68)=0,"",IF(MAX(J62:J68)&gt;=4,6,IF(MAX(K62:K68)&gt;=4,18,IF(MAX(L62:L68)&gt;=4,36,IF(MAX(M62:M68)&gt;=4,72,IF(MAX(N62:N68)&gt;=4,168,IF(MAX(O62:O68)&gt;=4,336,IF(MAX(P62:P68)&gt;=4,504,IF(MAX(Q62:Q68)&gt;=4,672,IF(MAX(R62:R68)&gt;=4,"","")))))))))))</f>
        <v/>
      </c>
      <c r="AB62" s="354" t="str">
        <f>IF($F62="","",IFERROR(VLOOKUP($F62,'04. Products &amp; Services'!$B$5:$M$50,12,0),""))</f>
        <v/>
      </c>
      <c r="AC62" s="352"/>
      <c r="AD62" s="367" t="str" cm="1">
        <f t="array" ref="AD62">IF(ISBLANK(AC62),"",_xlfn.LET(
_xlpm.Num,--_xlfn.TEXTBEFORE(AC62," "),
_xlpm.Unit,LOWER(_xlfn.TEXTAFTER(AC62," ")),
_xlfn.SWITCH(_xlpm.Unit,
"hour",_xlpm.Num,
"hours",_xlpm.Num,
"day",_xlpm.Num*24,
"days",_xlpm.Num*24,
"week",_xlpm.Num*24*7,
"weeks",_xlpm.Num*24*7,
"month",_xlpm.Num*24*(365.25/12),
"months",_xlpm.Num*24*(365.25/12),
"")
))</f>
        <v/>
      </c>
      <c r="AE62" s="368"/>
      <c r="AF62" s="370"/>
      <c r="AG62" s="363" t="str">
        <f>IF($AF62="","",DATE(YEAR($AF62)+1,MONTH($AF62),DAY($AF62)))</f>
        <v/>
      </c>
      <c r="AH62" s="361" t="str" cm="1">
        <f t="array" ref="AH62">IF($B62="","",_xlfn.LET(_xlpm.ids,'15. BCM Risk Register'!$A$6:$A$65,_xlpm.links,'15. BCM Risk Register'!$I$6:$I$65,_xlpm.hit,ISNUMBER(SEARCH(","&amp;$B62&amp;",",","&amp;SUBSTITUTE(_xlpm.links," ","")&amp;",")),IFERROR(_xlfn.TEXTJOIN(", ",TRUE,_xlfn.UNIQUE(_xlfn._xlws.FILTER(_xlpm.ids,_xlpm.hit*(_xlpm.ids&lt;&gt;"")))),"Not Created")))</f>
        <v/>
      </c>
      <c r="AI62" s="361" t="str" cm="1">
        <f t="array" ref="AI62">IF($B62="","",_xlfn.LET(_xlpm.ids,'15. BCM Risk Register'!$L$6:$L$65,_xlpm.links,'15. BCM Risk Register'!$I$6:$I$65,_xlpm.hit,ISNUMBER(SEARCH(","&amp;$B62&amp;",",","&amp;SUBSTITUTE(_xlpm.links," ","")&amp;",")),IFERROR(_xlfn.TEXTJOIN(", ",TRUE,_xlfn.UNIQUE(_xlfn._xlws.FILTER(_xlpm.ids,_xlpm.hit*(_xlpm.ids&lt;&gt;"")*(_xlpm.ids&lt;&gt;"Not Created")))),"Not Created")))</f>
        <v/>
      </c>
      <c r="AJ62" s="361" t="str" cm="1">
        <f t="array" ref="AJ62">IF($B62="","",_xlfn.LET(_xlpm.ids,'15. BCM Risk Register'!$K$6:$K$65,_xlpm.links,'15. BCM Risk Register'!$I$6:$I$65,_xlpm.hit,ISNUMBER(SEARCH(","&amp;$B62&amp;",",","&amp;SUBSTITUTE(_xlpm.links," ","")&amp;",")),IFERROR(_xlfn.TEXTJOIN(", ",TRUE,_xlfn.UNIQUE(_xlfn._xlws.FILTER(_xlpm.ids,_xlpm.hit*(_xlpm.ids&lt;&gt;"")*(_xlpm.ids&lt;&gt;"Not Created")))),"Not Created")))</f>
        <v/>
      </c>
    </row>
    <row r="63" spans="1:36" ht="14.5" customHeight="1" x14ac:dyDescent="0.35">
      <c r="A63" s="355"/>
      <c r="B63" s="355"/>
      <c r="C63" s="348"/>
      <c r="D63" s="348"/>
      <c r="E63" s="355"/>
      <c r="F63" s="353"/>
      <c r="G63" s="76" t="s">
        <v>301</v>
      </c>
      <c r="H63" s="64"/>
      <c r="I63" s="139" t="s">
        <v>199</v>
      </c>
      <c r="J63" s="64"/>
      <c r="K63" s="64"/>
      <c r="L63" s="64"/>
      <c r="M63" s="64"/>
      <c r="N63" s="64"/>
      <c r="O63" s="64"/>
      <c r="P63" s="64"/>
      <c r="Q63" s="64"/>
      <c r="R63" s="64"/>
      <c r="S63" s="365"/>
      <c r="T63" s="136" t="str">
        <f t="shared" si="8"/>
        <v/>
      </c>
      <c r="U63" s="355"/>
      <c r="V63" s="358"/>
      <c r="W63" s="355"/>
      <c r="X63" s="355"/>
      <c r="Y63" s="369"/>
      <c r="Z63" s="369"/>
      <c r="AA63" s="355"/>
      <c r="AB63" s="355"/>
      <c r="AC63" s="353"/>
      <c r="AD63" s="355"/>
      <c r="AE63" s="369"/>
      <c r="AF63" s="369"/>
      <c r="AG63" s="355"/>
      <c r="AH63" s="362"/>
      <c r="AI63" s="362"/>
      <c r="AJ63" s="362"/>
    </row>
    <row r="64" spans="1:36" ht="14.5" customHeight="1" x14ac:dyDescent="0.35">
      <c r="A64" s="355"/>
      <c r="B64" s="355"/>
      <c r="C64" s="348"/>
      <c r="D64" s="348"/>
      <c r="E64" s="355"/>
      <c r="F64" s="353"/>
      <c r="G64" s="76" t="s">
        <v>302</v>
      </c>
      <c r="H64" s="64"/>
      <c r="I64" s="139" t="s">
        <v>200</v>
      </c>
      <c r="J64" s="64"/>
      <c r="K64" s="64"/>
      <c r="L64" s="64"/>
      <c r="M64" s="64"/>
      <c r="N64" s="64"/>
      <c r="O64" s="64"/>
      <c r="P64" s="64"/>
      <c r="Q64" s="64"/>
      <c r="R64" s="64"/>
      <c r="S64" s="365"/>
      <c r="T64" s="136" t="str">
        <f t="shared" si="8"/>
        <v/>
      </c>
      <c r="U64" s="355"/>
      <c r="V64" s="358"/>
      <c r="W64" s="355"/>
      <c r="X64" s="355"/>
      <c r="Y64" s="369"/>
      <c r="Z64" s="369"/>
      <c r="AA64" s="355"/>
      <c r="AB64" s="355"/>
      <c r="AC64" s="353"/>
      <c r="AD64" s="355"/>
      <c r="AE64" s="369"/>
      <c r="AF64" s="369"/>
      <c r="AG64" s="355"/>
      <c r="AH64" s="362"/>
      <c r="AI64" s="362"/>
      <c r="AJ64" s="362"/>
    </row>
    <row r="65" spans="1:36" ht="14.5" customHeight="1" x14ac:dyDescent="0.35">
      <c r="A65" s="355"/>
      <c r="B65" s="355"/>
      <c r="C65" s="348"/>
      <c r="D65" s="348"/>
      <c r="E65" s="355"/>
      <c r="F65" s="353"/>
      <c r="G65" s="76" t="s">
        <v>303</v>
      </c>
      <c r="H65" s="64"/>
      <c r="I65" s="139" t="s">
        <v>202</v>
      </c>
      <c r="J65" s="64"/>
      <c r="K65" s="64"/>
      <c r="L65" s="64"/>
      <c r="M65" s="64"/>
      <c r="N65" s="64"/>
      <c r="O65" s="64"/>
      <c r="P65" s="64"/>
      <c r="Q65" s="64"/>
      <c r="R65" s="64"/>
      <c r="S65" s="365"/>
      <c r="T65" s="136" t="str">
        <f t="shared" si="8"/>
        <v/>
      </c>
      <c r="U65" s="355"/>
      <c r="V65" s="358"/>
      <c r="W65" s="355"/>
      <c r="X65" s="355"/>
      <c r="Y65" s="369"/>
      <c r="Z65" s="369"/>
      <c r="AA65" s="355"/>
      <c r="AB65" s="355"/>
      <c r="AC65" s="353"/>
      <c r="AD65" s="355"/>
      <c r="AE65" s="369"/>
      <c r="AF65" s="369"/>
      <c r="AG65" s="355"/>
      <c r="AH65" s="362"/>
      <c r="AI65" s="362"/>
      <c r="AJ65" s="362"/>
    </row>
    <row r="66" spans="1:36" ht="14.5" customHeight="1" x14ac:dyDescent="0.35">
      <c r="A66" s="355"/>
      <c r="B66" s="355"/>
      <c r="C66" s="348"/>
      <c r="D66" s="348"/>
      <c r="E66" s="355"/>
      <c r="F66" s="353"/>
      <c r="G66" s="76" t="s">
        <v>304</v>
      </c>
      <c r="H66" s="64"/>
      <c r="I66" s="139" t="s">
        <v>203</v>
      </c>
      <c r="J66" s="64"/>
      <c r="K66" s="64"/>
      <c r="L66" s="64"/>
      <c r="M66" s="64"/>
      <c r="N66" s="64"/>
      <c r="O66" s="64"/>
      <c r="P66" s="64"/>
      <c r="Q66" s="64"/>
      <c r="R66" s="64"/>
      <c r="S66" s="365"/>
      <c r="T66" s="136" t="str">
        <f t="shared" si="8"/>
        <v/>
      </c>
      <c r="U66" s="355"/>
      <c r="V66" s="358"/>
      <c r="W66" s="355"/>
      <c r="X66" s="355"/>
      <c r="Y66" s="369"/>
      <c r="Z66" s="369"/>
      <c r="AA66" s="355"/>
      <c r="AB66" s="355"/>
      <c r="AC66" s="353"/>
      <c r="AD66" s="355"/>
      <c r="AE66" s="369"/>
      <c r="AF66" s="369"/>
      <c r="AG66" s="355"/>
      <c r="AH66" s="362"/>
      <c r="AI66" s="362"/>
      <c r="AJ66" s="362"/>
    </row>
    <row r="67" spans="1:36" ht="14.5" customHeight="1" x14ac:dyDescent="0.35">
      <c r="A67" s="355"/>
      <c r="B67" s="355"/>
      <c r="C67" s="348"/>
      <c r="D67" s="348"/>
      <c r="E67" s="355"/>
      <c r="F67" s="353"/>
      <c r="G67" s="76" t="s">
        <v>305</v>
      </c>
      <c r="H67" s="64"/>
      <c r="I67" s="139" t="s">
        <v>204</v>
      </c>
      <c r="J67" s="64"/>
      <c r="K67" s="64"/>
      <c r="L67" s="64"/>
      <c r="M67" s="64"/>
      <c r="N67" s="64"/>
      <c r="O67" s="64"/>
      <c r="P67" s="64"/>
      <c r="Q67" s="64"/>
      <c r="R67" s="64"/>
      <c r="S67" s="365"/>
      <c r="T67" s="136" t="str">
        <f t="shared" si="8"/>
        <v/>
      </c>
      <c r="U67" s="355"/>
      <c r="V67" s="358"/>
      <c r="W67" s="355"/>
      <c r="X67" s="355"/>
      <c r="Y67" s="369"/>
      <c r="Z67" s="369"/>
      <c r="AA67" s="355"/>
      <c r="AB67" s="355"/>
      <c r="AC67" s="353"/>
      <c r="AD67" s="355"/>
      <c r="AE67" s="369"/>
      <c r="AF67" s="369"/>
      <c r="AG67" s="355"/>
      <c r="AH67" s="362"/>
      <c r="AI67" s="362"/>
      <c r="AJ67" s="362"/>
    </row>
    <row r="68" spans="1:36" ht="14.5" customHeight="1" x14ac:dyDescent="0.35">
      <c r="A68" s="355"/>
      <c r="B68" s="355"/>
      <c r="C68" s="349"/>
      <c r="D68" s="349"/>
      <c r="E68" s="355"/>
      <c r="F68" s="353"/>
      <c r="G68" s="76" t="s">
        <v>306</v>
      </c>
      <c r="H68" s="64"/>
      <c r="I68" s="139" t="s">
        <v>205</v>
      </c>
      <c r="J68" s="64"/>
      <c r="K68" s="64"/>
      <c r="L68" s="64"/>
      <c r="M68" s="64"/>
      <c r="N68" s="64"/>
      <c r="O68" s="64"/>
      <c r="P68" s="64"/>
      <c r="Q68" s="64"/>
      <c r="R68" s="64"/>
      <c r="S68" s="366"/>
      <c r="T68" s="136" t="str">
        <f t="shared" si="8"/>
        <v/>
      </c>
      <c r="U68" s="355"/>
      <c r="V68" s="358"/>
      <c r="W68" s="355"/>
      <c r="X68" s="355"/>
      <c r="Y68" s="369"/>
      <c r="Z68" s="369"/>
      <c r="AA68" s="355"/>
      <c r="AB68" s="355"/>
      <c r="AC68" s="353"/>
      <c r="AD68" s="355"/>
      <c r="AE68" s="369"/>
      <c r="AF68" s="369"/>
      <c r="AG68" s="355"/>
      <c r="AH68" s="362"/>
      <c r="AI68" s="362"/>
      <c r="AJ68" s="362"/>
    </row>
    <row r="69" spans="1:36" ht="14.5" customHeight="1" x14ac:dyDescent="0.35">
      <c r="A69" s="359">
        <v>10</v>
      </c>
      <c r="B69" s="371" t="str">
        <f>IF($E69="","","BIA-"&amp;TEXT(10,"000"))</f>
        <v/>
      </c>
      <c r="C69" s="347" t="str">
        <f>IFERROR(INDEX(BusinessUnits1,MATCH(A69,'04. Products &amp; Services'!$N$6:$N$50,0)),"")</f>
        <v/>
      </c>
      <c r="D69" s="347" t="str">
        <f>IFERROR(INDEX(DivisionSites,MATCH(A69,'04. Products &amp; Services'!$N$6:$N$50,0)),"")</f>
        <v/>
      </c>
      <c r="E69" s="360" t="str">
        <f>IFERROR(INDEX(ScopeNames,MATCH(A69,'04. Products &amp; Services'!$N$6:$N$50,0)),"")</f>
        <v/>
      </c>
      <c r="F69" s="372" t="str">
        <f>_xlfn.XLOOKUP(E69,'04. Products &amp; Services'!$E$5:$E$50,'04. Products &amp; Services'!$B$5:$B$50,"")</f>
        <v/>
      </c>
      <c r="G69" s="76" t="s">
        <v>300</v>
      </c>
      <c r="H69" s="64"/>
      <c r="I69" s="139" t="s">
        <v>197</v>
      </c>
      <c r="J69" s="64"/>
      <c r="K69" s="64"/>
      <c r="L69" s="64"/>
      <c r="M69" s="64"/>
      <c r="N69" s="64"/>
      <c r="O69" s="64"/>
      <c r="P69" s="64"/>
      <c r="Q69" s="64"/>
      <c r="R69" s="64"/>
      <c r="S69" s="364" t="str">
        <f>IF(COUNT(J69:R75)=0,"",MAX(J69:R75))</f>
        <v/>
      </c>
      <c r="T69" s="136" t="str">
        <f t="shared" ref="T69:T75" si="9">IF($S$69="","",IF(COUNT(J69:R69)=0,"",IF(MAX(J69:R69)&gt;3,$I69,"")))</f>
        <v/>
      </c>
      <c r="U69" s="356" t="str" cm="1">
        <f t="array" ref="U69">IF($E69="","",_xlfn.LET(_xlpm.matches,_xlfn._xlws.FILTER('04. Products &amp; Services'!$J$6:$J$50,'04. Products &amp; Services'!$E$6:$E$50=$E69,""),_xlpm.n,COUNTIF($E$6:$E69,$E69),_xlpm.v,IFERROR(INDEX(_xlpm.matches,_xlpm.n),""),IF(OR(_xlpm.v="",_xlpm.v=0),"",_xlpm.v)))</f>
        <v/>
      </c>
      <c r="V69" s="357"/>
      <c r="W69" s="354" t="str">
        <f>IF($E69="","",IF(OR($U69="Yes",$V69="Yes"),"Yes",IF(AND($U69="No",$V69="No"),"No",IF(AND($U69="Under Evaluation",$V69="No"),"Under Evaluation",""))))</f>
        <v/>
      </c>
      <c r="X69" s="377" t="str">
        <f>IF($E69="","",IFERROR(_xlfn.LET(_xlpm.v,INDEX('04. Products &amp; Services'!$K$6:$K$50,MATCH($E69,ScopeNames,0)),IF(_xlpm.v="","",_xlpm.v)),""))</f>
        <v/>
      </c>
      <c r="Y69" s="376"/>
      <c r="Z69" s="376"/>
      <c r="AA69" s="354" t="str">
        <f>IF($E69="","",IF(COUNT(J69:R75)=0,"",IF(MAX(J69:J75)&gt;=4,6,IF(MAX(K69:K75)&gt;=4,18,IF(MAX(L69:L75)&gt;=4,36,IF(MAX(M69:M75)&gt;=4,72,IF(MAX(N69:N75)&gt;=4,168,IF(MAX(O69:O75)&gt;=4,336,IF(MAX(P69:P75)&gt;=4,504,IF(MAX(Q69:Q75)&gt;=4,672,IF(MAX(R69:R75)&gt;=4,"","")))))))))))</f>
        <v/>
      </c>
      <c r="AB69" s="354" t="str">
        <f>IF($F69="","",IFERROR(VLOOKUP($F69,'04. Products &amp; Services'!$B$5:$M$50,12,0),""))</f>
        <v/>
      </c>
      <c r="AC69" s="352"/>
      <c r="AD69" s="367" t="str" cm="1">
        <f t="array" ref="AD69">IF(ISBLANK(AC69),"",_xlfn.LET(
_xlpm.Num,--_xlfn.TEXTBEFORE(AC69," "),
_xlpm.Unit,LOWER(_xlfn.TEXTAFTER(AC69," ")),
_xlfn.SWITCH(_xlpm.Unit,
"hour",_xlpm.Num,
"hours",_xlpm.Num,
"day",_xlpm.Num*24,
"days",_xlpm.Num*24,
"week",_xlpm.Num*24*7,
"weeks",_xlpm.Num*24*7,
"month",_xlpm.Num*24*(365.25/12),
"months",_xlpm.Num*24*(365.25/12),
"")
))</f>
        <v/>
      </c>
      <c r="AE69" s="368"/>
      <c r="AF69" s="370"/>
      <c r="AG69" s="363" t="str">
        <f>IF($AF69="","",DATE(YEAR($AF69)+1,MONTH($AF69),DAY($AF69)))</f>
        <v/>
      </c>
      <c r="AH69" s="361" t="str" cm="1">
        <f t="array" ref="AH69">IF($B69="","",_xlfn.LET(_xlpm.ids,'15. BCM Risk Register'!$A$6:$A$65,_xlpm.links,'15. BCM Risk Register'!$I$6:$I$65,_xlpm.hit,ISNUMBER(SEARCH(","&amp;$B69&amp;",",","&amp;SUBSTITUTE(_xlpm.links," ","")&amp;",")),IFERROR(_xlfn.TEXTJOIN(", ",TRUE,_xlfn.UNIQUE(_xlfn._xlws.FILTER(_xlpm.ids,_xlpm.hit*(_xlpm.ids&lt;&gt;"")))),"Not Created")))</f>
        <v/>
      </c>
      <c r="AI69" s="361" t="str" cm="1">
        <f t="array" ref="AI69">IF($B69="","",_xlfn.LET(_xlpm.ids,'15. BCM Risk Register'!$L$6:$L$65,_xlpm.links,'15. BCM Risk Register'!$I$6:$I$65,_xlpm.hit,ISNUMBER(SEARCH(","&amp;$B69&amp;",",","&amp;SUBSTITUTE(_xlpm.links," ","")&amp;",")),IFERROR(_xlfn.TEXTJOIN(", ",TRUE,_xlfn.UNIQUE(_xlfn._xlws.FILTER(_xlpm.ids,_xlpm.hit*(_xlpm.ids&lt;&gt;"")*(_xlpm.ids&lt;&gt;"Not Created")))),"Not Created")))</f>
        <v/>
      </c>
      <c r="AJ69" s="361" t="str" cm="1">
        <f t="array" ref="AJ69">IF($B69="","",_xlfn.LET(_xlpm.ids,'15. BCM Risk Register'!$K$6:$K$65,_xlpm.links,'15. BCM Risk Register'!$I$6:$I$65,_xlpm.hit,ISNUMBER(SEARCH(","&amp;$B69&amp;",",","&amp;SUBSTITUTE(_xlpm.links," ","")&amp;",")),IFERROR(_xlfn.TEXTJOIN(", ",TRUE,_xlfn.UNIQUE(_xlfn._xlws.FILTER(_xlpm.ids,_xlpm.hit*(_xlpm.ids&lt;&gt;"")*(_xlpm.ids&lt;&gt;"Not Created")))),"Not Created")))</f>
        <v/>
      </c>
    </row>
    <row r="70" spans="1:36" ht="14.5" customHeight="1" x14ac:dyDescent="0.35">
      <c r="A70" s="355"/>
      <c r="B70" s="355"/>
      <c r="C70" s="348"/>
      <c r="D70" s="348"/>
      <c r="E70" s="355"/>
      <c r="F70" s="353"/>
      <c r="G70" s="76" t="s">
        <v>301</v>
      </c>
      <c r="H70" s="64"/>
      <c r="I70" s="139" t="s">
        <v>199</v>
      </c>
      <c r="J70" s="64"/>
      <c r="K70" s="64"/>
      <c r="L70" s="64"/>
      <c r="M70" s="64"/>
      <c r="N70" s="64"/>
      <c r="O70" s="64"/>
      <c r="P70" s="64"/>
      <c r="Q70" s="64"/>
      <c r="R70" s="64"/>
      <c r="S70" s="365"/>
      <c r="T70" s="136" t="str">
        <f t="shared" si="9"/>
        <v/>
      </c>
      <c r="U70" s="355"/>
      <c r="V70" s="358"/>
      <c r="W70" s="355"/>
      <c r="X70" s="355"/>
      <c r="Y70" s="369"/>
      <c r="Z70" s="369"/>
      <c r="AA70" s="355"/>
      <c r="AB70" s="355"/>
      <c r="AC70" s="353"/>
      <c r="AD70" s="355"/>
      <c r="AE70" s="369"/>
      <c r="AF70" s="369"/>
      <c r="AG70" s="355"/>
      <c r="AH70" s="362"/>
      <c r="AI70" s="362"/>
      <c r="AJ70" s="362"/>
    </row>
    <row r="71" spans="1:36" ht="14.5" customHeight="1" x14ac:dyDescent="0.35">
      <c r="A71" s="355"/>
      <c r="B71" s="355"/>
      <c r="C71" s="348"/>
      <c r="D71" s="348"/>
      <c r="E71" s="355"/>
      <c r="F71" s="353"/>
      <c r="G71" s="76" t="s">
        <v>302</v>
      </c>
      <c r="H71" s="64"/>
      <c r="I71" s="139" t="s">
        <v>200</v>
      </c>
      <c r="J71" s="64"/>
      <c r="K71" s="64"/>
      <c r="L71" s="64"/>
      <c r="M71" s="64"/>
      <c r="N71" s="64"/>
      <c r="O71" s="64"/>
      <c r="P71" s="64"/>
      <c r="Q71" s="64"/>
      <c r="R71" s="64"/>
      <c r="S71" s="365"/>
      <c r="T71" s="136" t="str">
        <f t="shared" si="9"/>
        <v/>
      </c>
      <c r="U71" s="355"/>
      <c r="V71" s="358"/>
      <c r="W71" s="355"/>
      <c r="X71" s="355"/>
      <c r="Y71" s="369"/>
      <c r="Z71" s="369"/>
      <c r="AA71" s="355"/>
      <c r="AB71" s="355"/>
      <c r="AC71" s="353"/>
      <c r="AD71" s="355"/>
      <c r="AE71" s="369"/>
      <c r="AF71" s="369"/>
      <c r="AG71" s="355"/>
      <c r="AH71" s="362"/>
      <c r="AI71" s="362"/>
      <c r="AJ71" s="362"/>
    </row>
    <row r="72" spans="1:36" ht="14.5" customHeight="1" x14ac:dyDescent="0.35">
      <c r="A72" s="355"/>
      <c r="B72" s="355"/>
      <c r="C72" s="348"/>
      <c r="D72" s="348"/>
      <c r="E72" s="355"/>
      <c r="F72" s="353"/>
      <c r="G72" s="76" t="s">
        <v>303</v>
      </c>
      <c r="H72" s="64"/>
      <c r="I72" s="139" t="s">
        <v>202</v>
      </c>
      <c r="J72" s="64"/>
      <c r="K72" s="64"/>
      <c r="L72" s="64"/>
      <c r="M72" s="64"/>
      <c r="N72" s="64"/>
      <c r="O72" s="64"/>
      <c r="P72" s="64"/>
      <c r="Q72" s="64"/>
      <c r="R72" s="64"/>
      <c r="S72" s="365"/>
      <c r="T72" s="136" t="str">
        <f t="shared" si="9"/>
        <v/>
      </c>
      <c r="U72" s="355"/>
      <c r="V72" s="358"/>
      <c r="W72" s="355"/>
      <c r="X72" s="355"/>
      <c r="Y72" s="369"/>
      <c r="Z72" s="369"/>
      <c r="AA72" s="355"/>
      <c r="AB72" s="355"/>
      <c r="AC72" s="353"/>
      <c r="AD72" s="355"/>
      <c r="AE72" s="369"/>
      <c r="AF72" s="369"/>
      <c r="AG72" s="355"/>
      <c r="AH72" s="362"/>
      <c r="AI72" s="362"/>
      <c r="AJ72" s="362"/>
    </row>
    <row r="73" spans="1:36" ht="14.5" customHeight="1" x14ac:dyDescent="0.35">
      <c r="A73" s="355"/>
      <c r="B73" s="355"/>
      <c r="C73" s="348"/>
      <c r="D73" s="348"/>
      <c r="E73" s="355"/>
      <c r="F73" s="353"/>
      <c r="G73" s="76" t="s">
        <v>304</v>
      </c>
      <c r="H73" s="64"/>
      <c r="I73" s="139" t="s">
        <v>203</v>
      </c>
      <c r="J73" s="64"/>
      <c r="K73" s="64"/>
      <c r="L73" s="64"/>
      <c r="M73" s="64"/>
      <c r="N73" s="64"/>
      <c r="O73" s="64"/>
      <c r="P73" s="64"/>
      <c r="Q73" s="64"/>
      <c r="R73" s="64"/>
      <c r="S73" s="365"/>
      <c r="T73" s="136" t="str">
        <f t="shared" si="9"/>
        <v/>
      </c>
      <c r="U73" s="355"/>
      <c r="V73" s="358"/>
      <c r="W73" s="355"/>
      <c r="X73" s="355"/>
      <c r="Y73" s="369"/>
      <c r="Z73" s="369"/>
      <c r="AA73" s="355"/>
      <c r="AB73" s="355"/>
      <c r="AC73" s="353"/>
      <c r="AD73" s="355"/>
      <c r="AE73" s="369"/>
      <c r="AF73" s="369"/>
      <c r="AG73" s="355"/>
      <c r="AH73" s="362"/>
      <c r="AI73" s="362"/>
      <c r="AJ73" s="362"/>
    </row>
    <row r="74" spans="1:36" ht="14.5" customHeight="1" x14ac:dyDescent="0.35">
      <c r="A74" s="355"/>
      <c r="B74" s="355"/>
      <c r="C74" s="348"/>
      <c r="D74" s="348"/>
      <c r="E74" s="355"/>
      <c r="F74" s="353"/>
      <c r="G74" s="76" t="s">
        <v>305</v>
      </c>
      <c r="H74" s="64"/>
      <c r="I74" s="139" t="s">
        <v>204</v>
      </c>
      <c r="J74" s="64"/>
      <c r="K74" s="64"/>
      <c r="L74" s="64"/>
      <c r="M74" s="64"/>
      <c r="N74" s="64"/>
      <c r="O74" s="64"/>
      <c r="P74" s="64"/>
      <c r="Q74" s="64"/>
      <c r="R74" s="64"/>
      <c r="S74" s="365"/>
      <c r="T74" s="136" t="str">
        <f t="shared" si="9"/>
        <v/>
      </c>
      <c r="U74" s="355"/>
      <c r="V74" s="358"/>
      <c r="W74" s="355"/>
      <c r="X74" s="355"/>
      <c r="Y74" s="369"/>
      <c r="Z74" s="369"/>
      <c r="AA74" s="355"/>
      <c r="AB74" s="355"/>
      <c r="AC74" s="353"/>
      <c r="AD74" s="355"/>
      <c r="AE74" s="369"/>
      <c r="AF74" s="369"/>
      <c r="AG74" s="355"/>
      <c r="AH74" s="362"/>
      <c r="AI74" s="362"/>
      <c r="AJ74" s="362"/>
    </row>
    <row r="75" spans="1:36" ht="14.5" customHeight="1" x14ac:dyDescent="0.35">
      <c r="A75" s="355"/>
      <c r="B75" s="355"/>
      <c r="C75" s="349"/>
      <c r="D75" s="349"/>
      <c r="E75" s="355"/>
      <c r="F75" s="353"/>
      <c r="G75" s="76" t="s">
        <v>306</v>
      </c>
      <c r="H75" s="64"/>
      <c r="I75" s="139" t="s">
        <v>205</v>
      </c>
      <c r="J75" s="64"/>
      <c r="K75" s="64"/>
      <c r="L75" s="64"/>
      <c r="M75" s="64"/>
      <c r="N75" s="64"/>
      <c r="O75" s="64"/>
      <c r="P75" s="64"/>
      <c r="Q75" s="64"/>
      <c r="R75" s="64"/>
      <c r="S75" s="366"/>
      <c r="T75" s="136" t="str">
        <f t="shared" si="9"/>
        <v/>
      </c>
      <c r="U75" s="355"/>
      <c r="V75" s="358"/>
      <c r="W75" s="355"/>
      <c r="X75" s="355"/>
      <c r="Y75" s="369"/>
      <c r="Z75" s="369"/>
      <c r="AA75" s="355"/>
      <c r="AB75" s="355"/>
      <c r="AC75" s="353"/>
      <c r="AD75" s="355"/>
      <c r="AE75" s="369"/>
      <c r="AF75" s="369"/>
      <c r="AG75" s="355"/>
      <c r="AH75" s="362"/>
      <c r="AI75" s="362"/>
      <c r="AJ75" s="362"/>
    </row>
    <row r="76" spans="1:36" ht="14.5" customHeight="1" x14ac:dyDescent="0.35">
      <c r="A76" s="359">
        <v>11</v>
      </c>
      <c r="B76" s="371" t="str">
        <f>IF($E76="","","BIA-"&amp;TEXT(11,"000"))</f>
        <v/>
      </c>
      <c r="C76" s="347" t="str">
        <f>IFERROR(INDEX(BusinessUnits1,MATCH(A76,'04. Products &amp; Services'!$N$6:$N$50,0)),"")</f>
        <v/>
      </c>
      <c r="D76" s="347" t="str">
        <f>IFERROR(INDEX(DivisionSites,MATCH(A76,'04. Products &amp; Services'!$N$6:$N$50,0)),"")</f>
        <v/>
      </c>
      <c r="E76" s="360" t="str">
        <f>IFERROR(INDEX(ScopeNames,MATCH(A76,'04. Products &amp; Services'!$N$6:$N$50,0)),"")</f>
        <v/>
      </c>
      <c r="F76" s="372" t="str">
        <f>_xlfn.XLOOKUP(E76,'04. Products &amp; Services'!$E$5:$E$50,'04. Products &amp; Services'!$B$5:$B$50,"")</f>
        <v/>
      </c>
      <c r="G76" s="76" t="s">
        <v>300</v>
      </c>
      <c r="H76" s="64"/>
      <c r="I76" s="139" t="s">
        <v>197</v>
      </c>
      <c r="J76" s="64"/>
      <c r="K76" s="64"/>
      <c r="L76" s="64"/>
      <c r="M76" s="64"/>
      <c r="N76" s="64"/>
      <c r="O76" s="64"/>
      <c r="P76" s="64"/>
      <c r="Q76" s="64"/>
      <c r="R76" s="64"/>
      <c r="S76" s="364" t="str">
        <f>IF(COUNT(J76:R82)=0,"",MAX(J76:R82))</f>
        <v/>
      </c>
      <c r="T76" s="136" t="str">
        <f t="shared" ref="T76:T82" si="10">IF($S$76="","",IF(COUNT(J76:R76)=0,"",IF(MAX(J76:R76)&gt;3,$I76,"")))</f>
        <v/>
      </c>
      <c r="U76" s="356" t="str" cm="1">
        <f t="array" ref="U76">IF($E76="","",_xlfn.LET(_xlpm.matches,_xlfn._xlws.FILTER('04. Products &amp; Services'!$J$6:$J$50,'04. Products &amp; Services'!$E$6:$E$50=$E76,""),_xlpm.n,COUNTIF($E$6:$E76,$E76),_xlpm.v,IFERROR(INDEX(_xlpm.matches,_xlpm.n),""),IF(OR(_xlpm.v="",_xlpm.v=0),"",_xlpm.v)))</f>
        <v/>
      </c>
      <c r="V76" s="357"/>
      <c r="W76" s="354" t="str">
        <f>IF($E76="","",IF(OR($U76="Yes",$V76="Yes"),"Yes",IF(AND($U76="No",$V76="No"),"No",IF(AND($U76="Under Evaluation",$V76="No"),"Under Evaluation",""))))</f>
        <v/>
      </c>
      <c r="X76" s="377" t="str">
        <f>IF($E76="","",IFERROR(_xlfn.LET(_xlpm.v,INDEX('04. Products &amp; Services'!$K$6:$K$50,MATCH($E76,ScopeNames,0)),IF(_xlpm.v="","",_xlpm.v)),""))</f>
        <v/>
      </c>
      <c r="Y76" s="376"/>
      <c r="Z76" s="376"/>
      <c r="AA76" s="354" t="str">
        <f>IF($E76="","",IF(COUNT(J76:R82)=0,"",IF(MAX(J76:J82)&gt;=4,6,IF(MAX(K76:K82)&gt;=4,18,IF(MAX(L76:L82)&gt;=4,36,IF(MAX(M76:M82)&gt;=4,72,IF(MAX(N76:N82)&gt;=4,168,IF(MAX(O76:O82)&gt;=4,336,IF(MAX(P76:P82)&gt;=4,504,IF(MAX(Q76:Q82)&gt;=4,672,IF(MAX(R76:R82)&gt;=4,"","")))))))))))</f>
        <v/>
      </c>
      <c r="AB76" s="354" t="str">
        <f>IF($F76="","",IFERROR(VLOOKUP($F76,'04. Products &amp; Services'!$B$5:$M$50,12,0),""))</f>
        <v/>
      </c>
      <c r="AC76" s="352"/>
      <c r="AD76" s="367" t="str" cm="1">
        <f t="array" ref="AD76">IF(ISBLANK(AC76),"",_xlfn.LET(
_xlpm.Num,--_xlfn.TEXTBEFORE(AC76," "),
_xlpm.Unit,LOWER(_xlfn.TEXTAFTER(AC76," ")),
_xlfn.SWITCH(_xlpm.Unit,
"hour",_xlpm.Num,
"hours",_xlpm.Num,
"day",_xlpm.Num*24,
"days",_xlpm.Num*24,
"week",_xlpm.Num*24*7,
"weeks",_xlpm.Num*24*7,
"month",_xlpm.Num*24*(365.25/12),
"months",_xlpm.Num*24*(365.25/12),
"")
))</f>
        <v/>
      </c>
      <c r="AE76" s="368"/>
      <c r="AF76" s="370"/>
      <c r="AG76" s="363" t="str">
        <f>IF($AF76="","",DATE(YEAR($AF76)+1,MONTH($AF76),DAY($AF76)))</f>
        <v/>
      </c>
      <c r="AH76" s="361" t="str" cm="1">
        <f t="array" ref="AH76">IF($B76="","",_xlfn.LET(_xlpm.ids,'15. BCM Risk Register'!$A$6:$A$65,_xlpm.links,'15. BCM Risk Register'!$I$6:$I$65,_xlpm.hit,ISNUMBER(SEARCH(","&amp;$B76&amp;",",","&amp;SUBSTITUTE(_xlpm.links," ","")&amp;",")),IFERROR(_xlfn.TEXTJOIN(", ",TRUE,_xlfn.UNIQUE(_xlfn._xlws.FILTER(_xlpm.ids,_xlpm.hit*(_xlpm.ids&lt;&gt;"")))),"Not Created")))</f>
        <v/>
      </c>
      <c r="AI76" s="361" t="str" cm="1">
        <f t="array" ref="AI76">IF($B76="","",_xlfn.LET(_xlpm.ids,'15. BCM Risk Register'!$L$6:$L$65,_xlpm.links,'15. BCM Risk Register'!$I$6:$I$65,_xlpm.hit,ISNUMBER(SEARCH(","&amp;$B76&amp;",",","&amp;SUBSTITUTE(_xlpm.links," ","")&amp;",")),IFERROR(_xlfn.TEXTJOIN(", ",TRUE,_xlfn.UNIQUE(_xlfn._xlws.FILTER(_xlpm.ids,_xlpm.hit*(_xlpm.ids&lt;&gt;"")*(_xlpm.ids&lt;&gt;"Not Created")))),"Not Created")))</f>
        <v/>
      </c>
      <c r="AJ76" s="361" t="str" cm="1">
        <f t="array" ref="AJ76">IF($B76="","",_xlfn.LET(_xlpm.ids,'15. BCM Risk Register'!$K$6:$K$65,_xlpm.links,'15. BCM Risk Register'!$I$6:$I$65,_xlpm.hit,ISNUMBER(SEARCH(","&amp;$B76&amp;",",","&amp;SUBSTITUTE(_xlpm.links," ","")&amp;",")),IFERROR(_xlfn.TEXTJOIN(", ",TRUE,_xlfn.UNIQUE(_xlfn._xlws.FILTER(_xlpm.ids,_xlpm.hit*(_xlpm.ids&lt;&gt;"")*(_xlpm.ids&lt;&gt;"Not Created")))),"Not Created")))</f>
        <v/>
      </c>
    </row>
    <row r="77" spans="1:36" ht="14.5" customHeight="1" x14ac:dyDescent="0.35">
      <c r="A77" s="355"/>
      <c r="B77" s="355"/>
      <c r="C77" s="348"/>
      <c r="D77" s="348"/>
      <c r="E77" s="355"/>
      <c r="F77" s="353"/>
      <c r="G77" s="76" t="s">
        <v>301</v>
      </c>
      <c r="H77" s="64"/>
      <c r="I77" s="139" t="s">
        <v>199</v>
      </c>
      <c r="J77" s="64"/>
      <c r="K77" s="64"/>
      <c r="L77" s="64"/>
      <c r="M77" s="64"/>
      <c r="N77" s="64"/>
      <c r="O77" s="64"/>
      <c r="P77" s="64"/>
      <c r="Q77" s="64"/>
      <c r="R77" s="64"/>
      <c r="S77" s="365"/>
      <c r="T77" s="136" t="str">
        <f t="shared" si="10"/>
        <v/>
      </c>
      <c r="U77" s="355"/>
      <c r="V77" s="358"/>
      <c r="W77" s="355"/>
      <c r="X77" s="355"/>
      <c r="Y77" s="369"/>
      <c r="Z77" s="369"/>
      <c r="AA77" s="355"/>
      <c r="AB77" s="355"/>
      <c r="AC77" s="353"/>
      <c r="AD77" s="355"/>
      <c r="AE77" s="369"/>
      <c r="AF77" s="369"/>
      <c r="AG77" s="355"/>
      <c r="AH77" s="362"/>
      <c r="AI77" s="362"/>
      <c r="AJ77" s="362"/>
    </row>
    <row r="78" spans="1:36" ht="14.5" customHeight="1" x14ac:dyDescent="0.35">
      <c r="A78" s="355"/>
      <c r="B78" s="355"/>
      <c r="C78" s="348"/>
      <c r="D78" s="348"/>
      <c r="E78" s="355"/>
      <c r="F78" s="353"/>
      <c r="G78" s="76" t="s">
        <v>302</v>
      </c>
      <c r="H78" s="64"/>
      <c r="I78" s="139" t="s">
        <v>200</v>
      </c>
      <c r="J78" s="64"/>
      <c r="K78" s="64"/>
      <c r="L78" s="64"/>
      <c r="M78" s="64"/>
      <c r="N78" s="64"/>
      <c r="O78" s="64"/>
      <c r="P78" s="64"/>
      <c r="Q78" s="64"/>
      <c r="R78" s="64"/>
      <c r="S78" s="365"/>
      <c r="T78" s="136" t="str">
        <f t="shared" si="10"/>
        <v/>
      </c>
      <c r="U78" s="355"/>
      <c r="V78" s="358"/>
      <c r="W78" s="355"/>
      <c r="X78" s="355"/>
      <c r="Y78" s="369"/>
      <c r="Z78" s="369"/>
      <c r="AA78" s="355"/>
      <c r="AB78" s="355"/>
      <c r="AC78" s="353"/>
      <c r="AD78" s="355"/>
      <c r="AE78" s="369"/>
      <c r="AF78" s="369"/>
      <c r="AG78" s="355"/>
      <c r="AH78" s="362"/>
      <c r="AI78" s="362"/>
      <c r="AJ78" s="362"/>
    </row>
    <row r="79" spans="1:36" ht="14.5" customHeight="1" x14ac:dyDescent="0.35">
      <c r="A79" s="355"/>
      <c r="B79" s="355"/>
      <c r="C79" s="348"/>
      <c r="D79" s="348"/>
      <c r="E79" s="355"/>
      <c r="F79" s="353"/>
      <c r="G79" s="76" t="s">
        <v>303</v>
      </c>
      <c r="H79" s="64"/>
      <c r="I79" s="139" t="s">
        <v>202</v>
      </c>
      <c r="J79" s="64"/>
      <c r="K79" s="64"/>
      <c r="L79" s="64"/>
      <c r="M79" s="64"/>
      <c r="N79" s="64"/>
      <c r="O79" s="64"/>
      <c r="P79" s="64"/>
      <c r="Q79" s="64"/>
      <c r="R79" s="64"/>
      <c r="S79" s="365"/>
      <c r="T79" s="136" t="str">
        <f t="shared" si="10"/>
        <v/>
      </c>
      <c r="U79" s="355"/>
      <c r="V79" s="358"/>
      <c r="W79" s="355"/>
      <c r="X79" s="355"/>
      <c r="Y79" s="369"/>
      <c r="Z79" s="369"/>
      <c r="AA79" s="355"/>
      <c r="AB79" s="355"/>
      <c r="AC79" s="353"/>
      <c r="AD79" s="355"/>
      <c r="AE79" s="369"/>
      <c r="AF79" s="369"/>
      <c r="AG79" s="355"/>
      <c r="AH79" s="362"/>
      <c r="AI79" s="362"/>
      <c r="AJ79" s="362"/>
    </row>
    <row r="80" spans="1:36" ht="14.5" customHeight="1" x14ac:dyDescent="0.35">
      <c r="A80" s="355"/>
      <c r="B80" s="355"/>
      <c r="C80" s="348"/>
      <c r="D80" s="348"/>
      <c r="E80" s="355"/>
      <c r="F80" s="353"/>
      <c r="G80" s="76" t="s">
        <v>304</v>
      </c>
      <c r="H80" s="64"/>
      <c r="I80" s="139" t="s">
        <v>203</v>
      </c>
      <c r="J80" s="64"/>
      <c r="K80" s="64"/>
      <c r="L80" s="64"/>
      <c r="M80" s="64"/>
      <c r="N80" s="64"/>
      <c r="O80" s="64"/>
      <c r="P80" s="64"/>
      <c r="Q80" s="64"/>
      <c r="R80" s="64"/>
      <c r="S80" s="365"/>
      <c r="T80" s="136" t="str">
        <f t="shared" si="10"/>
        <v/>
      </c>
      <c r="U80" s="355"/>
      <c r="V80" s="358"/>
      <c r="W80" s="355"/>
      <c r="X80" s="355"/>
      <c r="Y80" s="369"/>
      <c r="Z80" s="369"/>
      <c r="AA80" s="355"/>
      <c r="AB80" s="355"/>
      <c r="AC80" s="353"/>
      <c r="AD80" s="355"/>
      <c r="AE80" s="369"/>
      <c r="AF80" s="369"/>
      <c r="AG80" s="355"/>
      <c r="AH80" s="362"/>
      <c r="AI80" s="362"/>
      <c r="AJ80" s="362"/>
    </row>
    <row r="81" spans="1:36" ht="14.5" customHeight="1" x14ac:dyDescent="0.35">
      <c r="A81" s="355"/>
      <c r="B81" s="355"/>
      <c r="C81" s="348"/>
      <c r="D81" s="348"/>
      <c r="E81" s="355"/>
      <c r="F81" s="353"/>
      <c r="G81" s="76" t="s">
        <v>305</v>
      </c>
      <c r="H81" s="64"/>
      <c r="I81" s="139" t="s">
        <v>204</v>
      </c>
      <c r="J81" s="64"/>
      <c r="K81" s="64"/>
      <c r="L81" s="64"/>
      <c r="M81" s="64"/>
      <c r="N81" s="64"/>
      <c r="O81" s="64"/>
      <c r="P81" s="64"/>
      <c r="Q81" s="64"/>
      <c r="R81" s="64"/>
      <c r="S81" s="365"/>
      <c r="T81" s="136" t="str">
        <f t="shared" si="10"/>
        <v/>
      </c>
      <c r="U81" s="355"/>
      <c r="V81" s="358"/>
      <c r="W81" s="355"/>
      <c r="X81" s="355"/>
      <c r="Y81" s="369"/>
      <c r="Z81" s="369"/>
      <c r="AA81" s="355"/>
      <c r="AB81" s="355"/>
      <c r="AC81" s="353"/>
      <c r="AD81" s="355"/>
      <c r="AE81" s="369"/>
      <c r="AF81" s="369"/>
      <c r="AG81" s="355"/>
      <c r="AH81" s="362"/>
      <c r="AI81" s="362"/>
      <c r="AJ81" s="362"/>
    </row>
    <row r="82" spans="1:36" ht="14.5" customHeight="1" x14ac:dyDescent="0.35">
      <c r="A82" s="355"/>
      <c r="B82" s="355"/>
      <c r="C82" s="349"/>
      <c r="D82" s="349"/>
      <c r="E82" s="355"/>
      <c r="F82" s="353"/>
      <c r="G82" s="76" t="s">
        <v>306</v>
      </c>
      <c r="H82" s="64"/>
      <c r="I82" s="139" t="s">
        <v>205</v>
      </c>
      <c r="J82" s="64"/>
      <c r="K82" s="64"/>
      <c r="L82" s="64"/>
      <c r="M82" s="64"/>
      <c r="N82" s="64"/>
      <c r="O82" s="64"/>
      <c r="P82" s="64"/>
      <c r="Q82" s="64"/>
      <c r="R82" s="64"/>
      <c r="S82" s="366"/>
      <c r="T82" s="136" t="str">
        <f t="shared" si="10"/>
        <v/>
      </c>
      <c r="U82" s="355"/>
      <c r="V82" s="358"/>
      <c r="W82" s="355"/>
      <c r="X82" s="355"/>
      <c r="Y82" s="369"/>
      <c r="Z82" s="369"/>
      <c r="AA82" s="355"/>
      <c r="AB82" s="355"/>
      <c r="AC82" s="353"/>
      <c r="AD82" s="355"/>
      <c r="AE82" s="369"/>
      <c r="AF82" s="369"/>
      <c r="AG82" s="355"/>
      <c r="AH82" s="362"/>
      <c r="AI82" s="362"/>
      <c r="AJ82" s="362"/>
    </row>
    <row r="83" spans="1:36" ht="14.5" customHeight="1" x14ac:dyDescent="0.35">
      <c r="A83" s="359">
        <v>12</v>
      </c>
      <c r="B83" s="371" t="str">
        <f>IF($E83="","","BIA-"&amp;TEXT(12,"000"))</f>
        <v/>
      </c>
      <c r="C83" s="347" t="str">
        <f>IFERROR(INDEX(BusinessUnits1,MATCH(A83,'04. Products &amp; Services'!$N$6:$N$50,0)),"")</f>
        <v/>
      </c>
      <c r="D83" s="347" t="str">
        <f>IFERROR(INDEX(DivisionSites,MATCH(A83,'04. Products &amp; Services'!$N$6:$N$50,0)),"")</f>
        <v/>
      </c>
      <c r="E83" s="360" t="str">
        <f>IFERROR(INDEX(ScopeNames,MATCH(A83,'04. Products &amp; Services'!$N$6:$N$50,0)),"")</f>
        <v/>
      </c>
      <c r="F83" s="372" t="str">
        <f>_xlfn.XLOOKUP(E83,'04. Products &amp; Services'!$E$5:$E$50,'04. Products &amp; Services'!$B$5:$B$50,"")</f>
        <v/>
      </c>
      <c r="G83" s="76" t="s">
        <v>300</v>
      </c>
      <c r="H83" s="64"/>
      <c r="I83" s="139" t="s">
        <v>197</v>
      </c>
      <c r="J83" s="64"/>
      <c r="K83" s="64"/>
      <c r="L83" s="64"/>
      <c r="M83" s="64"/>
      <c r="N83" s="64"/>
      <c r="O83" s="64"/>
      <c r="P83" s="64"/>
      <c r="Q83" s="64"/>
      <c r="R83" s="64"/>
      <c r="S83" s="364" t="str">
        <f>IF(COUNT(J83:R89)=0,"",MAX(J83:R89))</f>
        <v/>
      </c>
      <c r="T83" s="136" t="str">
        <f t="shared" ref="T83:T89" si="11">IF($S$83="","",IF(COUNT(J83:R83)=0,"",IF(MAX(J83:R83)&gt;3,$I83,"")))</f>
        <v/>
      </c>
      <c r="U83" s="356" t="str" cm="1">
        <f t="array" ref="U83">IF($E83="","",_xlfn.LET(_xlpm.matches,_xlfn._xlws.FILTER('04. Products &amp; Services'!$J$6:$J$50,'04. Products &amp; Services'!$E$6:$E$50=$E83,""),_xlpm.n,COUNTIF($E$6:$E83,$E83),_xlpm.v,IFERROR(INDEX(_xlpm.matches,_xlpm.n),""),IF(OR(_xlpm.v="",_xlpm.v=0),"",_xlpm.v)))</f>
        <v/>
      </c>
      <c r="V83" s="357"/>
      <c r="W83" s="354" t="str">
        <f>IF($E83="","",IF(OR($U83="Yes",$V83="Yes"),"Yes",IF(AND($U83="No",$V83="No"),"No",IF(AND($U83="Under Evaluation",$V83="No"),"Under Evaluation",""))))</f>
        <v/>
      </c>
      <c r="X83" s="377" t="str">
        <f>IF($E83="","",IFERROR(_xlfn.LET(_xlpm.v,INDEX('04. Products &amp; Services'!$K$6:$K$50,MATCH($E83,ScopeNames,0)),IF(_xlpm.v="","",_xlpm.v)),""))</f>
        <v/>
      </c>
      <c r="Y83" s="376"/>
      <c r="Z83" s="376"/>
      <c r="AA83" s="354" t="str">
        <f>IF($E83="","",IF(COUNT(J83:R89)=0,"",IF(MAX(J83:J89)&gt;=4,6,IF(MAX(K83:K89)&gt;=4,18,IF(MAX(L83:L89)&gt;=4,36,IF(MAX(M83:M89)&gt;=4,72,IF(MAX(N83:N89)&gt;=4,168,IF(MAX(O83:O89)&gt;=4,336,IF(MAX(P83:P89)&gt;=4,504,IF(MAX(Q83:Q89)&gt;=4,672,IF(MAX(R83:R89)&gt;=4,"","")))))))))))</f>
        <v/>
      </c>
      <c r="AB83" s="354" t="str">
        <f>IF($F83="","",IFERROR(VLOOKUP($F83,'04. Products &amp; Services'!$B$5:$M$50,12,0),""))</f>
        <v/>
      </c>
      <c r="AC83" s="352"/>
      <c r="AD83" s="367" t="str" cm="1">
        <f t="array" ref="AD83">IF(ISBLANK(AC83),"",_xlfn.LET(
_xlpm.Num,--_xlfn.TEXTBEFORE(AC83," "),
_xlpm.Unit,LOWER(_xlfn.TEXTAFTER(AC83," ")),
_xlfn.SWITCH(_xlpm.Unit,
"hour",_xlpm.Num,
"hours",_xlpm.Num,
"day",_xlpm.Num*24,
"days",_xlpm.Num*24,
"week",_xlpm.Num*24*7,
"weeks",_xlpm.Num*24*7,
"month",_xlpm.Num*24*(365.25/12),
"months",_xlpm.Num*24*(365.25/12),
"")
))</f>
        <v/>
      </c>
      <c r="AE83" s="368"/>
      <c r="AF83" s="370"/>
      <c r="AG83" s="363" t="str">
        <f>IF($AF83="","",DATE(YEAR($AF83)+1,MONTH($AF83),DAY($AF83)))</f>
        <v/>
      </c>
      <c r="AH83" s="361" t="str" cm="1">
        <f t="array" ref="AH83">IF($B83="","",_xlfn.LET(_xlpm.ids,'15. BCM Risk Register'!$A$6:$A$65,_xlpm.links,'15. BCM Risk Register'!$I$6:$I$65,_xlpm.hit,ISNUMBER(SEARCH(","&amp;$B83&amp;",",","&amp;SUBSTITUTE(_xlpm.links," ","")&amp;",")),IFERROR(_xlfn.TEXTJOIN(", ",TRUE,_xlfn.UNIQUE(_xlfn._xlws.FILTER(_xlpm.ids,_xlpm.hit*(_xlpm.ids&lt;&gt;"")))),"Not Created")))</f>
        <v/>
      </c>
      <c r="AI83" s="361" t="str" cm="1">
        <f t="array" ref="AI83">IF($B83="","",_xlfn.LET(_xlpm.ids,'15. BCM Risk Register'!$L$6:$L$65,_xlpm.links,'15. BCM Risk Register'!$I$6:$I$65,_xlpm.hit,ISNUMBER(SEARCH(","&amp;$B83&amp;",",","&amp;SUBSTITUTE(_xlpm.links," ","")&amp;",")),IFERROR(_xlfn.TEXTJOIN(", ",TRUE,_xlfn.UNIQUE(_xlfn._xlws.FILTER(_xlpm.ids,_xlpm.hit*(_xlpm.ids&lt;&gt;"")*(_xlpm.ids&lt;&gt;"Not Created")))),"Not Created")))</f>
        <v/>
      </c>
      <c r="AJ83" s="361" t="str" cm="1">
        <f t="array" ref="AJ83">IF($B83="","",_xlfn.LET(_xlpm.ids,'15. BCM Risk Register'!$K$6:$K$65,_xlpm.links,'15. BCM Risk Register'!$I$6:$I$65,_xlpm.hit,ISNUMBER(SEARCH(","&amp;$B83&amp;",",","&amp;SUBSTITUTE(_xlpm.links," ","")&amp;",")),IFERROR(_xlfn.TEXTJOIN(", ",TRUE,_xlfn.UNIQUE(_xlfn._xlws.FILTER(_xlpm.ids,_xlpm.hit*(_xlpm.ids&lt;&gt;"")*(_xlpm.ids&lt;&gt;"Not Created")))),"Not Created")))</f>
        <v/>
      </c>
    </row>
    <row r="84" spans="1:36" ht="14.5" customHeight="1" x14ac:dyDescent="0.35">
      <c r="A84" s="355"/>
      <c r="B84" s="355"/>
      <c r="C84" s="348"/>
      <c r="D84" s="348"/>
      <c r="E84" s="355"/>
      <c r="F84" s="353"/>
      <c r="G84" s="76" t="s">
        <v>301</v>
      </c>
      <c r="H84" s="64"/>
      <c r="I84" s="139" t="s">
        <v>199</v>
      </c>
      <c r="J84" s="64"/>
      <c r="K84" s="64"/>
      <c r="L84" s="64"/>
      <c r="M84" s="64"/>
      <c r="N84" s="64"/>
      <c r="O84" s="64"/>
      <c r="P84" s="64"/>
      <c r="Q84" s="64"/>
      <c r="R84" s="64"/>
      <c r="S84" s="365"/>
      <c r="T84" s="136" t="str">
        <f t="shared" si="11"/>
        <v/>
      </c>
      <c r="U84" s="355"/>
      <c r="V84" s="358"/>
      <c r="W84" s="355"/>
      <c r="X84" s="355"/>
      <c r="Y84" s="369"/>
      <c r="Z84" s="369"/>
      <c r="AA84" s="355"/>
      <c r="AB84" s="355"/>
      <c r="AC84" s="353"/>
      <c r="AD84" s="355"/>
      <c r="AE84" s="369"/>
      <c r="AF84" s="369"/>
      <c r="AG84" s="355"/>
      <c r="AH84" s="362"/>
      <c r="AI84" s="362"/>
      <c r="AJ84" s="362"/>
    </row>
    <row r="85" spans="1:36" ht="14.5" customHeight="1" x14ac:dyDescent="0.35">
      <c r="A85" s="355"/>
      <c r="B85" s="355"/>
      <c r="C85" s="348"/>
      <c r="D85" s="348"/>
      <c r="E85" s="355"/>
      <c r="F85" s="353"/>
      <c r="G85" s="76" t="s">
        <v>302</v>
      </c>
      <c r="H85" s="64"/>
      <c r="I85" s="139" t="s">
        <v>200</v>
      </c>
      <c r="J85" s="64"/>
      <c r="K85" s="64"/>
      <c r="L85" s="64"/>
      <c r="M85" s="64"/>
      <c r="N85" s="64"/>
      <c r="O85" s="64"/>
      <c r="P85" s="64"/>
      <c r="Q85" s="64"/>
      <c r="R85" s="64"/>
      <c r="S85" s="365"/>
      <c r="T85" s="136" t="str">
        <f t="shared" si="11"/>
        <v/>
      </c>
      <c r="U85" s="355"/>
      <c r="V85" s="358"/>
      <c r="W85" s="355"/>
      <c r="X85" s="355"/>
      <c r="Y85" s="369"/>
      <c r="Z85" s="369"/>
      <c r="AA85" s="355"/>
      <c r="AB85" s="355"/>
      <c r="AC85" s="353"/>
      <c r="AD85" s="355"/>
      <c r="AE85" s="369"/>
      <c r="AF85" s="369"/>
      <c r="AG85" s="355"/>
      <c r="AH85" s="362"/>
      <c r="AI85" s="362"/>
      <c r="AJ85" s="362"/>
    </row>
    <row r="86" spans="1:36" ht="14.5" customHeight="1" x14ac:dyDescent="0.35">
      <c r="A86" s="355"/>
      <c r="B86" s="355"/>
      <c r="C86" s="348"/>
      <c r="D86" s="348"/>
      <c r="E86" s="355"/>
      <c r="F86" s="353"/>
      <c r="G86" s="76" t="s">
        <v>303</v>
      </c>
      <c r="H86" s="64"/>
      <c r="I86" s="139" t="s">
        <v>202</v>
      </c>
      <c r="J86" s="64"/>
      <c r="K86" s="64"/>
      <c r="L86" s="64"/>
      <c r="M86" s="64"/>
      <c r="N86" s="64"/>
      <c r="O86" s="64"/>
      <c r="P86" s="64"/>
      <c r="Q86" s="64"/>
      <c r="R86" s="64"/>
      <c r="S86" s="365"/>
      <c r="T86" s="136" t="str">
        <f t="shared" si="11"/>
        <v/>
      </c>
      <c r="U86" s="355"/>
      <c r="V86" s="358"/>
      <c r="W86" s="355"/>
      <c r="X86" s="355"/>
      <c r="Y86" s="369"/>
      <c r="Z86" s="369"/>
      <c r="AA86" s="355"/>
      <c r="AB86" s="355"/>
      <c r="AC86" s="353"/>
      <c r="AD86" s="355"/>
      <c r="AE86" s="369"/>
      <c r="AF86" s="369"/>
      <c r="AG86" s="355"/>
      <c r="AH86" s="362"/>
      <c r="AI86" s="362"/>
      <c r="AJ86" s="362"/>
    </row>
    <row r="87" spans="1:36" ht="14.5" customHeight="1" x14ac:dyDescent="0.35">
      <c r="A87" s="355"/>
      <c r="B87" s="355"/>
      <c r="C87" s="348"/>
      <c r="D87" s="348"/>
      <c r="E87" s="355"/>
      <c r="F87" s="353"/>
      <c r="G87" s="76" t="s">
        <v>304</v>
      </c>
      <c r="H87" s="64"/>
      <c r="I87" s="139" t="s">
        <v>203</v>
      </c>
      <c r="J87" s="64"/>
      <c r="K87" s="64"/>
      <c r="L87" s="64"/>
      <c r="M87" s="64"/>
      <c r="N87" s="64"/>
      <c r="O87" s="64"/>
      <c r="P87" s="64"/>
      <c r="Q87" s="64"/>
      <c r="R87" s="64"/>
      <c r="S87" s="365"/>
      <c r="T87" s="136" t="str">
        <f t="shared" si="11"/>
        <v/>
      </c>
      <c r="U87" s="355"/>
      <c r="V87" s="358"/>
      <c r="W87" s="355"/>
      <c r="X87" s="355"/>
      <c r="Y87" s="369"/>
      <c r="Z87" s="369"/>
      <c r="AA87" s="355"/>
      <c r="AB87" s="355"/>
      <c r="AC87" s="353"/>
      <c r="AD87" s="355"/>
      <c r="AE87" s="369"/>
      <c r="AF87" s="369"/>
      <c r="AG87" s="355"/>
      <c r="AH87" s="362"/>
      <c r="AI87" s="362"/>
      <c r="AJ87" s="362"/>
    </row>
    <row r="88" spans="1:36" ht="14.5" customHeight="1" x14ac:dyDescent="0.35">
      <c r="A88" s="355"/>
      <c r="B88" s="355"/>
      <c r="C88" s="348"/>
      <c r="D88" s="348"/>
      <c r="E88" s="355"/>
      <c r="F88" s="353"/>
      <c r="G88" s="76" t="s">
        <v>305</v>
      </c>
      <c r="H88" s="64"/>
      <c r="I88" s="139" t="s">
        <v>204</v>
      </c>
      <c r="J88" s="64"/>
      <c r="K88" s="64"/>
      <c r="L88" s="64"/>
      <c r="M88" s="64"/>
      <c r="N88" s="64"/>
      <c r="O88" s="64"/>
      <c r="P88" s="64"/>
      <c r="Q88" s="64"/>
      <c r="R88" s="64"/>
      <c r="S88" s="365"/>
      <c r="T88" s="136" t="str">
        <f t="shared" si="11"/>
        <v/>
      </c>
      <c r="U88" s="355"/>
      <c r="V88" s="358"/>
      <c r="W88" s="355"/>
      <c r="X88" s="355"/>
      <c r="Y88" s="369"/>
      <c r="Z88" s="369"/>
      <c r="AA88" s="355"/>
      <c r="AB88" s="355"/>
      <c r="AC88" s="353"/>
      <c r="AD88" s="355"/>
      <c r="AE88" s="369"/>
      <c r="AF88" s="369"/>
      <c r="AG88" s="355"/>
      <c r="AH88" s="362"/>
      <c r="AI88" s="362"/>
      <c r="AJ88" s="362"/>
    </row>
    <row r="89" spans="1:36" ht="14.5" customHeight="1" x14ac:dyDescent="0.35">
      <c r="A89" s="355"/>
      <c r="B89" s="355"/>
      <c r="C89" s="349"/>
      <c r="D89" s="349"/>
      <c r="E89" s="355"/>
      <c r="F89" s="353"/>
      <c r="G89" s="76" t="s">
        <v>306</v>
      </c>
      <c r="H89" s="64"/>
      <c r="I89" s="139" t="s">
        <v>205</v>
      </c>
      <c r="J89" s="64"/>
      <c r="K89" s="64"/>
      <c r="L89" s="64"/>
      <c r="M89" s="64"/>
      <c r="N89" s="64"/>
      <c r="O89" s="64"/>
      <c r="P89" s="64"/>
      <c r="Q89" s="64"/>
      <c r="R89" s="64"/>
      <c r="S89" s="366"/>
      <c r="T89" s="136" t="str">
        <f t="shared" si="11"/>
        <v/>
      </c>
      <c r="U89" s="355"/>
      <c r="V89" s="358"/>
      <c r="W89" s="355"/>
      <c r="X89" s="355"/>
      <c r="Y89" s="369"/>
      <c r="Z89" s="369"/>
      <c r="AA89" s="355"/>
      <c r="AB89" s="355"/>
      <c r="AC89" s="353"/>
      <c r="AD89" s="355"/>
      <c r="AE89" s="369"/>
      <c r="AF89" s="369"/>
      <c r="AG89" s="355"/>
      <c r="AH89" s="362"/>
      <c r="AI89" s="362"/>
      <c r="AJ89" s="362"/>
    </row>
    <row r="90" spans="1:36" ht="14.5" customHeight="1" x14ac:dyDescent="0.35">
      <c r="A90" s="359">
        <v>13</v>
      </c>
      <c r="B90" s="371" t="str">
        <f>IF($E90="","","BIA-"&amp;TEXT(13,"000"))</f>
        <v/>
      </c>
      <c r="C90" s="347" t="str">
        <f>IFERROR(INDEX(BusinessUnits1,MATCH(A90,'04. Products &amp; Services'!$N$6:$N$50,0)),"")</f>
        <v/>
      </c>
      <c r="D90" s="347" t="str">
        <f>IFERROR(INDEX(DivisionSites,MATCH(A90,'04. Products &amp; Services'!$N$6:$N$50,0)),"")</f>
        <v/>
      </c>
      <c r="E90" s="360" t="str">
        <f>IFERROR(INDEX(ScopeNames,MATCH(A90,'04. Products &amp; Services'!$N$6:$N$50,0)),"")</f>
        <v/>
      </c>
      <c r="F90" s="372" t="str">
        <f>_xlfn.XLOOKUP(E90,'04. Products &amp; Services'!$E$5:$E$50,'04. Products &amp; Services'!$B$5:$B$50,"")</f>
        <v/>
      </c>
      <c r="G90" s="76" t="s">
        <v>300</v>
      </c>
      <c r="H90" s="64"/>
      <c r="I90" s="139" t="s">
        <v>197</v>
      </c>
      <c r="J90" s="64"/>
      <c r="K90" s="64"/>
      <c r="L90" s="64"/>
      <c r="M90" s="64"/>
      <c r="N90" s="64"/>
      <c r="O90" s="64"/>
      <c r="P90" s="64"/>
      <c r="Q90" s="64"/>
      <c r="R90" s="64"/>
      <c r="S90" s="364" t="str">
        <f>IF(COUNT(J90:R96)=0,"",MAX(J90:R96))</f>
        <v/>
      </c>
      <c r="T90" s="136" t="str">
        <f t="shared" ref="T90:T96" si="12">IF($S$90="","",IF(COUNT(J90:R90)=0,"",IF(MAX(J90:R90)&gt;3,$I90,"")))</f>
        <v/>
      </c>
      <c r="U90" s="356" t="str" cm="1">
        <f t="array" ref="U90">IF($E90="","",_xlfn.LET(_xlpm.matches,_xlfn._xlws.FILTER('04. Products &amp; Services'!$J$6:$J$50,'04. Products &amp; Services'!$E$6:$E$50=$E90,""),_xlpm.n,COUNTIF($E$6:$E90,$E90),_xlpm.v,IFERROR(INDEX(_xlpm.matches,_xlpm.n),""),IF(OR(_xlpm.v="",_xlpm.v=0),"",_xlpm.v)))</f>
        <v/>
      </c>
      <c r="V90" s="357"/>
      <c r="W90" s="354" t="str">
        <f>IF($E90="","",IF(OR($U90="Yes",$V90="Yes"),"Yes",IF(AND($U90="No",$V90="No"),"No",IF(AND($U90="Under Evaluation",$V90="No"),"Under Evaluation",""))))</f>
        <v/>
      </c>
      <c r="X90" s="377" t="str">
        <f>IF($E90="","",IFERROR(_xlfn.LET(_xlpm.v,INDEX('04. Products &amp; Services'!$K$6:$K$50,MATCH($E90,ScopeNames,0)),IF(_xlpm.v="","",_xlpm.v)),""))</f>
        <v/>
      </c>
      <c r="Y90" s="376"/>
      <c r="Z90" s="376"/>
      <c r="AA90" s="354" t="str">
        <f>IF($E90="","",IF(COUNT(J90:R96)=0,"",IF(MAX(J90:J96)&gt;=4,6,IF(MAX(K90:K96)&gt;=4,18,IF(MAX(L90:L96)&gt;=4,36,IF(MAX(M90:M96)&gt;=4,72,IF(MAX(N90:N96)&gt;=4,168,IF(MAX(O90:O96)&gt;=4,336,IF(MAX(P90:P96)&gt;=4,504,IF(MAX(Q90:Q96)&gt;=4,672,IF(MAX(R90:R96)&gt;=4,"","")))))))))))</f>
        <v/>
      </c>
      <c r="AB90" s="354" t="str">
        <f>IF($F90="","",IFERROR(VLOOKUP($F90,'04. Products &amp; Services'!$B$5:$M$50,12,0),""))</f>
        <v/>
      </c>
      <c r="AC90" s="352"/>
      <c r="AD90" s="367" t="str" cm="1">
        <f t="array" ref="AD90">IF(ISBLANK(AC90),"",_xlfn.LET(
_xlpm.Num,--_xlfn.TEXTBEFORE(AC90," "),
_xlpm.Unit,LOWER(_xlfn.TEXTAFTER(AC90," ")),
_xlfn.SWITCH(_xlpm.Unit,
"hour",_xlpm.Num,
"hours",_xlpm.Num,
"day",_xlpm.Num*24,
"days",_xlpm.Num*24,
"week",_xlpm.Num*24*7,
"weeks",_xlpm.Num*24*7,
"month",_xlpm.Num*24*(365.25/12),
"months",_xlpm.Num*24*(365.25/12),
"")
))</f>
        <v/>
      </c>
      <c r="AE90" s="368"/>
      <c r="AF90" s="370"/>
      <c r="AG90" s="363" t="str">
        <f>IF($AF90="","",DATE(YEAR($AF90)+1,MONTH($AF90),DAY($AF90)))</f>
        <v/>
      </c>
      <c r="AH90" s="361" t="str" cm="1">
        <f t="array" ref="AH90">IF($B90="","",_xlfn.LET(_xlpm.ids,'15. BCM Risk Register'!$A$6:$A$65,_xlpm.links,'15. BCM Risk Register'!$I$6:$I$65,_xlpm.hit,ISNUMBER(SEARCH(","&amp;$B90&amp;",",","&amp;SUBSTITUTE(_xlpm.links," ","")&amp;",")),IFERROR(_xlfn.TEXTJOIN(", ",TRUE,_xlfn.UNIQUE(_xlfn._xlws.FILTER(_xlpm.ids,_xlpm.hit*(_xlpm.ids&lt;&gt;"")))),"Not Created")))</f>
        <v/>
      </c>
      <c r="AI90" s="361" t="str" cm="1">
        <f t="array" ref="AI90">IF($B90="","",_xlfn.LET(_xlpm.ids,'15. BCM Risk Register'!$L$6:$L$65,_xlpm.links,'15. BCM Risk Register'!$I$6:$I$65,_xlpm.hit,ISNUMBER(SEARCH(","&amp;$B90&amp;",",","&amp;SUBSTITUTE(_xlpm.links," ","")&amp;",")),IFERROR(_xlfn.TEXTJOIN(", ",TRUE,_xlfn.UNIQUE(_xlfn._xlws.FILTER(_xlpm.ids,_xlpm.hit*(_xlpm.ids&lt;&gt;"")*(_xlpm.ids&lt;&gt;"Not Created")))),"Not Created")))</f>
        <v/>
      </c>
      <c r="AJ90" s="361" t="str" cm="1">
        <f t="array" ref="AJ90">IF($B90="","",_xlfn.LET(_xlpm.ids,'15. BCM Risk Register'!$K$6:$K$65,_xlpm.links,'15. BCM Risk Register'!$I$6:$I$65,_xlpm.hit,ISNUMBER(SEARCH(","&amp;$B90&amp;",",","&amp;SUBSTITUTE(_xlpm.links," ","")&amp;",")),IFERROR(_xlfn.TEXTJOIN(", ",TRUE,_xlfn.UNIQUE(_xlfn._xlws.FILTER(_xlpm.ids,_xlpm.hit*(_xlpm.ids&lt;&gt;"")*(_xlpm.ids&lt;&gt;"Not Created")))),"Not Created")))</f>
        <v/>
      </c>
    </row>
    <row r="91" spans="1:36" ht="14.5" customHeight="1" x14ac:dyDescent="0.35">
      <c r="A91" s="355"/>
      <c r="B91" s="355"/>
      <c r="C91" s="348"/>
      <c r="D91" s="348"/>
      <c r="E91" s="355"/>
      <c r="F91" s="353"/>
      <c r="G91" s="76" t="s">
        <v>301</v>
      </c>
      <c r="H91" s="64"/>
      <c r="I91" s="139" t="s">
        <v>199</v>
      </c>
      <c r="J91" s="64"/>
      <c r="K91" s="64"/>
      <c r="L91" s="64"/>
      <c r="M91" s="64"/>
      <c r="N91" s="64"/>
      <c r="O91" s="64"/>
      <c r="P91" s="64"/>
      <c r="Q91" s="64"/>
      <c r="R91" s="64"/>
      <c r="S91" s="365"/>
      <c r="T91" s="136" t="str">
        <f t="shared" si="12"/>
        <v/>
      </c>
      <c r="U91" s="355"/>
      <c r="V91" s="358"/>
      <c r="W91" s="355"/>
      <c r="X91" s="355"/>
      <c r="Y91" s="369"/>
      <c r="Z91" s="369"/>
      <c r="AA91" s="355"/>
      <c r="AB91" s="355"/>
      <c r="AC91" s="353"/>
      <c r="AD91" s="355"/>
      <c r="AE91" s="369"/>
      <c r="AF91" s="369"/>
      <c r="AG91" s="355"/>
      <c r="AH91" s="362"/>
      <c r="AI91" s="362"/>
      <c r="AJ91" s="362"/>
    </row>
    <row r="92" spans="1:36" ht="14.5" customHeight="1" x14ac:dyDescent="0.35">
      <c r="A92" s="355"/>
      <c r="B92" s="355"/>
      <c r="C92" s="348"/>
      <c r="D92" s="348"/>
      <c r="E92" s="355"/>
      <c r="F92" s="353"/>
      <c r="G92" s="76" t="s">
        <v>302</v>
      </c>
      <c r="H92" s="64"/>
      <c r="I92" s="139" t="s">
        <v>200</v>
      </c>
      <c r="J92" s="64"/>
      <c r="K92" s="64"/>
      <c r="L92" s="64"/>
      <c r="M92" s="64"/>
      <c r="N92" s="64"/>
      <c r="O92" s="64"/>
      <c r="P92" s="64"/>
      <c r="Q92" s="64"/>
      <c r="R92" s="64"/>
      <c r="S92" s="365"/>
      <c r="T92" s="136" t="str">
        <f t="shared" si="12"/>
        <v/>
      </c>
      <c r="U92" s="355"/>
      <c r="V92" s="358"/>
      <c r="W92" s="355"/>
      <c r="X92" s="355"/>
      <c r="Y92" s="369"/>
      <c r="Z92" s="369"/>
      <c r="AA92" s="355"/>
      <c r="AB92" s="355"/>
      <c r="AC92" s="353"/>
      <c r="AD92" s="355"/>
      <c r="AE92" s="369"/>
      <c r="AF92" s="369"/>
      <c r="AG92" s="355"/>
      <c r="AH92" s="362"/>
      <c r="AI92" s="362"/>
      <c r="AJ92" s="362"/>
    </row>
    <row r="93" spans="1:36" ht="14.5" customHeight="1" x14ac:dyDescent="0.35">
      <c r="A93" s="355"/>
      <c r="B93" s="355"/>
      <c r="C93" s="348"/>
      <c r="D93" s="348"/>
      <c r="E93" s="355"/>
      <c r="F93" s="353"/>
      <c r="G93" s="76" t="s">
        <v>303</v>
      </c>
      <c r="H93" s="64"/>
      <c r="I93" s="139" t="s">
        <v>202</v>
      </c>
      <c r="J93" s="64"/>
      <c r="K93" s="64"/>
      <c r="L93" s="64"/>
      <c r="M93" s="64"/>
      <c r="N93" s="64"/>
      <c r="O93" s="64"/>
      <c r="P93" s="64"/>
      <c r="Q93" s="64"/>
      <c r="R93" s="64"/>
      <c r="S93" s="365"/>
      <c r="T93" s="136" t="str">
        <f t="shared" si="12"/>
        <v/>
      </c>
      <c r="U93" s="355"/>
      <c r="V93" s="358"/>
      <c r="W93" s="355"/>
      <c r="X93" s="355"/>
      <c r="Y93" s="369"/>
      <c r="Z93" s="369"/>
      <c r="AA93" s="355"/>
      <c r="AB93" s="355"/>
      <c r="AC93" s="353"/>
      <c r="AD93" s="355"/>
      <c r="AE93" s="369"/>
      <c r="AF93" s="369"/>
      <c r="AG93" s="355"/>
      <c r="AH93" s="362"/>
      <c r="AI93" s="362"/>
      <c r="AJ93" s="362"/>
    </row>
    <row r="94" spans="1:36" ht="14.5" customHeight="1" x14ac:dyDescent="0.35">
      <c r="A94" s="355"/>
      <c r="B94" s="355"/>
      <c r="C94" s="348"/>
      <c r="D94" s="348"/>
      <c r="E94" s="355"/>
      <c r="F94" s="353"/>
      <c r="G94" s="76" t="s">
        <v>304</v>
      </c>
      <c r="H94" s="64"/>
      <c r="I94" s="139" t="s">
        <v>203</v>
      </c>
      <c r="J94" s="64"/>
      <c r="K94" s="64"/>
      <c r="L94" s="64"/>
      <c r="M94" s="64"/>
      <c r="N94" s="64"/>
      <c r="O94" s="64"/>
      <c r="P94" s="64"/>
      <c r="Q94" s="64"/>
      <c r="R94" s="64"/>
      <c r="S94" s="365"/>
      <c r="T94" s="136" t="str">
        <f t="shared" si="12"/>
        <v/>
      </c>
      <c r="U94" s="355"/>
      <c r="V94" s="358"/>
      <c r="W94" s="355"/>
      <c r="X94" s="355"/>
      <c r="Y94" s="369"/>
      <c r="Z94" s="369"/>
      <c r="AA94" s="355"/>
      <c r="AB94" s="355"/>
      <c r="AC94" s="353"/>
      <c r="AD94" s="355"/>
      <c r="AE94" s="369"/>
      <c r="AF94" s="369"/>
      <c r="AG94" s="355"/>
      <c r="AH94" s="362"/>
      <c r="AI94" s="362"/>
      <c r="AJ94" s="362"/>
    </row>
    <row r="95" spans="1:36" ht="14.5" customHeight="1" x14ac:dyDescent="0.35">
      <c r="A95" s="355"/>
      <c r="B95" s="355"/>
      <c r="C95" s="348"/>
      <c r="D95" s="348"/>
      <c r="E95" s="355"/>
      <c r="F95" s="353"/>
      <c r="G95" s="76" t="s">
        <v>305</v>
      </c>
      <c r="H95" s="64"/>
      <c r="I95" s="139" t="s">
        <v>204</v>
      </c>
      <c r="J95" s="64"/>
      <c r="K95" s="64"/>
      <c r="L95" s="64"/>
      <c r="M95" s="64"/>
      <c r="N95" s="64"/>
      <c r="O95" s="64"/>
      <c r="P95" s="64"/>
      <c r="Q95" s="64"/>
      <c r="R95" s="64"/>
      <c r="S95" s="365"/>
      <c r="T95" s="136" t="str">
        <f t="shared" si="12"/>
        <v/>
      </c>
      <c r="U95" s="355"/>
      <c r="V95" s="358"/>
      <c r="W95" s="355"/>
      <c r="X95" s="355"/>
      <c r="Y95" s="369"/>
      <c r="Z95" s="369"/>
      <c r="AA95" s="355"/>
      <c r="AB95" s="355"/>
      <c r="AC95" s="353"/>
      <c r="AD95" s="355"/>
      <c r="AE95" s="369"/>
      <c r="AF95" s="369"/>
      <c r="AG95" s="355"/>
      <c r="AH95" s="362"/>
      <c r="AI95" s="362"/>
      <c r="AJ95" s="362"/>
    </row>
    <row r="96" spans="1:36" ht="14.5" customHeight="1" x14ac:dyDescent="0.35">
      <c r="A96" s="355"/>
      <c r="B96" s="355"/>
      <c r="C96" s="349"/>
      <c r="D96" s="349"/>
      <c r="E96" s="355"/>
      <c r="F96" s="353"/>
      <c r="G96" s="76" t="s">
        <v>306</v>
      </c>
      <c r="H96" s="64"/>
      <c r="I96" s="139" t="s">
        <v>205</v>
      </c>
      <c r="J96" s="64"/>
      <c r="K96" s="64"/>
      <c r="L96" s="64"/>
      <c r="M96" s="64"/>
      <c r="N96" s="64"/>
      <c r="O96" s="64"/>
      <c r="P96" s="64"/>
      <c r="Q96" s="64"/>
      <c r="R96" s="64"/>
      <c r="S96" s="366"/>
      <c r="T96" s="136" t="str">
        <f t="shared" si="12"/>
        <v/>
      </c>
      <c r="U96" s="355"/>
      <c r="V96" s="358"/>
      <c r="W96" s="355"/>
      <c r="X96" s="355"/>
      <c r="Y96" s="369"/>
      <c r="Z96" s="369"/>
      <c r="AA96" s="355"/>
      <c r="AB96" s="355"/>
      <c r="AC96" s="353"/>
      <c r="AD96" s="355"/>
      <c r="AE96" s="369"/>
      <c r="AF96" s="369"/>
      <c r="AG96" s="355"/>
      <c r="AH96" s="362"/>
      <c r="AI96" s="362"/>
      <c r="AJ96" s="362"/>
    </row>
    <row r="97" spans="1:36" ht="14.5" customHeight="1" x14ac:dyDescent="0.35">
      <c r="A97" s="359">
        <v>14</v>
      </c>
      <c r="B97" s="371" t="str">
        <f>IF($E97="","","BIA-"&amp;TEXT(14,"000"))</f>
        <v/>
      </c>
      <c r="C97" s="347" t="str">
        <f>IFERROR(INDEX(BusinessUnits1,MATCH(A97,'04. Products &amp; Services'!$N$6:$N$50,0)),"")</f>
        <v/>
      </c>
      <c r="D97" s="347" t="str">
        <f>IFERROR(INDEX(DivisionSites,MATCH(A97,'04. Products &amp; Services'!$N$6:$N$50,0)),"")</f>
        <v/>
      </c>
      <c r="E97" s="360" t="str">
        <f>IFERROR(INDEX(ScopeNames,MATCH(A97,'04. Products &amp; Services'!$N$6:$N$50,0)),"")</f>
        <v/>
      </c>
      <c r="F97" s="372" t="str">
        <f>_xlfn.XLOOKUP(E97,'04. Products &amp; Services'!$E$5:$E$50,'04. Products &amp; Services'!$B$5:$B$50,"")</f>
        <v/>
      </c>
      <c r="G97" s="76" t="s">
        <v>300</v>
      </c>
      <c r="H97" s="64"/>
      <c r="I97" s="139" t="s">
        <v>197</v>
      </c>
      <c r="J97" s="64"/>
      <c r="K97" s="64"/>
      <c r="L97" s="64"/>
      <c r="M97" s="64"/>
      <c r="N97" s="64"/>
      <c r="O97" s="64"/>
      <c r="P97" s="64"/>
      <c r="Q97" s="64"/>
      <c r="R97" s="64"/>
      <c r="S97" s="364" t="str">
        <f>IF(COUNT(J97:R103)=0,"",MAX(J97:R103))</f>
        <v/>
      </c>
      <c r="T97" s="136" t="str">
        <f t="shared" ref="T97:T103" si="13">IF($S$97="","",IF(COUNT(J97:R97)=0,"",IF(MAX(J97:R97)&gt;3,$I97,"")))</f>
        <v/>
      </c>
      <c r="U97" s="356" t="str" cm="1">
        <f t="array" ref="U97">IF($E97="","",_xlfn.LET(_xlpm.matches,_xlfn._xlws.FILTER('04. Products &amp; Services'!$J$6:$J$50,'04. Products &amp; Services'!$E$6:$E$50=$E97,""),_xlpm.n,COUNTIF($E$6:$E97,$E97),_xlpm.v,IFERROR(INDEX(_xlpm.matches,_xlpm.n),""),IF(OR(_xlpm.v="",_xlpm.v=0),"",_xlpm.v)))</f>
        <v/>
      </c>
      <c r="V97" s="357"/>
      <c r="W97" s="354" t="str">
        <f>IF($E97="","",IF(OR($U97="Yes",$V97="Yes"),"Yes",IF(AND($U97="No",$V97="No"),"No",IF(AND($U97="Under Evaluation",$V97="No"),"Under Evaluation",""))))</f>
        <v/>
      </c>
      <c r="X97" s="377" t="str">
        <f>IF($E97="","",IFERROR(_xlfn.LET(_xlpm.v,INDEX('04. Products &amp; Services'!$K$6:$K$50,MATCH($E97,ScopeNames,0)),IF(_xlpm.v="","",_xlpm.v)),""))</f>
        <v/>
      </c>
      <c r="Y97" s="376"/>
      <c r="Z97" s="376"/>
      <c r="AA97" s="354" t="str">
        <f>IF($E97="","",IF(COUNT(J97:R103)=0,"",IF(MAX(J97:J103)&gt;=4,6,IF(MAX(K97:K103)&gt;=4,18,IF(MAX(L97:L103)&gt;=4,36,IF(MAX(M97:M103)&gt;=4,72,IF(MAX(N97:N103)&gt;=4,168,IF(MAX(O97:O103)&gt;=4,336,IF(MAX(P97:P103)&gt;=4,504,IF(MAX(Q97:Q103)&gt;=4,672,IF(MAX(R97:R103)&gt;=4,"","")))))))))))</f>
        <v/>
      </c>
      <c r="AB97" s="354" t="str">
        <f>IF($F97="","",IFERROR(VLOOKUP($F97,'04. Products &amp; Services'!$B$5:$M$50,12,0),""))</f>
        <v/>
      </c>
      <c r="AC97" s="352"/>
      <c r="AD97" s="367" t="str" cm="1">
        <f t="array" ref="AD97">IF(ISBLANK(AC97),"",_xlfn.LET(
_xlpm.Num,--_xlfn.TEXTBEFORE(AC97," "),
_xlpm.Unit,LOWER(_xlfn.TEXTAFTER(AC97," ")),
_xlfn.SWITCH(_xlpm.Unit,
"hour",_xlpm.Num,
"hours",_xlpm.Num,
"day",_xlpm.Num*24,
"days",_xlpm.Num*24,
"week",_xlpm.Num*24*7,
"weeks",_xlpm.Num*24*7,
"month",_xlpm.Num*24*(365.25/12),
"months",_xlpm.Num*24*(365.25/12),
"")
))</f>
        <v/>
      </c>
      <c r="AE97" s="368"/>
      <c r="AF97" s="370"/>
      <c r="AG97" s="363" t="str">
        <f>IF($AF97="","",DATE(YEAR($AF97)+1,MONTH($AF97),DAY($AF97)))</f>
        <v/>
      </c>
      <c r="AH97" s="361" t="str" cm="1">
        <f t="array" ref="AH97">IF($B97="","",_xlfn.LET(_xlpm.ids,'15. BCM Risk Register'!$A$6:$A$65,_xlpm.links,'15. BCM Risk Register'!$I$6:$I$65,_xlpm.hit,ISNUMBER(SEARCH(","&amp;$B97&amp;",",","&amp;SUBSTITUTE(_xlpm.links," ","")&amp;",")),IFERROR(_xlfn.TEXTJOIN(", ",TRUE,_xlfn.UNIQUE(_xlfn._xlws.FILTER(_xlpm.ids,_xlpm.hit*(_xlpm.ids&lt;&gt;"")))),"Not Created")))</f>
        <v/>
      </c>
      <c r="AI97" s="361" t="str" cm="1">
        <f t="array" ref="AI97">IF($B97="","",_xlfn.LET(_xlpm.ids,'15. BCM Risk Register'!$L$6:$L$65,_xlpm.links,'15. BCM Risk Register'!$I$6:$I$65,_xlpm.hit,ISNUMBER(SEARCH(","&amp;$B97&amp;",",","&amp;SUBSTITUTE(_xlpm.links," ","")&amp;",")),IFERROR(_xlfn.TEXTJOIN(", ",TRUE,_xlfn.UNIQUE(_xlfn._xlws.FILTER(_xlpm.ids,_xlpm.hit*(_xlpm.ids&lt;&gt;"")*(_xlpm.ids&lt;&gt;"Not Created")))),"Not Created")))</f>
        <v/>
      </c>
      <c r="AJ97" s="361" t="str" cm="1">
        <f t="array" ref="AJ97">IF($B97="","",_xlfn.LET(_xlpm.ids,'15. BCM Risk Register'!$K$6:$K$65,_xlpm.links,'15. BCM Risk Register'!$I$6:$I$65,_xlpm.hit,ISNUMBER(SEARCH(","&amp;$B97&amp;",",","&amp;SUBSTITUTE(_xlpm.links," ","")&amp;",")),IFERROR(_xlfn.TEXTJOIN(", ",TRUE,_xlfn.UNIQUE(_xlfn._xlws.FILTER(_xlpm.ids,_xlpm.hit*(_xlpm.ids&lt;&gt;"")*(_xlpm.ids&lt;&gt;"Not Created")))),"Not Created")))</f>
        <v/>
      </c>
    </row>
    <row r="98" spans="1:36" ht="14.5" customHeight="1" x14ac:dyDescent="0.35">
      <c r="A98" s="355"/>
      <c r="B98" s="355"/>
      <c r="C98" s="348"/>
      <c r="D98" s="348"/>
      <c r="E98" s="355"/>
      <c r="F98" s="353"/>
      <c r="G98" s="76" t="s">
        <v>301</v>
      </c>
      <c r="H98" s="64"/>
      <c r="I98" s="139" t="s">
        <v>199</v>
      </c>
      <c r="J98" s="64"/>
      <c r="K98" s="64"/>
      <c r="L98" s="64"/>
      <c r="M98" s="64"/>
      <c r="N98" s="64"/>
      <c r="O98" s="64"/>
      <c r="P98" s="64"/>
      <c r="Q98" s="64"/>
      <c r="R98" s="64"/>
      <c r="S98" s="365"/>
      <c r="T98" s="136" t="str">
        <f t="shared" si="13"/>
        <v/>
      </c>
      <c r="U98" s="355"/>
      <c r="V98" s="358"/>
      <c r="W98" s="355"/>
      <c r="X98" s="355"/>
      <c r="Y98" s="369"/>
      <c r="Z98" s="369"/>
      <c r="AA98" s="355"/>
      <c r="AB98" s="355"/>
      <c r="AC98" s="353"/>
      <c r="AD98" s="355"/>
      <c r="AE98" s="369"/>
      <c r="AF98" s="369"/>
      <c r="AG98" s="355"/>
      <c r="AH98" s="362"/>
      <c r="AI98" s="362"/>
      <c r="AJ98" s="362"/>
    </row>
    <row r="99" spans="1:36" ht="14.5" customHeight="1" x14ac:dyDescent="0.35">
      <c r="A99" s="355"/>
      <c r="B99" s="355"/>
      <c r="C99" s="348"/>
      <c r="D99" s="348"/>
      <c r="E99" s="355"/>
      <c r="F99" s="353"/>
      <c r="G99" s="76" t="s">
        <v>302</v>
      </c>
      <c r="H99" s="64"/>
      <c r="I99" s="139" t="s">
        <v>200</v>
      </c>
      <c r="J99" s="64"/>
      <c r="K99" s="64"/>
      <c r="L99" s="64"/>
      <c r="M99" s="64"/>
      <c r="N99" s="64"/>
      <c r="O99" s="64"/>
      <c r="P99" s="64"/>
      <c r="Q99" s="64"/>
      <c r="R99" s="64"/>
      <c r="S99" s="365"/>
      <c r="T99" s="136" t="str">
        <f t="shared" si="13"/>
        <v/>
      </c>
      <c r="U99" s="355"/>
      <c r="V99" s="358"/>
      <c r="W99" s="355"/>
      <c r="X99" s="355"/>
      <c r="Y99" s="369"/>
      <c r="Z99" s="369"/>
      <c r="AA99" s="355"/>
      <c r="AB99" s="355"/>
      <c r="AC99" s="353"/>
      <c r="AD99" s="355"/>
      <c r="AE99" s="369"/>
      <c r="AF99" s="369"/>
      <c r="AG99" s="355"/>
      <c r="AH99" s="362"/>
      <c r="AI99" s="362"/>
      <c r="AJ99" s="362"/>
    </row>
    <row r="100" spans="1:36" ht="14.5" customHeight="1" x14ac:dyDescent="0.35">
      <c r="A100" s="355"/>
      <c r="B100" s="355"/>
      <c r="C100" s="348"/>
      <c r="D100" s="348"/>
      <c r="E100" s="355"/>
      <c r="F100" s="353"/>
      <c r="G100" s="76" t="s">
        <v>303</v>
      </c>
      <c r="H100" s="64"/>
      <c r="I100" s="139" t="s">
        <v>202</v>
      </c>
      <c r="J100" s="64"/>
      <c r="K100" s="64"/>
      <c r="L100" s="64"/>
      <c r="M100" s="64"/>
      <c r="N100" s="64"/>
      <c r="O100" s="64"/>
      <c r="P100" s="64"/>
      <c r="Q100" s="64"/>
      <c r="R100" s="64"/>
      <c r="S100" s="365"/>
      <c r="T100" s="136" t="str">
        <f t="shared" si="13"/>
        <v/>
      </c>
      <c r="U100" s="355"/>
      <c r="V100" s="358"/>
      <c r="W100" s="355"/>
      <c r="X100" s="355"/>
      <c r="Y100" s="369"/>
      <c r="Z100" s="369"/>
      <c r="AA100" s="355"/>
      <c r="AB100" s="355"/>
      <c r="AC100" s="353"/>
      <c r="AD100" s="355"/>
      <c r="AE100" s="369"/>
      <c r="AF100" s="369"/>
      <c r="AG100" s="355"/>
      <c r="AH100" s="362"/>
      <c r="AI100" s="362"/>
      <c r="AJ100" s="362"/>
    </row>
    <row r="101" spans="1:36" ht="14.5" customHeight="1" x14ac:dyDescent="0.35">
      <c r="A101" s="355"/>
      <c r="B101" s="355"/>
      <c r="C101" s="348"/>
      <c r="D101" s="348"/>
      <c r="E101" s="355"/>
      <c r="F101" s="353"/>
      <c r="G101" s="76" t="s">
        <v>304</v>
      </c>
      <c r="H101" s="64"/>
      <c r="I101" s="139" t="s">
        <v>203</v>
      </c>
      <c r="J101" s="64"/>
      <c r="K101" s="64"/>
      <c r="L101" s="64"/>
      <c r="M101" s="64"/>
      <c r="N101" s="64"/>
      <c r="O101" s="64"/>
      <c r="P101" s="64"/>
      <c r="Q101" s="64"/>
      <c r="R101" s="64"/>
      <c r="S101" s="365"/>
      <c r="T101" s="136" t="str">
        <f t="shared" si="13"/>
        <v/>
      </c>
      <c r="U101" s="355"/>
      <c r="V101" s="358"/>
      <c r="W101" s="355"/>
      <c r="X101" s="355"/>
      <c r="Y101" s="369"/>
      <c r="Z101" s="369"/>
      <c r="AA101" s="355"/>
      <c r="AB101" s="355"/>
      <c r="AC101" s="353"/>
      <c r="AD101" s="355"/>
      <c r="AE101" s="369"/>
      <c r="AF101" s="369"/>
      <c r="AG101" s="355"/>
      <c r="AH101" s="362"/>
      <c r="AI101" s="362"/>
      <c r="AJ101" s="362"/>
    </row>
    <row r="102" spans="1:36" ht="14.5" customHeight="1" x14ac:dyDescent="0.35">
      <c r="A102" s="355"/>
      <c r="B102" s="355"/>
      <c r="C102" s="348"/>
      <c r="D102" s="348"/>
      <c r="E102" s="355"/>
      <c r="F102" s="353"/>
      <c r="G102" s="76" t="s">
        <v>305</v>
      </c>
      <c r="H102" s="64"/>
      <c r="I102" s="139" t="s">
        <v>204</v>
      </c>
      <c r="J102" s="64"/>
      <c r="K102" s="64"/>
      <c r="L102" s="64"/>
      <c r="M102" s="64"/>
      <c r="N102" s="64"/>
      <c r="O102" s="64"/>
      <c r="P102" s="64"/>
      <c r="Q102" s="64"/>
      <c r="R102" s="64"/>
      <c r="S102" s="365"/>
      <c r="T102" s="136" t="str">
        <f t="shared" si="13"/>
        <v/>
      </c>
      <c r="U102" s="355"/>
      <c r="V102" s="358"/>
      <c r="W102" s="355"/>
      <c r="X102" s="355"/>
      <c r="Y102" s="369"/>
      <c r="Z102" s="369"/>
      <c r="AA102" s="355"/>
      <c r="AB102" s="355"/>
      <c r="AC102" s="353"/>
      <c r="AD102" s="355"/>
      <c r="AE102" s="369"/>
      <c r="AF102" s="369"/>
      <c r="AG102" s="355"/>
      <c r="AH102" s="362"/>
      <c r="AI102" s="362"/>
      <c r="AJ102" s="362"/>
    </row>
    <row r="103" spans="1:36" ht="14.5" customHeight="1" x14ac:dyDescent="0.35">
      <c r="A103" s="355"/>
      <c r="B103" s="355"/>
      <c r="C103" s="349"/>
      <c r="D103" s="349"/>
      <c r="E103" s="355"/>
      <c r="F103" s="353"/>
      <c r="G103" s="76" t="s">
        <v>306</v>
      </c>
      <c r="H103" s="64"/>
      <c r="I103" s="139" t="s">
        <v>205</v>
      </c>
      <c r="J103" s="64"/>
      <c r="K103" s="64"/>
      <c r="L103" s="64"/>
      <c r="M103" s="64"/>
      <c r="N103" s="64"/>
      <c r="O103" s="64"/>
      <c r="P103" s="64"/>
      <c r="Q103" s="64"/>
      <c r="R103" s="64"/>
      <c r="S103" s="366"/>
      <c r="T103" s="136" t="str">
        <f t="shared" si="13"/>
        <v/>
      </c>
      <c r="U103" s="355"/>
      <c r="V103" s="358"/>
      <c r="W103" s="355"/>
      <c r="X103" s="355"/>
      <c r="Y103" s="369"/>
      <c r="Z103" s="369"/>
      <c r="AA103" s="355"/>
      <c r="AB103" s="355"/>
      <c r="AC103" s="353"/>
      <c r="AD103" s="355"/>
      <c r="AE103" s="369"/>
      <c r="AF103" s="369"/>
      <c r="AG103" s="355"/>
      <c r="AH103" s="362"/>
      <c r="AI103" s="362"/>
      <c r="AJ103" s="362"/>
    </row>
    <row r="104" spans="1:36" ht="14.5" customHeight="1" x14ac:dyDescent="0.35">
      <c r="A104" s="359">
        <v>15</v>
      </c>
      <c r="B104" s="371" t="str">
        <f>IF($E104="","","BIA-"&amp;TEXT(15,"000"))</f>
        <v/>
      </c>
      <c r="C104" s="347" t="str">
        <f>IFERROR(INDEX(BusinessUnits1,MATCH(A104,'04. Products &amp; Services'!$N$6:$N$50,0)),"")</f>
        <v/>
      </c>
      <c r="D104" s="347" t="str">
        <f>IFERROR(INDEX(DivisionSites,MATCH(A104,'04. Products &amp; Services'!$N$6:$N$50,0)),"")</f>
        <v/>
      </c>
      <c r="E104" s="360" t="str">
        <f>IFERROR(INDEX(ScopeNames,MATCH(A104,'04. Products &amp; Services'!$N$6:$N$50,0)),"")</f>
        <v/>
      </c>
      <c r="F104" s="372" t="str">
        <f>_xlfn.XLOOKUP(E104,'04. Products &amp; Services'!$E$5:$E$50,'04. Products &amp; Services'!$B$5:$B$50,"")</f>
        <v/>
      </c>
      <c r="G104" s="76" t="s">
        <v>300</v>
      </c>
      <c r="H104" s="64"/>
      <c r="I104" s="139" t="s">
        <v>197</v>
      </c>
      <c r="J104" s="64"/>
      <c r="K104" s="64"/>
      <c r="L104" s="64"/>
      <c r="M104" s="64"/>
      <c r="N104" s="64"/>
      <c r="O104" s="64"/>
      <c r="P104" s="64"/>
      <c r="Q104" s="64"/>
      <c r="R104" s="64"/>
      <c r="S104" s="364" t="str">
        <f>IF(COUNT(J104:R110)=0,"",MAX(J104:R110))</f>
        <v/>
      </c>
      <c r="T104" s="136" t="str">
        <f t="shared" ref="T104:T110" si="14">IF($S$104="","",IF(COUNT(J104:R104)=0,"",IF(MAX(J104:R104)&gt;3,$I104,"")))</f>
        <v/>
      </c>
      <c r="U104" s="356" t="str" cm="1">
        <f t="array" ref="U104">IF($E104="","",_xlfn.LET(_xlpm.matches,_xlfn._xlws.FILTER('04. Products &amp; Services'!$J$6:$J$50,'04. Products &amp; Services'!$E$6:$E$50=$E104,""),_xlpm.n,COUNTIF($E$6:$E104,$E104),_xlpm.v,IFERROR(INDEX(_xlpm.matches,_xlpm.n),""),IF(OR(_xlpm.v="",_xlpm.v=0),"",_xlpm.v)))</f>
        <v/>
      </c>
      <c r="V104" s="357"/>
      <c r="W104" s="354" t="str">
        <f>IF($E104="","",IF(OR($U104="Yes",$V104="Yes"),"Yes",IF(AND($U104="No",$V104="No"),"No",IF(AND($U104="Under Evaluation",$V104="No"),"Under Evaluation",""))))</f>
        <v/>
      </c>
      <c r="X104" s="377" t="str">
        <f>IF($E104="","",IFERROR(_xlfn.LET(_xlpm.v,INDEX('04. Products &amp; Services'!$K$6:$K$50,MATCH($E104,ScopeNames,0)),IF(_xlpm.v="","",_xlpm.v)),""))</f>
        <v/>
      </c>
      <c r="Y104" s="376"/>
      <c r="Z104" s="376"/>
      <c r="AA104" s="354" t="str">
        <f>IF($E104="","",IF(COUNT(J104:R110)=0,"",IF(MAX(J104:J110)&gt;=4,6,IF(MAX(K104:K110)&gt;=4,18,IF(MAX(L104:L110)&gt;=4,36,IF(MAX(M104:M110)&gt;=4,72,IF(MAX(N104:N110)&gt;=4,168,IF(MAX(O104:O110)&gt;=4,336,IF(MAX(P104:P110)&gt;=4,504,IF(MAX(Q104:Q110)&gt;=4,672,IF(MAX(R104:R110)&gt;=4,"","")))))))))))</f>
        <v/>
      </c>
      <c r="AB104" s="354" t="str">
        <f>IF($F104="","",IFERROR(VLOOKUP($F104,'04. Products &amp; Services'!$B$5:$M$50,12,0),""))</f>
        <v/>
      </c>
      <c r="AC104" s="352"/>
      <c r="AD104" s="367" t="str" cm="1">
        <f t="array" ref="AD104">IF(ISBLANK(AC104),"",_xlfn.LET(
_xlpm.Num,--_xlfn.TEXTBEFORE(AC104," "),
_xlpm.Unit,LOWER(_xlfn.TEXTAFTER(AC104," ")),
_xlfn.SWITCH(_xlpm.Unit,
"hour",_xlpm.Num,
"hours",_xlpm.Num,
"day",_xlpm.Num*24,
"days",_xlpm.Num*24,
"week",_xlpm.Num*24*7,
"weeks",_xlpm.Num*24*7,
"month",_xlpm.Num*24*(365.25/12),
"months",_xlpm.Num*24*(365.25/12),
"")
))</f>
        <v/>
      </c>
      <c r="AE104" s="368"/>
      <c r="AF104" s="370"/>
      <c r="AG104" s="363" t="str">
        <f>IF($AF104="","",DATE(YEAR($AF104)+1,MONTH($AF104),DAY($AF104)))</f>
        <v/>
      </c>
      <c r="AH104" s="361" t="str" cm="1">
        <f t="array" ref="AH104">IF($B104="","",_xlfn.LET(_xlpm.ids,'15. BCM Risk Register'!$A$6:$A$65,_xlpm.links,'15. BCM Risk Register'!$I$6:$I$65,_xlpm.hit,ISNUMBER(SEARCH(","&amp;$B104&amp;",",","&amp;SUBSTITUTE(_xlpm.links," ","")&amp;",")),IFERROR(_xlfn.TEXTJOIN(", ",TRUE,_xlfn.UNIQUE(_xlfn._xlws.FILTER(_xlpm.ids,_xlpm.hit*(_xlpm.ids&lt;&gt;"")))),"Not Created")))</f>
        <v/>
      </c>
      <c r="AI104" s="361" t="str" cm="1">
        <f t="array" ref="AI104">IF($B104="","",_xlfn.LET(_xlpm.ids,'15. BCM Risk Register'!$L$6:$L$65,_xlpm.links,'15. BCM Risk Register'!$I$6:$I$65,_xlpm.hit,ISNUMBER(SEARCH(","&amp;$B104&amp;",",","&amp;SUBSTITUTE(_xlpm.links," ","")&amp;",")),IFERROR(_xlfn.TEXTJOIN(", ",TRUE,_xlfn.UNIQUE(_xlfn._xlws.FILTER(_xlpm.ids,_xlpm.hit*(_xlpm.ids&lt;&gt;"")*(_xlpm.ids&lt;&gt;"Not Created")))),"Not Created")))</f>
        <v/>
      </c>
      <c r="AJ104" s="361" t="str" cm="1">
        <f t="array" ref="AJ104">IF($B104="","",_xlfn.LET(_xlpm.ids,'15. BCM Risk Register'!$K$6:$K$65,_xlpm.links,'15. BCM Risk Register'!$I$6:$I$65,_xlpm.hit,ISNUMBER(SEARCH(","&amp;$B104&amp;",",","&amp;SUBSTITUTE(_xlpm.links," ","")&amp;",")),IFERROR(_xlfn.TEXTJOIN(", ",TRUE,_xlfn.UNIQUE(_xlfn._xlws.FILTER(_xlpm.ids,_xlpm.hit*(_xlpm.ids&lt;&gt;"")*(_xlpm.ids&lt;&gt;"Not Created")))),"Not Created")))</f>
        <v/>
      </c>
    </row>
    <row r="105" spans="1:36" ht="14.5" customHeight="1" x14ac:dyDescent="0.35">
      <c r="A105" s="355"/>
      <c r="B105" s="355"/>
      <c r="C105" s="348"/>
      <c r="D105" s="348"/>
      <c r="E105" s="355"/>
      <c r="F105" s="353"/>
      <c r="G105" s="76" t="s">
        <v>301</v>
      </c>
      <c r="H105" s="64"/>
      <c r="I105" s="139" t="s">
        <v>199</v>
      </c>
      <c r="J105" s="64"/>
      <c r="K105" s="64"/>
      <c r="L105" s="64"/>
      <c r="M105" s="64"/>
      <c r="N105" s="64"/>
      <c r="O105" s="64"/>
      <c r="P105" s="64"/>
      <c r="Q105" s="64"/>
      <c r="R105" s="64"/>
      <c r="S105" s="365"/>
      <c r="T105" s="136" t="str">
        <f t="shared" si="14"/>
        <v/>
      </c>
      <c r="U105" s="355"/>
      <c r="V105" s="358"/>
      <c r="W105" s="355"/>
      <c r="X105" s="355"/>
      <c r="Y105" s="369"/>
      <c r="Z105" s="369"/>
      <c r="AA105" s="355"/>
      <c r="AB105" s="355"/>
      <c r="AC105" s="353"/>
      <c r="AD105" s="355"/>
      <c r="AE105" s="369"/>
      <c r="AF105" s="369"/>
      <c r="AG105" s="355"/>
      <c r="AH105" s="362"/>
      <c r="AI105" s="362"/>
      <c r="AJ105" s="362"/>
    </row>
    <row r="106" spans="1:36" ht="14.5" customHeight="1" x14ac:dyDescent="0.35">
      <c r="A106" s="355"/>
      <c r="B106" s="355"/>
      <c r="C106" s="348"/>
      <c r="D106" s="348"/>
      <c r="E106" s="355"/>
      <c r="F106" s="353"/>
      <c r="G106" s="76" t="s">
        <v>302</v>
      </c>
      <c r="H106" s="64"/>
      <c r="I106" s="139" t="s">
        <v>200</v>
      </c>
      <c r="J106" s="64"/>
      <c r="K106" s="64"/>
      <c r="L106" s="64"/>
      <c r="M106" s="64"/>
      <c r="N106" s="64"/>
      <c r="O106" s="64"/>
      <c r="P106" s="64"/>
      <c r="Q106" s="64"/>
      <c r="R106" s="64"/>
      <c r="S106" s="365"/>
      <c r="T106" s="136" t="str">
        <f t="shared" si="14"/>
        <v/>
      </c>
      <c r="U106" s="355"/>
      <c r="V106" s="358"/>
      <c r="W106" s="355"/>
      <c r="X106" s="355"/>
      <c r="Y106" s="369"/>
      <c r="Z106" s="369"/>
      <c r="AA106" s="355"/>
      <c r="AB106" s="355"/>
      <c r="AC106" s="353"/>
      <c r="AD106" s="355"/>
      <c r="AE106" s="369"/>
      <c r="AF106" s="369"/>
      <c r="AG106" s="355"/>
      <c r="AH106" s="362"/>
      <c r="AI106" s="362"/>
      <c r="AJ106" s="362"/>
    </row>
    <row r="107" spans="1:36" ht="14.5" customHeight="1" x14ac:dyDescent="0.35">
      <c r="A107" s="355"/>
      <c r="B107" s="355"/>
      <c r="C107" s="348"/>
      <c r="D107" s="348"/>
      <c r="E107" s="355"/>
      <c r="F107" s="353"/>
      <c r="G107" s="76" t="s">
        <v>303</v>
      </c>
      <c r="H107" s="64"/>
      <c r="I107" s="139" t="s">
        <v>202</v>
      </c>
      <c r="J107" s="64"/>
      <c r="K107" s="64"/>
      <c r="L107" s="64"/>
      <c r="M107" s="64"/>
      <c r="N107" s="64"/>
      <c r="O107" s="64"/>
      <c r="P107" s="64"/>
      <c r="Q107" s="64"/>
      <c r="R107" s="64"/>
      <c r="S107" s="365"/>
      <c r="T107" s="136" t="str">
        <f t="shared" si="14"/>
        <v/>
      </c>
      <c r="U107" s="355"/>
      <c r="V107" s="358"/>
      <c r="W107" s="355"/>
      <c r="X107" s="355"/>
      <c r="Y107" s="369"/>
      <c r="Z107" s="369"/>
      <c r="AA107" s="355"/>
      <c r="AB107" s="355"/>
      <c r="AC107" s="353"/>
      <c r="AD107" s="355"/>
      <c r="AE107" s="369"/>
      <c r="AF107" s="369"/>
      <c r="AG107" s="355"/>
      <c r="AH107" s="362"/>
      <c r="AI107" s="362"/>
      <c r="AJ107" s="362"/>
    </row>
    <row r="108" spans="1:36" ht="14.5" customHeight="1" x14ac:dyDescent="0.35">
      <c r="A108" s="355"/>
      <c r="B108" s="355"/>
      <c r="C108" s="348"/>
      <c r="D108" s="348"/>
      <c r="E108" s="355"/>
      <c r="F108" s="353"/>
      <c r="G108" s="76" t="s">
        <v>304</v>
      </c>
      <c r="H108" s="64"/>
      <c r="I108" s="139" t="s">
        <v>203</v>
      </c>
      <c r="J108" s="64"/>
      <c r="K108" s="64"/>
      <c r="L108" s="64"/>
      <c r="M108" s="64"/>
      <c r="N108" s="64"/>
      <c r="O108" s="64"/>
      <c r="P108" s="64"/>
      <c r="Q108" s="64"/>
      <c r="R108" s="64"/>
      <c r="S108" s="365"/>
      <c r="T108" s="136" t="str">
        <f t="shared" si="14"/>
        <v/>
      </c>
      <c r="U108" s="355"/>
      <c r="V108" s="358"/>
      <c r="W108" s="355"/>
      <c r="X108" s="355"/>
      <c r="Y108" s="369"/>
      <c r="Z108" s="369"/>
      <c r="AA108" s="355"/>
      <c r="AB108" s="355"/>
      <c r="AC108" s="353"/>
      <c r="AD108" s="355"/>
      <c r="AE108" s="369"/>
      <c r="AF108" s="369"/>
      <c r="AG108" s="355"/>
      <c r="AH108" s="362"/>
      <c r="AI108" s="362"/>
      <c r="AJ108" s="362"/>
    </row>
    <row r="109" spans="1:36" ht="14.5" customHeight="1" x14ac:dyDescent="0.35">
      <c r="A109" s="355"/>
      <c r="B109" s="355"/>
      <c r="C109" s="348"/>
      <c r="D109" s="348"/>
      <c r="E109" s="355"/>
      <c r="F109" s="353"/>
      <c r="G109" s="76" t="s">
        <v>305</v>
      </c>
      <c r="H109" s="64"/>
      <c r="I109" s="139" t="s">
        <v>204</v>
      </c>
      <c r="J109" s="64"/>
      <c r="K109" s="64"/>
      <c r="L109" s="64"/>
      <c r="M109" s="64"/>
      <c r="N109" s="64"/>
      <c r="O109" s="64"/>
      <c r="P109" s="64"/>
      <c r="Q109" s="64"/>
      <c r="R109" s="64"/>
      <c r="S109" s="365"/>
      <c r="T109" s="136" t="str">
        <f t="shared" si="14"/>
        <v/>
      </c>
      <c r="U109" s="355"/>
      <c r="V109" s="358"/>
      <c r="W109" s="355"/>
      <c r="X109" s="355"/>
      <c r="Y109" s="369"/>
      <c r="Z109" s="369"/>
      <c r="AA109" s="355"/>
      <c r="AB109" s="355"/>
      <c r="AC109" s="353"/>
      <c r="AD109" s="355"/>
      <c r="AE109" s="369"/>
      <c r="AF109" s="369"/>
      <c r="AG109" s="355"/>
      <c r="AH109" s="362"/>
      <c r="AI109" s="362"/>
      <c r="AJ109" s="362"/>
    </row>
    <row r="110" spans="1:36" ht="14.5" customHeight="1" x14ac:dyDescent="0.35">
      <c r="A110" s="355"/>
      <c r="B110" s="355"/>
      <c r="C110" s="349"/>
      <c r="D110" s="349"/>
      <c r="E110" s="355"/>
      <c r="F110" s="353"/>
      <c r="G110" s="76" t="s">
        <v>306</v>
      </c>
      <c r="H110" s="64"/>
      <c r="I110" s="139" t="s">
        <v>205</v>
      </c>
      <c r="J110" s="64"/>
      <c r="K110" s="64"/>
      <c r="L110" s="64"/>
      <c r="M110" s="64"/>
      <c r="N110" s="64"/>
      <c r="O110" s="64"/>
      <c r="P110" s="64"/>
      <c r="Q110" s="64"/>
      <c r="R110" s="64"/>
      <c r="S110" s="366"/>
      <c r="T110" s="136" t="str">
        <f t="shared" si="14"/>
        <v/>
      </c>
      <c r="U110" s="355"/>
      <c r="V110" s="358"/>
      <c r="W110" s="355"/>
      <c r="X110" s="355"/>
      <c r="Y110" s="369"/>
      <c r="Z110" s="369"/>
      <c r="AA110" s="355"/>
      <c r="AB110" s="355"/>
      <c r="AC110" s="353"/>
      <c r="AD110" s="355"/>
      <c r="AE110" s="369"/>
      <c r="AF110" s="369"/>
      <c r="AG110" s="355"/>
      <c r="AH110" s="362"/>
      <c r="AI110" s="362"/>
      <c r="AJ110" s="362"/>
    </row>
    <row r="111" spans="1:36" ht="14.5" customHeight="1" x14ac:dyDescent="0.35">
      <c r="A111" s="359">
        <v>16</v>
      </c>
      <c r="B111" s="371" t="str">
        <f>IF($E111="","","BIA-"&amp;TEXT(16,"000"))</f>
        <v/>
      </c>
      <c r="C111" s="347" t="str">
        <f>IFERROR(INDEX(BusinessUnits1,MATCH(A111,'04. Products &amp; Services'!$N$6:$N$50,0)),"")</f>
        <v/>
      </c>
      <c r="D111" s="347" t="str">
        <f>IFERROR(INDEX(DivisionSites,MATCH(A111,'04. Products &amp; Services'!$N$6:$N$50,0)),"")</f>
        <v/>
      </c>
      <c r="E111" s="360" t="str">
        <f>IFERROR(INDEX(ScopeNames,MATCH(A111,'04. Products &amp; Services'!$N$6:$N$50,0)),"")</f>
        <v/>
      </c>
      <c r="F111" s="372" t="str">
        <f>_xlfn.XLOOKUP(E111,'04. Products &amp; Services'!$E$5:$E$50,'04. Products &amp; Services'!$B$5:$B$50,"")</f>
        <v/>
      </c>
      <c r="G111" s="76" t="s">
        <v>300</v>
      </c>
      <c r="H111" s="64"/>
      <c r="I111" s="139" t="s">
        <v>197</v>
      </c>
      <c r="J111" s="64"/>
      <c r="K111" s="64"/>
      <c r="L111" s="64"/>
      <c r="M111" s="64"/>
      <c r="N111" s="64"/>
      <c r="O111" s="64"/>
      <c r="P111" s="64"/>
      <c r="Q111" s="64"/>
      <c r="R111" s="64"/>
      <c r="S111" s="364" t="str">
        <f>IF(COUNT(J111:R117)=0,"",MAX(J111:R117))</f>
        <v/>
      </c>
      <c r="T111" s="136" t="str">
        <f t="shared" ref="T111:T117" si="15">IF($S$111="","",IF(COUNT(J111:R111)=0,"",IF(MAX(J111:R111)&gt;3,$I111,"")))</f>
        <v/>
      </c>
      <c r="U111" s="356" t="str" cm="1">
        <f t="array" ref="U111">IF($E111="","",_xlfn.LET(_xlpm.matches,_xlfn._xlws.FILTER('04. Products &amp; Services'!$J$6:$J$50,'04. Products &amp; Services'!$E$6:$E$50=$E111,""),_xlpm.n,COUNTIF($E$6:$E111,$E111),_xlpm.v,IFERROR(INDEX(_xlpm.matches,_xlpm.n),""),IF(OR(_xlpm.v="",_xlpm.v=0),"",_xlpm.v)))</f>
        <v/>
      </c>
      <c r="V111" s="357"/>
      <c r="W111" s="354" t="str">
        <f>IF($E111="","",IF(OR($U111="Yes",$V111="Yes"),"Yes",IF(AND($U111="No",$V111="No"),"No",IF(AND($U111="Under Evaluation",$V111="No"),"Under Evaluation",""))))</f>
        <v/>
      </c>
      <c r="X111" s="377" t="str">
        <f>IF($E111="","",IFERROR(_xlfn.LET(_xlpm.v,INDEX('04. Products &amp; Services'!$K$6:$K$50,MATCH($E111,ScopeNames,0)),IF(_xlpm.v="","",_xlpm.v)),""))</f>
        <v/>
      </c>
      <c r="Y111" s="376"/>
      <c r="Z111" s="376"/>
      <c r="AA111" s="354" t="str">
        <f>IF($E111="","",IF(COUNT(J111:R117)=0,"",IF(MAX(J111:J117)&gt;=4,6,IF(MAX(K111:K117)&gt;=4,18,IF(MAX(L111:L117)&gt;=4,36,IF(MAX(M111:M117)&gt;=4,72,IF(MAX(N111:N117)&gt;=4,168,IF(MAX(O111:O117)&gt;=4,336,IF(MAX(P111:P117)&gt;=4,504,IF(MAX(Q111:Q117)&gt;=4,672,IF(MAX(R111:R117)&gt;=4,"","")))))))))))</f>
        <v/>
      </c>
      <c r="AB111" s="354" t="str">
        <f>IF($F111="","",IFERROR(VLOOKUP($F111,'04. Products &amp; Services'!$B$5:$M$50,12,0),""))</f>
        <v/>
      </c>
      <c r="AC111" s="352"/>
      <c r="AD111" s="367" t="str" cm="1">
        <f t="array" ref="AD111">IF(ISBLANK(AC111),"",_xlfn.LET(
_xlpm.Num,--_xlfn.TEXTBEFORE(AC111," "),
_xlpm.Unit,LOWER(_xlfn.TEXTAFTER(AC111," ")),
_xlfn.SWITCH(_xlpm.Unit,
"hour",_xlpm.Num,
"hours",_xlpm.Num,
"day",_xlpm.Num*24,
"days",_xlpm.Num*24,
"week",_xlpm.Num*24*7,
"weeks",_xlpm.Num*24*7,
"month",_xlpm.Num*24*(365.25/12),
"months",_xlpm.Num*24*(365.25/12),
"")
))</f>
        <v/>
      </c>
      <c r="AE111" s="368"/>
      <c r="AF111" s="370"/>
      <c r="AG111" s="363" t="str">
        <f>IF($AF111="","",DATE(YEAR($AF111)+1,MONTH($AF111),DAY($AF111)))</f>
        <v/>
      </c>
      <c r="AH111" s="361" t="str" cm="1">
        <f t="array" ref="AH111">IF($B111="","",_xlfn.LET(_xlpm.ids,'15. BCM Risk Register'!$A$6:$A$65,_xlpm.links,'15. BCM Risk Register'!$I$6:$I$65,_xlpm.hit,ISNUMBER(SEARCH(","&amp;$B111&amp;",",","&amp;SUBSTITUTE(_xlpm.links," ","")&amp;",")),IFERROR(_xlfn.TEXTJOIN(", ",TRUE,_xlfn.UNIQUE(_xlfn._xlws.FILTER(_xlpm.ids,_xlpm.hit*(_xlpm.ids&lt;&gt;"")))),"Not Created")))</f>
        <v/>
      </c>
      <c r="AI111" s="361" t="str" cm="1">
        <f t="array" ref="AI111">IF($B111="","",_xlfn.LET(_xlpm.ids,'15. BCM Risk Register'!$L$6:$L$65,_xlpm.links,'15. BCM Risk Register'!$I$6:$I$65,_xlpm.hit,ISNUMBER(SEARCH(","&amp;$B111&amp;",",","&amp;SUBSTITUTE(_xlpm.links," ","")&amp;",")),IFERROR(_xlfn.TEXTJOIN(", ",TRUE,_xlfn.UNIQUE(_xlfn._xlws.FILTER(_xlpm.ids,_xlpm.hit*(_xlpm.ids&lt;&gt;"")*(_xlpm.ids&lt;&gt;"Not Created")))),"Not Created")))</f>
        <v/>
      </c>
      <c r="AJ111" s="361" t="str" cm="1">
        <f t="array" ref="AJ111">IF($B111="","",_xlfn.LET(_xlpm.ids,'15. BCM Risk Register'!$K$6:$K$65,_xlpm.links,'15. BCM Risk Register'!$I$6:$I$65,_xlpm.hit,ISNUMBER(SEARCH(","&amp;$B111&amp;",",","&amp;SUBSTITUTE(_xlpm.links," ","")&amp;",")),IFERROR(_xlfn.TEXTJOIN(", ",TRUE,_xlfn.UNIQUE(_xlfn._xlws.FILTER(_xlpm.ids,_xlpm.hit*(_xlpm.ids&lt;&gt;"")*(_xlpm.ids&lt;&gt;"Not Created")))),"Not Created")))</f>
        <v/>
      </c>
    </row>
    <row r="112" spans="1:36" ht="14.5" customHeight="1" x14ac:dyDescent="0.35">
      <c r="A112" s="355"/>
      <c r="B112" s="355"/>
      <c r="C112" s="348"/>
      <c r="D112" s="348"/>
      <c r="E112" s="355"/>
      <c r="F112" s="353"/>
      <c r="G112" s="76" t="s">
        <v>301</v>
      </c>
      <c r="H112" s="64"/>
      <c r="I112" s="139" t="s">
        <v>199</v>
      </c>
      <c r="J112" s="64"/>
      <c r="K112" s="64"/>
      <c r="L112" s="64"/>
      <c r="M112" s="64"/>
      <c r="N112" s="64"/>
      <c r="O112" s="64"/>
      <c r="P112" s="64"/>
      <c r="Q112" s="64"/>
      <c r="R112" s="64"/>
      <c r="S112" s="365"/>
      <c r="T112" s="136" t="str">
        <f t="shared" si="15"/>
        <v/>
      </c>
      <c r="U112" s="355"/>
      <c r="V112" s="358"/>
      <c r="W112" s="355"/>
      <c r="X112" s="355"/>
      <c r="Y112" s="369"/>
      <c r="Z112" s="369"/>
      <c r="AA112" s="355"/>
      <c r="AB112" s="355"/>
      <c r="AC112" s="353"/>
      <c r="AD112" s="355"/>
      <c r="AE112" s="369"/>
      <c r="AF112" s="369"/>
      <c r="AG112" s="355"/>
      <c r="AH112" s="362"/>
      <c r="AI112" s="362"/>
      <c r="AJ112" s="362"/>
    </row>
    <row r="113" spans="1:36" ht="14.5" customHeight="1" x14ac:dyDescent="0.35">
      <c r="A113" s="355"/>
      <c r="B113" s="355"/>
      <c r="C113" s="348"/>
      <c r="D113" s="348"/>
      <c r="E113" s="355"/>
      <c r="F113" s="353"/>
      <c r="G113" s="76" t="s">
        <v>302</v>
      </c>
      <c r="H113" s="64"/>
      <c r="I113" s="139" t="s">
        <v>200</v>
      </c>
      <c r="J113" s="64"/>
      <c r="K113" s="64"/>
      <c r="L113" s="64"/>
      <c r="M113" s="64"/>
      <c r="N113" s="64"/>
      <c r="O113" s="64"/>
      <c r="P113" s="64"/>
      <c r="Q113" s="64"/>
      <c r="R113" s="64"/>
      <c r="S113" s="365"/>
      <c r="T113" s="136" t="str">
        <f t="shared" si="15"/>
        <v/>
      </c>
      <c r="U113" s="355"/>
      <c r="V113" s="358"/>
      <c r="W113" s="355"/>
      <c r="X113" s="355"/>
      <c r="Y113" s="369"/>
      <c r="Z113" s="369"/>
      <c r="AA113" s="355"/>
      <c r="AB113" s="355"/>
      <c r="AC113" s="353"/>
      <c r="AD113" s="355"/>
      <c r="AE113" s="369"/>
      <c r="AF113" s="369"/>
      <c r="AG113" s="355"/>
      <c r="AH113" s="362"/>
      <c r="AI113" s="362"/>
      <c r="AJ113" s="362"/>
    </row>
    <row r="114" spans="1:36" ht="14.5" customHeight="1" x14ac:dyDescent="0.35">
      <c r="A114" s="355"/>
      <c r="B114" s="355"/>
      <c r="C114" s="348"/>
      <c r="D114" s="348"/>
      <c r="E114" s="355"/>
      <c r="F114" s="353"/>
      <c r="G114" s="76" t="s">
        <v>303</v>
      </c>
      <c r="H114" s="64"/>
      <c r="I114" s="139" t="s">
        <v>202</v>
      </c>
      <c r="J114" s="64"/>
      <c r="K114" s="64"/>
      <c r="L114" s="64"/>
      <c r="M114" s="64"/>
      <c r="N114" s="64"/>
      <c r="O114" s="64"/>
      <c r="P114" s="64"/>
      <c r="Q114" s="64"/>
      <c r="R114" s="64"/>
      <c r="S114" s="365"/>
      <c r="T114" s="136" t="str">
        <f t="shared" si="15"/>
        <v/>
      </c>
      <c r="U114" s="355"/>
      <c r="V114" s="358"/>
      <c r="W114" s="355"/>
      <c r="X114" s="355"/>
      <c r="Y114" s="369"/>
      <c r="Z114" s="369"/>
      <c r="AA114" s="355"/>
      <c r="AB114" s="355"/>
      <c r="AC114" s="353"/>
      <c r="AD114" s="355"/>
      <c r="AE114" s="369"/>
      <c r="AF114" s="369"/>
      <c r="AG114" s="355"/>
      <c r="AH114" s="362"/>
      <c r="AI114" s="362"/>
      <c r="AJ114" s="362"/>
    </row>
    <row r="115" spans="1:36" ht="14.5" customHeight="1" x14ac:dyDescent="0.35">
      <c r="A115" s="355"/>
      <c r="B115" s="355"/>
      <c r="C115" s="348"/>
      <c r="D115" s="348"/>
      <c r="E115" s="355"/>
      <c r="F115" s="353"/>
      <c r="G115" s="76" t="s">
        <v>304</v>
      </c>
      <c r="H115" s="64"/>
      <c r="I115" s="139" t="s">
        <v>203</v>
      </c>
      <c r="J115" s="64"/>
      <c r="K115" s="64"/>
      <c r="L115" s="64"/>
      <c r="M115" s="64"/>
      <c r="N115" s="64"/>
      <c r="O115" s="64"/>
      <c r="P115" s="64"/>
      <c r="Q115" s="64"/>
      <c r="R115" s="64"/>
      <c r="S115" s="365"/>
      <c r="T115" s="136" t="str">
        <f t="shared" si="15"/>
        <v/>
      </c>
      <c r="U115" s="355"/>
      <c r="V115" s="358"/>
      <c r="W115" s="355"/>
      <c r="X115" s="355"/>
      <c r="Y115" s="369"/>
      <c r="Z115" s="369"/>
      <c r="AA115" s="355"/>
      <c r="AB115" s="355"/>
      <c r="AC115" s="353"/>
      <c r="AD115" s="355"/>
      <c r="AE115" s="369"/>
      <c r="AF115" s="369"/>
      <c r="AG115" s="355"/>
      <c r="AH115" s="362"/>
      <c r="AI115" s="362"/>
      <c r="AJ115" s="362"/>
    </row>
    <row r="116" spans="1:36" ht="14.5" customHeight="1" x14ac:dyDescent="0.35">
      <c r="A116" s="355"/>
      <c r="B116" s="355"/>
      <c r="C116" s="348"/>
      <c r="D116" s="348"/>
      <c r="E116" s="355"/>
      <c r="F116" s="353"/>
      <c r="G116" s="76" t="s">
        <v>305</v>
      </c>
      <c r="H116" s="64"/>
      <c r="I116" s="139" t="s">
        <v>204</v>
      </c>
      <c r="J116" s="64"/>
      <c r="K116" s="64"/>
      <c r="L116" s="64"/>
      <c r="M116" s="64"/>
      <c r="N116" s="64"/>
      <c r="O116" s="64"/>
      <c r="P116" s="64"/>
      <c r="Q116" s="64"/>
      <c r="R116" s="64"/>
      <c r="S116" s="365"/>
      <c r="T116" s="136" t="str">
        <f t="shared" si="15"/>
        <v/>
      </c>
      <c r="U116" s="355"/>
      <c r="V116" s="358"/>
      <c r="W116" s="355"/>
      <c r="X116" s="355"/>
      <c r="Y116" s="369"/>
      <c r="Z116" s="369"/>
      <c r="AA116" s="355"/>
      <c r="AB116" s="355"/>
      <c r="AC116" s="353"/>
      <c r="AD116" s="355"/>
      <c r="AE116" s="369"/>
      <c r="AF116" s="369"/>
      <c r="AG116" s="355"/>
      <c r="AH116" s="362"/>
      <c r="AI116" s="362"/>
      <c r="AJ116" s="362"/>
    </row>
    <row r="117" spans="1:36" ht="14.5" customHeight="1" x14ac:dyDescent="0.35">
      <c r="A117" s="355"/>
      <c r="B117" s="355"/>
      <c r="C117" s="349"/>
      <c r="D117" s="349"/>
      <c r="E117" s="355"/>
      <c r="F117" s="353"/>
      <c r="G117" s="76" t="s">
        <v>306</v>
      </c>
      <c r="H117" s="64"/>
      <c r="I117" s="139" t="s">
        <v>205</v>
      </c>
      <c r="J117" s="64"/>
      <c r="K117" s="64"/>
      <c r="L117" s="64"/>
      <c r="M117" s="64"/>
      <c r="N117" s="64"/>
      <c r="O117" s="64"/>
      <c r="P117" s="64"/>
      <c r="Q117" s="64"/>
      <c r="R117" s="64"/>
      <c r="S117" s="366"/>
      <c r="T117" s="136" t="str">
        <f t="shared" si="15"/>
        <v/>
      </c>
      <c r="U117" s="355"/>
      <c r="V117" s="358"/>
      <c r="W117" s="355"/>
      <c r="X117" s="355"/>
      <c r="Y117" s="369"/>
      <c r="Z117" s="369"/>
      <c r="AA117" s="355"/>
      <c r="AB117" s="355"/>
      <c r="AC117" s="353"/>
      <c r="AD117" s="355"/>
      <c r="AE117" s="369"/>
      <c r="AF117" s="369"/>
      <c r="AG117" s="355"/>
      <c r="AH117" s="362"/>
      <c r="AI117" s="362"/>
      <c r="AJ117" s="362"/>
    </row>
    <row r="118" spans="1:36" ht="14.5" customHeight="1" x14ac:dyDescent="0.35">
      <c r="A118" s="359">
        <v>17</v>
      </c>
      <c r="B118" s="371" t="str">
        <f>IF($E118="","","BIA-"&amp;TEXT(17,"000"))</f>
        <v/>
      </c>
      <c r="C118" s="347" t="str">
        <f>IFERROR(INDEX(BusinessUnits1,MATCH(A118,'04. Products &amp; Services'!$N$6:$N$50,0)),"")</f>
        <v/>
      </c>
      <c r="D118" s="347" t="str">
        <f>IFERROR(INDEX(DivisionSites,MATCH(A118,'04. Products &amp; Services'!$N$6:$N$50,0)),"")</f>
        <v/>
      </c>
      <c r="E118" s="360" t="str">
        <f>IFERROR(INDEX(ScopeNames,MATCH(A118,'04. Products &amp; Services'!$N$6:$N$50,0)),"")</f>
        <v/>
      </c>
      <c r="F118" s="372" t="str">
        <f>_xlfn.XLOOKUP(E118,'04. Products &amp; Services'!$E$5:$E$50,'04. Products &amp; Services'!$B$5:$B$50,"")</f>
        <v/>
      </c>
      <c r="G118" s="76" t="s">
        <v>300</v>
      </c>
      <c r="H118" s="64"/>
      <c r="I118" s="139" t="s">
        <v>197</v>
      </c>
      <c r="J118" s="64"/>
      <c r="K118" s="64"/>
      <c r="L118" s="64"/>
      <c r="M118" s="64"/>
      <c r="N118" s="64"/>
      <c r="O118" s="64"/>
      <c r="P118" s="64"/>
      <c r="Q118" s="64"/>
      <c r="R118" s="64"/>
      <c r="S118" s="364" t="str">
        <f>IF(COUNT(J118:R124)=0,"",MAX(J118:R124))</f>
        <v/>
      </c>
      <c r="T118" s="136" t="str">
        <f t="shared" ref="T118:T124" si="16">IF($S$118="","",IF(COUNT(J118:R118)=0,"",IF(MAX(J118:R118)&gt;3,$I118,"")))</f>
        <v/>
      </c>
      <c r="U118" s="356" t="str" cm="1">
        <f t="array" ref="U118">IF($E118="","",_xlfn.LET(_xlpm.matches,_xlfn._xlws.FILTER('04. Products &amp; Services'!$J$6:$J$50,'04. Products &amp; Services'!$E$6:$E$50=$E118,""),_xlpm.n,COUNTIF($E$6:$E118,$E118),_xlpm.v,IFERROR(INDEX(_xlpm.matches,_xlpm.n),""),IF(OR(_xlpm.v="",_xlpm.v=0),"",_xlpm.v)))</f>
        <v/>
      </c>
      <c r="V118" s="357"/>
      <c r="W118" s="354" t="str">
        <f>IF($E118="","",IF(OR($U118="Yes",$V118="Yes"),"Yes",IF(AND($U118="No",$V118="No"),"No",IF(AND($U118="Under Evaluation",$V118="No"),"Under Evaluation",""))))</f>
        <v/>
      </c>
      <c r="X118" s="377" t="str">
        <f>IF($E118="","",IFERROR(_xlfn.LET(_xlpm.v,INDEX('04. Products &amp; Services'!$K$6:$K$50,MATCH($E118,ScopeNames,0)),IF(_xlpm.v="","",_xlpm.v)),""))</f>
        <v/>
      </c>
      <c r="Y118" s="376"/>
      <c r="Z118" s="376"/>
      <c r="AA118" s="354" t="str">
        <f>IF($E118="","",IF(COUNT(J118:R124)=0,"",IF(MAX(J118:J124)&gt;=4,6,IF(MAX(K118:K124)&gt;=4,18,IF(MAX(L118:L124)&gt;=4,36,IF(MAX(M118:M124)&gt;=4,72,IF(MAX(N118:N124)&gt;=4,168,IF(MAX(O118:O124)&gt;=4,336,IF(MAX(P118:P124)&gt;=4,504,IF(MAX(Q118:Q124)&gt;=4,672,IF(MAX(R118:R124)&gt;=4,"","")))))))))))</f>
        <v/>
      </c>
      <c r="AB118" s="354" t="str">
        <f>IF($F118="","",IFERROR(VLOOKUP($F118,'04. Products &amp; Services'!$B$5:$M$50,12,0),""))</f>
        <v/>
      </c>
      <c r="AC118" s="352"/>
      <c r="AD118" s="367" t="str" cm="1">
        <f t="array" ref="AD118">IF(ISBLANK(AC118),"",_xlfn.LET(
_xlpm.Num,--_xlfn.TEXTBEFORE(AC118," "),
_xlpm.Unit,LOWER(_xlfn.TEXTAFTER(AC118," ")),
_xlfn.SWITCH(_xlpm.Unit,
"hour",_xlpm.Num,
"hours",_xlpm.Num,
"day",_xlpm.Num*24,
"days",_xlpm.Num*24,
"week",_xlpm.Num*24*7,
"weeks",_xlpm.Num*24*7,
"month",_xlpm.Num*24*(365.25/12),
"months",_xlpm.Num*24*(365.25/12),
"")
))</f>
        <v/>
      </c>
      <c r="AE118" s="368"/>
      <c r="AF118" s="370"/>
      <c r="AG118" s="363" t="str">
        <f>IF($AF118="","",DATE(YEAR($AF118)+1,MONTH($AF118),DAY($AF118)))</f>
        <v/>
      </c>
      <c r="AH118" s="361" t="str" cm="1">
        <f t="array" ref="AH118">IF($B118="","",_xlfn.LET(_xlpm.ids,'15. BCM Risk Register'!$A$6:$A$65,_xlpm.links,'15. BCM Risk Register'!$I$6:$I$65,_xlpm.hit,ISNUMBER(SEARCH(","&amp;$B118&amp;",",","&amp;SUBSTITUTE(_xlpm.links," ","")&amp;",")),IFERROR(_xlfn.TEXTJOIN(", ",TRUE,_xlfn.UNIQUE(_xlfn._xlws.FILTER(_xlpm.ids,_xlpm.hit*(_xlpm.ids&lt;&gt;"")))),"Not Created")))</f>
        <v/>
      </c>
      <c r="AI118" s="361" t="str" cm="1">
        <f t="array" ref="AI118">IF($B118="","",_xlfn.LET(_xlpm.ids,'15. BCM Risk Register'!$L$6:$L$65,_xlpm.links,'15. BCM Risk Register'!$I$6:$I$65,_xlpm.hit,ISNUMBER(SEARCH(","&amp;$B118&amp;",",","&amp;SUBSTITUTE(_xlpm.links," ","")&amp;",")),IFERROR(_xlfn.TEXTJOIN(", ",TRUE,_xlfn.UNIQUE(_xlfn._xlws.FILTER(_xlpm.ids,_xlpm.hit*(_xlpm.ids&lt;&gt;"")*(_xlpm.ids&lt;&gt;"Not Created")))),"Not Created")))</f>
        <v/>
      </c>
      <c r="AJ118" s="361" t="str" cm="1">
        <f t="array" ref="AJ118">IF($B118="","",_xlfn.LET(_xlpm.ids,'15. BCM Risk Register'!$K$6:$K$65,_xlpm.links,'15. BCM Risk Register'!$I$6:$I$65,_xlpm.hit,ISNUMBER(SEARCH(","&amp;$B118&amp;",",","&amp;SUBSTITUTE(_xlpm.links," ","")&amp;",")),IFERROR(_xlfn.TEXTJOIN(", ",TRUE,_xlfn.UNIQUE(_xlfn._xlws.FILTER(_xlpm.ids,_xlpm.hit*(_xlpm.ids&lt;&gt;"")*(_xlpm.ids&lt;&gt;"Not Created")))),"Not Created")))</f>
        <v/>
      </c>
    </row>
    <row r="119" spans="1:36" ht="14.5" customHeight="1" x14ac:dyDescent="0.35">
      <c r="A119" s="355"/>
      <c r="B119" s="355"/>
      <c r="C119" s="348"/>
      <c r="D119" s="348"/>
      <c r="E119" s="355"/>
      <c r="F119" s="353"/>
      <c r="G119" s="76" t="s">
        <v>301</v>
      </c>
      <c r="H119" s="64"/>
      <c r="I119" s="139" t="s">
        <v>199</v>
      </c>
      <c r="J119" s="64"/>
      <c r="K119" s="64"/>
      <c r="L119" s="64"/>
      <c r="M119" s="64"/>
      <c r="N119" s="64"/>
      <c r="O119" s="64"/>
      <c r="P119" s="64"/>
      <c r="Q119" s="64"/>
      <c r="R119" s="64"/>
      <c r="S119" s="365"/>
      <c r="T119" s="136" t="str">
        <f t="shared" si="16"/>
        <v/>
      </c>
      <c r="U119" s="355"/>
      <c r="V119" s="358"/>
      <c r="W119" s="355"/>
      <c r="X119" s="355"/>
      <c r="Y119" s="369"/>
      <c r="Z119" s="369"/>
      <c r="AA119" s="355"/>
      <c r="AB119" s="355"/>
      <c r="AC119" s="353"/>
      <c r="AD119" s="355"/>
      <c r="AE119" s="369"/>
      <c r="AF119" s="369"/>
      <c r="AG119" s="355"/>
      <c r="AH119" s="362"/>
      <c r="AI119" s="362"/>
      <c r="AJ119" s="362"/>
    </row>
    <row r="120" spans="1:36" ht="14.5" customHeight="1" x14ac:dyDescent="0.35">
      <c r="A120" s="355"/>
      <c r="B120" s="355"/>
      <c r="C120" s="348"/>
      <c r="D120" s="348"/>
      <c r="E120" s="355"/>
      <c r="F120" s="353"/>
      <c r="G120" s="76" t="s">
        <v>302</v>
      </c>
      <c r="H120" s="64"/>
      <c r="I120" s="139" t="s">
        <v>200</v>
      </c>
      <c r="J120" s="64"/>
      <c r="K120" s="64"/>
      <c r="L120" s="64"/>
      <c r="M120" s="64"/>
      <c r="N120" s="64"/>
      <c r="O120" s="64"/>
      <c r="P120" s="64"/>
      <c r="Q120" s="64"/>
      <c r="R120" s="64"/>
      <c r="S120" s="365"/>
      <c r="T120" s="136" t="str">
        <f t="shared" si="16"/>
        <v/>
      </c>
      <c r="U120" s="355"/>
      <c r="V120" s="358"/>
      <c r="W120" s="355"/>
      <c r="X120" s="355"/>
      <c r="Y120" s="369"/>
      <c r="Z120" s="369"/>
      <c r="AA120" s="355"/>
      <c r="AB120" s="355"/>
      <c r="AC120" s="353"/>
      <c r="AD120" s="355"/>
      <c r="AE120" s="369"/>
      <c r="AF120" s="369"/>
      <c r="AG120" s="355"/>
      <c r="AH120" s="362"/>
      <c r="AI120" s="362"/>
      <c r="AJ120" s="362"/>
    </row>
    <row r="121" spans="1:36" ht="14.5" customHeight="1" x14ac:dyDescent="0.35">
      <c r="A121" s="355"/>
      <c r="B121" s="355"/>
      <c r="C121" s="348"/>
      <c r="D121" s="348"/>
      <c r="E121" s="355"/>
      <c r="F121" s="353"/>
      <c r="G121" s="76" t="s">
        <v>303</v>
      </c>
      <c r="H121" s="64"/>
      <c r="I121" s="139" t="s">
        <v>202</v>
      </c>
      <c r="J121" s="64"/>
      <c r="K121" s="64"/>
      <c r="L121" s="64"/>
      <c r="M121" s="64"/>
      <c r="N121" s="64"/>
      <c r="O121" s="64"/>
      <c r="P121" s="64"/>
      <c r="Q121" s="64"/>
      <c r="R121" s="64"/>
      <c r="S121" s="365"/>
      <c r="T121" s="136" t="str">
        <f t="shared" si="16"/>
        <v/>
      </c>
      <c r="U121" s="355"/>
      <c r="V121" s="358"/>
      <c r="W121" s="355"/>
      <c r="X121" s="355"/>
      <c r="Y121" s="369"/>
      <c r="Z121" s="369"/>
      <c r="AA121" s="355"/>
      <c r="AB121" s="355"/>
      <c r="AC121" s="353"/>
      <c r="AD121" s="355"/>
      <c r="AE121" s="369"/>
      <c r="AF121" s="369"/>
      <c r="AG121" s="355"/>
      <c r="AH121" s="362"/>
      <c r="AI121" s="362"/>
      <c r="AJ121" s="362"/>
    </row>
    <row r="122" spans="1:36" ht="14.5" customHeight="1" x14ac:dyDescent="0.35">
      <c r="A122" s="355"/>
      <c r="B122" s="355"/>
      <c r="C122" s="348"/>
      <c r="D122" s="348"/>
      <c r="E122" s="355"/>
      <c r="F122" s="353"/>
      <c r="G122" s="76" t="s">
        <v>304</v>
      </c>
      <c r="H122" s="64"/>
      <c r="I122" s="139" t="s">
        <v>203</v>
      </c>
      <c r="J122" s="64"/>
      <c r="K122" s="64"/>
      <c r="L122" s="64"/>
      <c r="M122" s="64"/>
      <c r="N122" s="64"/>
      <c r="O122" s="64"/>
      <c r="P122" s="64"/>
      <c r="Q122" s="64"/>
      <c r="R122" s="64"/>
      <c r="S122" s="365"/>
      <c r="T122" s="136" t="str">
        <f t="shared" si="16"/>
        <v/>
      </c>
      <c r="U122" s="355"/>
      <c r="V122" s="358"/>
      <c r="W122" s="355"/>
      <c r="X122" s="355"/>
      <c r="Y122" s="369"/>
      <c r="Z122" s="369"/>
      <c r="AA122" s="355"/>
      <c r="AB122" s="355"/>
      <c r="AC122" s="353"/>
      <c r="AD122" s="355"/>
      <c r="AE122" s="369"/>
      <c r="AF122" s="369"/>
      <c r="AG122" s="355"/>
      <c r="AH122" s="362"/>
      <c r="AI122" s="362"/>
      <c r="AJ122" s="362"/>
    </row>
    <row r="123" spans="1:36" ht="14.5" customHeight="1" x14ac:dyDescent="0.35">
      <c r="A123" s="355"/>
      <c r="B123" s="355"/>
      <c r="C123" s="348"/>
      <c r="D123" s="348"/>
      <c r="E123" s="355"/>
      <c r="F123" s="353"/>
      <c r="G123" s="76" t="s">
        <v>305</v>
      </c>
      <c r="H123" s="64"/>
      <c r="I123" s="139" t="s">
        <v>204</v>
      </c>
      <c r="J123" s="64"/>
      <c r="K123" s="64"/>
      <c r="L123" s="64"/>
      <c r="M123" s="64"/>
      <c r="N123" s="64"/>
      <c r="O123" s="64"/>
      <c r="P123" s="64"/>
      <c r="Q123" s="64"/>
      <c r="R123" s="64"/>
      <c r="S123" s="365"/>
      <c r="T123" s="136" t="str">
        <f t="shared" si="16"/>
        <v/>
      </c>
      <c r="U123" s="355"/>
      <c r="V123" s="358"/>
      <c r="W123" s="355"/>
      <c r="X123" s="355"/>
      <c r="Y123" s="369"/>
      <c r="Z123" s="369"/>
      <c r="AA123" s="355"/>
      <c r="AB123" s="355"/>
      <c r="AC123" s="353"/>
      <c r="AD123" s="355"/>
      <c r="AE123" s="369"/>
      <c r="AF123" s="369"/>
      <c r="AG123" s="355"/>
      <c r="AH123" s="362"/>
      <c r="AI123" s="362"/>
      <c r="AJ123" s="362"/>
    </row>
    <row r="124" spans="1:36" ht="14.5" customHeight="1" x14ac:dyDescent="0.35">
      <c r="A124" s="355"/>
      <c r="B124" s="355"/>
      <c r="C124" s="349"/>
      <c r="D124" s="349"/>
      <c r="E124" s="355"/>
      <c r="F124" s="353"/>
      <c r="G124" s="76" t="s">
        <v>306</v>
      </c>
      <c r="H124" s="64"/>
      <c r="I124" s="139" t="s">
        <v>205</v>
      </c>
      <c r="J124" s="64"/>
      <c r="K124" s="64"/>
      <c r="L124" s="64"/>
      <c r="M124" s="64"/>
      <c r="N124" s="64"/>
      <c r="O124" s="64"/>
      <c r="P124" s="64"/>
      <c r="Q124" s="64"/>
      <c r="R124" s="64"/>
      <c r="S124" s="366"/>
      <c r="T124" s="136" t="str">
        <f t="shared" si="16"/>
        <v/>
      </c>
      <c r="U124" s="355"/>
      <c r="V124" s="358"/>
      <c r="W124" s="355"/>
      <c r="X124" s="355"/>
      <c r="Y124" s="369"/>
      <c r="Z124" s="369"/>
      <c r="AA124" s="355"/>
      <c r="AB124" s="355"/>
      <c r="AC124" s="353"/>
      <c r="AD124" s="355"/>
      <c r="AE124" s="369"/>
      <c r="AF124" s="369"/>
      <c r="AG124" s="355"/>
      <c r="AH124" s="362"/>
      <c r="AI124" s="362"/>
      <c r="AJ124" s="362"/>
    </row>
    <row r="125" spans="1:36" ht="14.5" customHeight="1" x14ac:dyDescent="0.35">
      <c r="A125" s="359">
        <v>18</v>
      </c>
      <c r="B125" s="371" t="str">
        <f>IF($E125="","","BIA-"&amp;TEXT(18,"000"))</f>
        <v/>
      </c>
      <c r="C125" s="347" t="str">
        <f>IFERROR(INDEX(BusinessUnits1,MATCH(A125,'04. Products &amp; Services'!$N$6:$N$50,0)),"")</f>
        <v/>
      </c>
      <c r="D125" s="347" t="str">
        <f>IFERROR(INDEX(DivisionSites,MATCH(A125,'04. Products &amp; Services'!$N$6:$N$50,0)),"")</f>
        <v/>
      </c>
      <c r="E125" s="360" t="str">
        <f>IFERROR(INDEX(ScopeNames,MATCH(A125,'04. Products &amp; Services'!$N$6:$N$50,0)),"")</f>
        <v/>
      </c>
      <c r="F125" s="372" t="str">
        <f>_xlfn.XLOOKUP(E125,'04. Products &amp; Services'!$E$5:$E$50,'04. Products &amp; Services'!$B$5:$B$50,"")</f>
        <v/>
      </c>
      <c r="G125" s="76" t="s">
        <v>300</v>
      </c>
      <c r="H125" s="64"/>
      <c r="I125" s="139" t="s">
        <v>197</v>
      </c>
      <c r="J125" s="64"/>
      <c r="K125" s="64"/>
      <c r="L125" s="64"/>
      <c r="M125" s="64"/>
      <c r="N125" s="64"/>
      <c r="O125" s="64"/>
      <c r="P125" s="64"/>
      <c r="Q125" s="64"/>
      <c r="R125" s="64"/>
      <c r="S125" s="364" t="str">
        <f>IF(COUNT(J125:R131)=0,"",MAX(J125:R131))</f>
        <v/>
      </c>
      <c r="T125" s="136" t="str">
        <f t="shared" ref="T125:T131" si="17">IF($S$125="","",IF(COUNT(J125:R125)=0,"",IF(MAX(J125:R125)&gt;3,$I125,"")))</f>
        <v/>
      </c>
      <c r="U125" s="356" t="str" cm="1">
        <f t="array" ref="U125">IF($E125="","",_xlfn.LET(_xlpm.matches,_xlfn._xlws.FILTER('04. Products &amp; Services'!$J$6:$J$50,'04. Products &amp; Services'!$E$6:$E$50=$E125,""),_xlpm.n,COUNTIF($E$6:$E125,$E125),_xlpm.v,IFERROR(INDEX(_xlpm.matches,_xlpm.n),""),IF(OR(_xlpm.v="",_xlpm.v=0),"",_xlpm.v)))</f>
        <v/>
      </c>
      <c r="V125" s="357"/>
      <c r="W125" s="354" t="str">
        <f>IF($E125="","",IF(OR($U125="Yes",$V125="Yes"),"Yes",IF(AND($U125="No",$V125="No"),"No",IF(AND($U125="Under Evaluation",$V125="No"),"Under Evaluation",""))))</f>
        <v/>
      </c>
      <c r="X125" s="377" t="str">
        <f>IF($E125="","",IFERROR(_xlfn.LET(_xlpm.v,INDEX('04. Products &amp; Services'!$K$6:$K$50,MATCH($E125,ScopeNames,0)),IF(_xlpm.v="","",_xlpm.v)),""))</f>
        <v/>
      </c>
      <c r="Y125" s="376"/>
      <c r="Z125" s="376"/>
      <c r="AA125" s="354" t="str">
        <f>IF($E125="","",IF(COUNT(J125:R131)=0,"",IF(MAX(J125:J131)&gt;=4,6,IF(MAX(K125:K131)&gt;=4,18,IF(MAX(L125:L131)&gt;=4,36,IF(MAX(M125:M131)&gt;=4,72,IF(MAX(N125:N131)&gt;=4,168,IF(MAX(O125:O131)&gt;=4,336,IF(MAX(P125:P131)&gt;=4,504,IF(MAX(Q125:Q131)&gt;=4,672,IF(MAX(R125:R131)&gt;=4,"","")))))))))))</f>
        <v/>
      </c>
      <c r="AB125" s="354" t="str">
        <f>IF($F125="","",IFERROR(VLOOKUP($F125,'04. Products &amp; Services'!$B$5:$M$50,12,0),""))</f>
        <v/>
      </c>
      <c r="AC125" s="352"/>
      <c r="AD125" s="367" t="str" cm="1">
        <f t="array" ref="AD125">IF(ISBLANK(AC125),"",_xlfn.LET(
_xlpm.Num,--_xlfn.TEXTBEFORE(AC125," "),
_xlpm.Unit,LOWER(_xlfn.TEXTAFTER(AC125," ")),
_xlfn.SWITCH(_xlpm.Unit,
"hour",_xlpm.Num,
"hours",_xlpm.Num,
"day",_xlpm.Num*24,
"days",_xlpm.Num*24,
"week",_xlpm.Num*24*7,
"weeks",_xlpm.Num*24*7,
"month",_xlpm.Num*24*(365.25/12),
"months",_xlpm.Num*24*(365.25/12),
"")
))</f>
        <v/>
      </c>
      <c r="AE125" s="368"/>
      <c r="AF125" s="370"/>
      <c r="AG125" s="363" t="str">
        <f>IF($AF125="","",DATE(YEAR($AF125)+1,MONTH($AF125),DAY($AF125)))</f>
        <v/>
      </c>
      <c r="AH125" s="361" t="str" cm="1">
        <f t="array" ref="AH125">IF($B125="","",_xlfn.LET(_xlpm.ids,'15. BCM Risk Register'!$A$6:$A$65,_xlpm.links,'15. BCM Risk Register'!$I$6:$I$65,_xlpm.hit,ISNUMBER(SEARCH(","&amp;$B125&amp;",",","&amp;SUBSTITUTE(_xlpm.links," ","")&amp;",")),IFERROR(_xlfn.TEXTJOIN(", ",TRUE,_xlfn.UNIQUE(_xlfn._xlws.FILTER(_xlpm.ids,_xlpm.hit*(_xlpm.ids&lt;&gt;"")))),"Not Created")))</f>
        <v/>
      </c>
      <c r="AI125" s="361" t="str" cm="1">
        <f t="array" ref="AI125">IF($B125="","",_xlfn.LET(_xlpm.ids,'15. BCM Risk Register'!$L$6:$L$65,_xlpm.links,'15. BCM Risk Register'!$I$6:$I$65,_xlpm.hit,ISNUMBER(SEARCH(","&amp;$B125&amp;",",","&amp;SUBSTITUTE(_xlpm.links," ","")&amp;",")),IFERROR(_xlfn.TEXTJOIN(", ",TRUE,_xlfn.UNIQUE(_xlfn._xlws.FILTER(_xlpm.ids,_xlpm.hit*(_xlpm.ids&lt;&gt;"")*(_xlpm.ids&lt;&gt;"Not Created")))),"Not Created")))</f>
        <v/>
      </c>
      <c r="AJ125" s="361" t="str" cm="1">
        <f t="array" ref="AJ125">IF($B125="","",_xlfn.LET(_xlpm.ids,'15. BCM Risk Register'!$K$6:$K$65,_xlpm.links,'15. BCM Risk Register'!$I$6:$I$65,_xlpm.hit,ISNUMBER(SEARCH(","&amp;$B125&amp;",",","&amp;SUBSTITUTE(_xlpm.links," ","")&amp;",")),IFERROR(_xlfn.TEXTJOIN(", ",TRUE,_xlfn.UNIQUE(_xlfn._xlws.FILTER(_xlpm.ids,_xlpm.hit*(_xlpm.ids&lt;&gt;"")*(_xlpm.ids&lt;&gt;"Not Created")))),"Not Created")))</f>
        <v/>
      </c>
    </row>
    <row r="126" spans="1:36" ht="14.5" customHeight="1" x14ac:dyDescent="0.35">
      <c r="A126" s="355"/>
      <c r="B126" s="355"/>
      <c r="C126" s="348"/>
      <c r="D126" s="348"/>
      <c r="E126" s="355"/>
      <c r="F126" s="353"/>
      <c r="G126" s="76" t="s">
        <v>301</v>
      </c>
      <c r="H126" s="64"/>
      <c r="I126" s="139" t="s">
        <v>199</v>
      </c>
      <c r="J126" s="64"/>
      <c r="K126" s="64"/>
      <c r="L126" s="64"/>
      <c r="M126" s="64"/>
      <c r="N126" s="64"/>
      <c r="O126" s="64"/>
      <c r="P126" s="64"/>
      <c r="Q126" s="64"/>
      <c r="R126" s="64"/>
      <c r="S126" s="365"/>
      <c r="T126" s="136" t="str">
        <f t="shared" si="17"/>
        <v/>
      </c>
      <c r="U126" s="355"/>
      <c r="V126" s="358"/>
      <c r="W126" s="355"/>
      <c r="X126" s="355"/>
      <c r="Y126" s="369"/>
      <c r="Z126" s="369"/>
      <c r="AA126" s="355"/>
      <c r="AB126" s="355"/>
      <c r="AC126" s="353"/>
      <c r="AD126" s="355"/>
      <c r="AE126" s="369"/>
      <c r="AF126" s="369"/>
      <c r="AG126" s="355"/>
      <c r="AH126" s="362"/>
      <c r="AI126" s="362"/>
      <c r="AJ126" s="362"/>
    </row>
    <row r="127" spans="1:36" ht="14.5" customHeight="1" x14ac:dyDescent="0.35">
      <c r="A127" s="355"/>
      <c r="B127" s="355"/>
      <c r="C127" s="348"/>
      <c r="D127" s="348"/>
      <c r="E127" s="355"/>
      <c r="F127" s="353"/>
      <c r="G127" s="76" t="s">
        <v>302</v>
      </c>
      <c r="H127" s="64"/>
      <c r="I127" s="139" t="s">
        <v>200</v>
      </c>
      <c r="J127" s="64"/>
      <c r="K127" s="64"/>
      <c r="L127" s="64"/>
      <c r="M127" s="64"/>
      <c r="N127" s="64"/>
      <c r="O127" s="64"/>
      <c r="P127" s="64"/>
      <c r="Q127" s="64"/>
      <c r="R127" s="64"/>
      <c r="S127" s="365"/>
      <c r="T127" s="136" t="str">
        <f t="shared" si="17"/>
        <v/>
      </c>
      <c r="U127" s="355"/>
      <c r="V127" s="358"/>
      <c r="W127" s="355"/>
      <c r="X127" s="355"/>
      <c r="Y127" s="369"/>
      <c r="Z127" s="369"/>
      <c r="AA127" s="355"/>
      <c r="AB127" s="355"/>
      <c r="AC127" s="353"/>
      <c r="AD127" s="355"/>
      <c r="AE127" s="369"/>
      <c r="AF127" s="369"/>
      <c r="AG127" s="355"/>
      <c r="AH127" s="362"/>
      <c r="AI127" s="362"/>
      <c r="AJ127" s="362"/>
    </row>
    <row r="128" spans="1:36" ht="14.5" customHeight="1" x14ac:dyDescent="0.35">
      <c r="A128" s="355"/>
      <c r="B128" s="355"/>
      <c r="C128" s="348"/>
      <c r="D128" s="348"/>
      <c r="E128" s="355"/>
      <c r="F128" s="353"/>
      <c r="G128" s="76" t="s">
        <v>303</v>
      </c>
      <c r="H128" s="64"/>
      <c r="I128" s="139" t="s">
        <v>202</v>
      </c>
      <c r="J128" s="64"/>
      <c r="K128" s="64"/>
      <c r="L128" s="64"/>
      <c r="M128" s="64"/>
      <c r="N128" s="64"/>
      <c r="O128" s="64"/>
      <c r="P128" s="64"/>
      <c r="Q128" s="64"/>
      <c r="R128" s="64"/>
      <c r="S128" s="365"/>
      <c r="T128" s="136" t="str">
        <f t="shared" si="17"/>
        <v/>
      </c>
      <c r="U128" s="355"/>
      <c r="V128" s="358"/>
      <c r="W128" s="355"/>
      <c r="X128" s="355"/>
      <c r="Y128" s="369"/>
      <c r="Z128" s="369"/>
      <c r="AA128" s="355"/>
      <c r="AB128" s="355"/>
      <c r="AC128" s="353"/>
      <c r="AD128" s="355"/>
      <c r="AE128" s="369"/>
      <c r="AF128" s="369"/>
      <c r="AG128" s="355"/>
      <c r="AH128" s="362"/>
      <c r="AI128" s="362"/>
      <c r="AJ128" s="362"/>
    </row>
    <row r="129" spans="1:36" ht="14.5" customHeight="1" x14ac:dyDescent="0.35">
      <c r="A129" s="355"/>
      <c r="B129" s="355"/>
      <c r="C129" s="348"/>
      <c r="D129" s="348"/>
      <c r="E129" s="355"/>
      <c r="F129" s="353"/>
      <c r="G129" s="76" t="s">
        <v>304</v>
      </c>
      <c r="H129" s="64"/>
      <c r="I129" s="139" t="s">
        <v>203</v>
      </c>
      <c r="J129" s="64"/>
      <c r="K129" s="64"/>
      <c r="L129" s="64"/>
      <c r="M129" s="64"/>
      <c r="N129" s="64"/>
      <c r="O129" s="64"/>
      <c r="P129" s="64"/>
      <c r="Q129" s="64"/>
      <c r="R129" s="64"/>
      <c r="S129" s="365"/>
      <c r="T129" s="136" t="str">
        <f t="shared" si="17"/>
        <v/>
      </c>
      <c r="U129" s="355"/>
      <c r="V129" s="358"/>
      <c r="W129" s="355"/>
      <c r="X129" s="355"/>
      <c r="Y129" s="369"/>
      <c r="Z129" s="369"/>
      <c r="AA129" s="355"/>
      <c r="AB129" s="355"/>
      <c r="AC129" s="353"/>
      <c r="AD129" s="355"/>
      <c r="AE129" s="369"/>
      <c r="AF129" s="369"/>
      <c r="AG129" s="355"/>
      <c r="AH129" s="362"/>
      <c r="AI129" s="362"/>
      <c r="AJ129" s="362"/>
    </row>
    <row r="130" spans="1:36" ht="14.5" customHeight="1" x14ac:dyDescent="0.35">
      <c r="A130" s="355"/>
      <c r="B130" s="355"/>
      <c r="C130" s="348"/>
      <c r="D130" s="348"/>
      <c r="E130" s="355"/>
      <c r="F130" s="353"/>
      <c r="G130" s="76" t="s">
        <v>305</v>
      </c>
      <c r="H130" s="64"/>
      <c r="I130" s="139" t="s">
        <v>204</v>
      </c>
      <c r="J130" s="64"/>
      <c r="K130" s="64"/>
      <c r="L130" s="64"/>
      <c r="M130" s="64"/>
      <c r="N130" s="64"/>
      <c r="O130" s="64"/>
      <c r="P130" s="64"/>
      <c r="Q130" s="64"/>
      <c r="R130" s="64"/>
      <c r="S130" s="365"/>
      <c r="T130" s="136" t="str">
        <f t="shared" si="17"/>
        <v/>
      </c>
      <c r="U130" s="355"/>
      <c r="V130" s="358"/>
      <c r="W130" s="355"/>
      <c r="X130" s="355"/>
      <c r="Y130" s="369"/>
      <c r="Z130" s="369"/>
      <c r="AA130" s="355"/>
      <c r="AB130" s="355"/>
      <c r="AC130" s="353"/>
      <c r="AD130" s="355"/>
      <c r="AE130" s="369"/>
      <c r="AF130" s="369"/>
      <c r="AG130" s="355"/>
      <c r="AH130" s="362"/>
      <c r="AI130" s="362"/>
      <c r="AJ130" s="362"/>
    </row>
    <row r="131" spans="1:36" ht="14.5" customHeight="1" x14ac:dyDescent="0.35">
      <c r="A131" s="355"/>
      <c r="B131" s="355"/>
      <c r="C131" s="349"/>
      <c r="D131" s="349"/>
      <c r="E131" s="355"/>
      <c r="F131" s="353"/>
      <c r="G131" s="76" t="s">
        <v>306</v>
      </c>
      <c r="H131" s="64"/>
      <c r="I131" s="139" t="s">
        <v>205</v>
      </c>
      <c r="J131" s="64"/>
      <c r="K131" s="64"/>
      <c r="L131" s="64"/>
      <c r="M131" s="64"/>
      <c r="N131" s="64"/>
      <c r="O131" s="64"/>
      <c r="P131" s="64"/>
      <c r="Q131" s="64"/>
      <c r="R131" s="64"/>
      <c r="S131" s="366"/>
      <c r="T131" s="136" t="str">
        <f t="shared" si="17"/>
        <v/>
      </c>
      <c r="U131" s="355"/>
      <c r="V131" s="358"/>
      <c r="W131" s="355"/>
      <c r="X131" s="355"/>
      <c r="Y131" s="369"/>
      <c r="Z131" s="369"/>
      <c r="AA131" s="355"/>
      <c r="AB131" s="355"/>
      <c r="AC131" s="353"/>
      <c r="AD131" s="355"/>
      <c r="AE131" s="369"/>
      <c r="AF131" s="369"/>
      <c r="AG131" s="355"/>
      <c r="AH131" s="362"/>
      <c r="AI131" s="362"/>
      <c r="AJ131" s="362"/>
    </row>
    <row r="132" spans="1:36" ht="14.5" customHeight="1" x14ac:dyDescent="0.35">
      <c r="A132" s="359">
        <v>19</v>
      </c>
      <c r="B132" s="371" t="str">
        <f>IF($E132="","","BIA-"&amp;TEXT(19,"000"))</f>
        <v/>
      </c>
      <c r="C132" s="347" t="str">
        <f>IFERROR(INDEX(BusinessUnits1,MATCH(A132,'04. Products &amp; Services'!$N$6:$N$50,0)),"")</f>
        <v/>
      </c>
      <c r="D132" s="347" t="str">
        <f>IFERROR(INDEX(DivisionSites,MATCH(A132,'04. Products &amp; Services'!$N$6:$N$50,0)),"")</f>
        <v/>
      </c>
      <c r="E132" s="360" t="str">
        <f>IFERROR(INDEX(ScopeNames,MATCH(A132,'04. Products &amp; Services'!$N$6:$N$50,0)),"")</f>
        <v/>
      </c>
      <c r="F132" s="372" t="str">
        <f>_xlfn.XLOOKUP(E132,'04. Products &amp; Services'!$E$5:$E$50,'04. Products &amp; Services'!$B$5:$B$50,"")</f>
        <v/>
      </c>
      <c r="G132" s="76" t="s">
        <v>300</v>
      </c>
      <c r="H132" s="64"/>
      <c r="I132" s="139" t="s">
        <v>197</v>
      </c>
      <c r="J132" s="64"/>
      <c r="K132" s="64"/>
      <c r="L132" s="64"/>
      <c r="M132" s="64"/>
      <c r="N132" s="64"/>
      <c r="O132" s="64"/>
      <c r="P132" s="64"/>
      <c r="Q132" s="64"/>
      <c r="R132" s="64"/>
      <c r="S132" s="364" t="str">
        <f>IF(COUNT(J132:R138)=0,"",MAX(J132:R138))</f>
        <v/>
      </c>
      <c r="T132" s="136" t="str">
        <f t="shared" ref="T132:T138" si="18">IF($S$132="","",IF(COUNT(J132:R132)=0,"",IF(MAX(J132:R132)&gt;3,$I132,"")))</f>
        <v/>
      </c>
      <c r="U132" s="356" t="str" cm="1">
        <f t="array" ref="U132">IF($E132="","",_xlfn.LET(_xlpm.matches,_xlfn._xlws.FILTER('04. Products &amp; Services'!$J$6:$J$50,'04. Products &amp; Services'!$E$6:$E$50=$E132,""),_xlpm.n,COUNTIF($E$6:$E132,$E132),_xlpm.v,IFERROR(INDEX(_xlpm.matches,_xlpm.n),""),IF(OR(_xlpm.v="",_xlpm.v=0),"",_xlpm.v)))</f>
        <v/>
      </c>
      <c r="V132" s="357"/>
      <c r="W132" s="354" t="str">
        <f>IF($E132="","",IF(OR($U132="Yes",$V132="Yes"),"Yes",IF(AND($U132="No",$V132="No"),"No",IF(AND($U132="Under Evaluation",$V132="No"),"Under Evaluation",""))))</f>
        <v/>
      </c>
      <c r="X132" s="377" t="str">
        <f>IF($E132="","",IFERROR(_xlfn.LET(_xlpm.v,INDEX('04. Products &amp; Services'!$K$6:$K$50,MATCH($E132,ScopeNames,0)),IF(_xlpm.v="","",_xlpm.v)),""))</f>
        <v/>
      </c>
      <c r="Y132" s="376"/>
      <c r="Z132" s="376"/>
      <c r="AA132" s="354" t="str">
        <f>IF($E132="","",IF(COUNT(J132:R138)=0,"",IF(MAX(J132:J138)&gt;=4,6,IF(MAX(K132:K138)&gt;=4,18,IF(MAX(L132:L138)&gt;=4,36,IF(MAX(M132:M138)&gt;=4,72,IF(MAX(N132:N138)&gt;=4,168,IF(MAX(O132:O138)&gt;=4,336,IF(MAX(P132:P138)&gt;=4,504,IF(MAX(Q132:Q138)&gt;=4,672,IF(MAX(R132:R138)&gt;=4,"","")))))))))))</f>
        <v/>
      </c>
      <c r="AB132" s="354" t="str">
        <f>IF($F132="","",IFERROR(VLOOKUP($F132,'04. Products &amp; Services'!$B$5:$M$50,12,0),""))</f>
        <v/>
      </c>
      <c r="AC132" s="352"/>
      <c r="AD132" s="367" t="str" cm="1">
        <f t="array" ref="AD132">IF(ISBLANK(AC132),"",_xlfn.LET(
_xlpm.Num,--_xlfn.TEXTBEFORE(AC132," "),
_xlpm.Unit,LOWER(_xlfn.TEXTAFTER(AC132," ")),
_xlfn.SWITCH(_xlpm.Unit,
"hour",_xlpm.Num,
"hours",_xlpm.Num,
"day",_xlpm.Num*24,
"days",_xlpm.Num*24,
"week",_xlpm.Num*24*7,
"weeks",_xlpm.Num*24*7,
"month",_xlpm.Num*24*(365.25/12),
"months",_xlpm.Num*24*(365.25/12),
"")
))</f>
        <v/>
      </c>
      <c r="AE132" s="368"/>
      <c r="AF132" s="370"/>
      <c r="AG132" s="363" t="str">
        <f>IF($AF132="","",DATE(YEAR($AF132)+1,MONTH($AF132),DAY($AF132)))</f>
        <v/>
      </c>
      <c r="AH132" s="361" t="str" cm="1">
        <f t="array" ref="AH132">IF($B132="","",_xlfn.LET(_xlpm.ids,'15. BCM Risk Register'!$A$6:$A$65,_xlpm.links,'15. BCM Risk Register'!$I$6:$I$65,_xlpm.hit,ISNUMBER(SEARCH(","&amp;$B132&amp;",",","&amp;SUBSTITUTE(_xlpm.links," ","")&amp;",")),IFERROR(_xlfn.TEXTJOIN(", ",TRUE,_xlfn.UNIQUE(_xlfn._xlws.FILTER(_xlpm.ids,_xlpm.hit*(_xlpm.ids&lt;&gt;"")))),"Not Created")))</f>
        <v/>
      </c>
      <c r="AI132" s="361" t="str" cm="1">
        <f t="array" ref="AI132">IF($B132="","",_xlfn.LET(_xlpm.ids,'15. BCM Risk Register'!$L$6:$L$65,_xlpm.links,'15. BCM Risk Register'!$I$6:$I$65,_xlpm.hit,ISNUMBER(SEARCH(","&amp;$B132&amp;",",","&amp;SUBSTITUTE(_xlpm.links," ","")&amp;",")),IFERROR(_xlfn.TEXTJOIN(", ",TRUE,_xlfn.UNIQUE(_xlfn._xlws.FILTER(_xlpm.ids,_xlpm.hit*(_xlpm.ids&lt;&gt;"")*(_xlpm.ids&lt;&gt;"Not Created")))),"Not Created")))</f>
        <v/>
      </c>
      <c r="AJ132" s="361" t="str" cm="1">
        <f t="array" ref="AJ132">IF($B132="","",_xlfn.LET(_xlpm.ids,'15. BCM Risk Register'!$K$6:$K$65,_xlpm.links,'15. BCM Risk Register'!$I$6:$I$65,_xlpm.hit,ISNUMBER(SEARCH(","&amp;$B132&amp;",",","&amp;SUBSTITUTE(_xlpm.links," ","")&amp;",")),IFERROR(_xlfn.TEXTJOIN(", ",TRUE,_xlfn.UNIQUE(_xlfn._xlws.FILTER(_xlpm.ids,_xlpm.hit*(_xlpm.ids&lt;&gt;"")*(_xlpm.ids&lt;&gt;"Not Created")))),"Not Created")))</f>
        <v/>
      </c>
    </row>
    <row r="133" spans="1:36" ht="14.5" customHeight="1" x14ac:dyDescent="0.35">
      <c r="A133" s="355"/>
      <c r="B133" s="355"/>
      <c r="C133" s="348"/>
      <c r="D133" s="348"/>
      <c r="E133" s="355"/>
      <c r="F133" s="353"/>
      <c r="G133" s="76" t="s">
        <v>301</v>
      </c>
      <c r="H133" s="64"/>
      <c r="I133" s="139" t="s">
        <v>199</v>
      </c>
      <c r="J133" s="64"/>
      <c r="K133" s="64"/>
      <c r="L133" s="64"/>
      <c r="M133" s="64"/>
      <c r="N133" s="64"/>
      <c r="O133" s="64"/>
      <c r="P133" s="64"/>
      <c r="Q133" s="64"/>
      <c r="R133" s="64"/>
      <c r="S133" s="365"/>
      <c r="T133" s="136" t="str">
        <f t="shared" si="18"/>
        <v/>
      </c>
      <c r="U133" s="355"/>
      <c r="V133" s="358"/>
      <c r="W133" s="355"/>
      <c r="X133" s="355"/>
      <c r="Y133" s="369"/>
      <c r="Z133" s="369"/>
      <c r="AA133" s="355"/>
      <c r="AB133" s="355"/>
      <c r="AC133" s="353"/>
      <c r="AD133" s="355"/>
      <c r="AE133" s="369"/>
      <c r="AF133" s="369"/>
      <c r="AG133" s="355"/>
      <c r="AH133" s="362"/>
      <c r="AI133" s="362"/>
      <c r="AJ133" s="362"/>
    </row>
    <row r="134" spans="1:36" ht="14.5" customHeight="1" x14ac:dyDescent="0.35">
      <c r="A134" s="355"/>
      <c r="B134" s="355"/>
      <c r="C134" s="348"/>
      <c r="D134" s="348"/>
      <c r="E134" s="355"/>
      <c r="F134" s="353"/>
      <c r="G134" s="76" t="s">
        <v>302</v>
      </c>
      <c r="H134" s="64"/>
      <c r="I134" s="139" t="s">
        <v>200</v>
      </c>
      <c r="J134" s="64"/>
      <c r="K134" s="64"/>
      <c r="L134" s="64"/>
      <c r="M134" s="64"/>
      <c r="N134" s="64"/>
      <c r="O134" s="64"/>
      <c r="P134" s="64"/>
      <c r="Q134" s="64"/>
      <c r="R134" s="64"/>
      <c r="S134" s="365"/>
      <c r="T134" s="136" t="str">
        <f t="shared" si="18"/>
        <v/>
      </c>
      <c r="U134" s="355"/>
      <c r="V134" s="358"/>
      <c r="W134" s="355"/>
      <c r="X134" s="355"/>
      <c r="Y134" s="369"/>
      <c r="Z134" s="369"/>
      <c r="AA134" s="355"/>
      <c r="AB134" s="355"/>
      <c r="AC134" s="353"/>
      <c r="AD134" s="355"/>
      <c r="AE134" s="369"/>
      <c r="AF134" s="369"/>
      <c r="AG134" s="355"/>
      <c r="AH134" s="362"/>
      <c r="AI134" s="362"/>
      <c r="AJ134" s="362"/>
    </row>
    <row r="135" spans="1:36" ht="14.5" customHeight="1" x14ac:dyDescent="0.35">
      <c r="A135" s="355"/>
      <c r="B135" s="355"/>
      <c r="C135" s="348"/>
      <c r="D135" s="348"/>
      <c r="E135" s="355"/>
      <c r="F135" s="353"/>
      <c r="G135" s="76" t="s">
        <v>303</v>
      </c>
      <c r="H135" s="64"/>
      <c r="I135" s="139" t="s">
        <v>202</v>
      </c>
      <c r="J135" s="64"/>
      <c r="K135" s="64"/>
      <c r="L135" s="64"/>
      <c r="M135" s="64"/>
      <c r="N135" s="64"/>
      <c r="O135" s="64"/>
      <c r="P135" s="64"/>
      <c r="Q135" s="64"/>
      <c r="R135" s="64"/>
      <c r="S135" s="365"/>
      <c r="T135" s="136" t="str">
        <f t="shared" si="18"/>
        <v/>
      </c>
      <c r="U135" s="355"/>
      <c r="V135" s="358"/>
      <c r="W135" s="355"/>
      <c r="X135" s="355"/>
      <c r="Y135" s="369"/>
      <c r="Z135" s="369"/>
      <c r="AA135" s="355"/>
      <c r="AB135" s="355"/>
      <c r="AC135" s="353"/>
      <c r="AD135" s="355"/>
      <c r="AE135" s="369"/>
      <c r="AF135" s="369"/>
      <c r="AG135" s="355"/>
      <c r="AH135" s="362"/>
      <c r="AI135" s="362"/>
      <c r="AJ135" s="362"/>
    </row>
    <row r="136" spans="1:36" ht="14.5" customHeight="1" x14ac:dyDescent="0.35">
      <c r="A136" s="355"/>
      <c r="B136" s="355"/>
      <c r="C136" s="348"/>
      <c r="D136" s="348"/>
      <c r="E136" s="355"/>
      <c r="F136" s="353"/>
      <c r="G136" s="76" t="s">
        <v>304</v>
      </c>
      <c r="H136" s="64"/>
      <c r="I136" s="139" t="s">
        <v>203</v>
      </c>
      <c r="J136" s="64"/>
      <c r="K136" s="64"/>
      <c r="L136" s="64"/>
      <c r="M136" s="64"/>
      <c r="N136" s="64"/>
      <c r="O136" s="64"/>
      <c r="P136" s="64"/>
      <c r="Q136" s="64"/>
      <c r="R136" s="64"/>
      <c r="S136" s="365"/>
      <c r="T136" s="136" t="str">
        <f t="shared" si="18"/>
        <v/>
      </c>
      <c r="U136" s="355"/>
      <c r="V136" s="358"/>
      <c r="W136" s="355"/>
      <c r="X136" s="355"/>
      <c r="Y136" s="369"/>
      <c r="Z136" s="369"/>
      <c r="AA136" s="355"/>
      <c r="AB136" s="355"/>
      <c r="AC136" s="353"/>
      <c r="AD136" s="355"/>
      <c r="AE136" s="369"/>
      <c r="AF136" s="369"/>
      <c r="AG136" s="355"/>
      <c r="AH136" s="362"/>
      <c r="AI136" s="362"/>
      <c r="AJ136" s="362"/>
    </row>
    <row r="137" spans="1:36" ht="14.5" customHeight="1" x14ac:dyDescent="0.35">
      <c r="A137" s="355"/>
      <c r="B137" s="355"/>
      <c r="C137" s="348"/>
      <c r="D137" s="348"/>
      <c r="E137" s="355"/>
      <c r="F137" s="353"/>
      <c r="G137" s="76" t="s">
        <v>305</v>
      </c>
      <c r="H137" s="64"/>
      <c r="I137" s="139" t="s">
        <v>204</v>
      </c>
      <c r="J137" s="64"/>
      <c r="K137" s="64"/>
      <c r="L137" s="64"/>
      <c r="M137" s="64"/>
      <c r="N137" s="64"/>
      <c r="O137" s="64"/>
      <c r="P137" s="64"/>
      <c r="Q137" s="64"/>
      <c r="R137" s="64"/>
      <c r="S137" s="365"/>
      <c r="T137" s="136" t="str">
        <f t="shared" si="18"/>
        <v/>
      </c>
      <c r="U137" s="355"/>
      <c r="V137" s="358"/>
      <c r="W137" s="355"/>
      <c r="X137" s="355"/>
      <c r="Y137" s="369"/>
      <c r="Z137" s="369"/>
      <c r="AA137" s="355"/>
      <c r="AB137" s="355"/>
      <c r="AC137" s="353"/>
      <c r="AD137" s="355"/>
      <c r="AE137" s="369"/>
      <c r="AF137" s="369"/>
      <c r="AG137" s="355"/>
      <c r="AH137" s="362"/>
      <c r="AI137" s="362"/>
      <c r="AJ137" s="362"/>
    </row>
    <row r="138" spans="1:36" ht="14.5" customHeight="1" x14ac:dyDescent="0.35">
      <c r="A138" s="355"/>
      <c r="B138" s="355"/>
      <c r="C138" s="349"/>
      <c r="D138" s="349"/>
      <c r="E138" s="355"/>
      <c r="F138" s="353"/>
      <c r="G138" s="76" t="s">
        <v>306</v>
      </c>
      <c r="H138" s="64"/>
      <c r="I138" s="139" t="s">
        <v>205</v>
      </c>
      <c r="J138" s="64"/>
      <c r="K138" s="64"/>
      <c r="L138" s="64"/>
      <c r="M138" s="64"/>
      <c r="N138" s="64"/>
      <c r="O138" s="64"/>
      <c r="P138" s="64"/>
      <c r="Q138" s="64"/>
      <c r="R138" s="64"/>
      <c r="S138" s="366"/>
      <c r="T138" s="136" t="str">
        <f t="shared" si="18"/>
        <v/>
      </c>
      <c r="U138" s="355"/>
      <c r="V138" s="358"/>
      <c r="W138" s="355"/>
      <c r="X138" s="355"/>
      <c r="Y138" s="369"/>
      <c r="Z138" s="369"/>
      <c r="AA138" s="355"/>
      <c r="AB138" s="355"/>
      <c r="AC138" s="353"/>
      <c r="AD138" s="355"/>
      <c r="AE138" s="369"/>
      <c r="AF138" s="369"/>
      <c r="AG138" s="355"/>
      <c r="AH138" s="362"/>
      <c r="AI138" s="362"/>
      <c r="AJ138" s="362"/>
    </row>
    <row r="139" spans="1:36" ht="14.5" customHeight="1" x14ac:dyDescent="0.35">
      <c r="A139" s="359">
        <v>20</v>
      </c>
      <c r="B139" s="371" t="str">
        <f>IF($E139="","","BIA-"&amp;TEXT(20,"000"))</f>
        <v/>
      </c>
      <c r="C139" s="347" t="str">
        <f>IFERROR(INDEX(BusinessUnits1,MATCH(A139,'04. Products &amp; Services'!$N$6:$N$50,0)),"")</f>
        <v/>
      </c>
      <c r="D139" s="347" t="str">
        <f>IFERROR(INDEX(DivisionSites,MATCH(A139,'04. Products &amp; Services'!$N$6:$N$50,0)),"")</f>
        <v/>
      </c>
      <c r="E139" s="360" t="str">
        <f>IFERROR(INDEX(ScopeNames,MATCH(A139,'04. Products &amp; Services'!$N$6:$N$50,0)),"")</f>
        <v/>
      </c>
      <c r="F139" s="372" t="str">
        <f>_xlfn.XLOOKUP(E139,'04. Products &amp; Services'!$E$5:$E$50,'04. Products &amp; Services'!$B$5:$B$50,"")</f>
        <v/>
      </c>
      <c r="G139" s="76" t="s">
        <v>300</v>
      </c>
      <c r="H139" s="64"/>
      <c r="I139" s="139" t="s">
        <v>197</v>
      </c>
      <c r="J139" s="64"/>
      <c r="K139" s="64"/>
      <c r="L139" s="64"/>
      <c r="M139" s="64"/>
      <c r="N139" s="64"/>
      <c r="O139" s="64"/>
      <c r="P139" s="64"/>
      <c r="Q139" s="64"/>
      <c r="R139" s="64"/>
      <c r="S139" s="364" t="str">
        <f>IF(COUNT(J139:R145)=0,"",MAX(J139:R145))</f>
        <v/>
      </c>
      <c r="T139" s="136" t="str">
        <f t="shared" ref="T139:T145" si="19">IF($S$139="","",IF(COUNT(J139:R139)=0,"",IF(MAX(J139:R139)&gt;3,$I139,"")))</f>
        <v/>
      </c>
      <c r="U139" s="356" t="str" cm="1">
        <f t="array" ref="U139">IF($E139="","",_xlfn.LET(_xlpm.matches,_xlfn._xlws.FILTER('04. Products &amp; Services'!$J$6:$J$50,'04. Products &amp; Services'!$E$6:$E$50=$E139,""),_xlpm.n,COUNTIF($E$6:$E139,$E139),_xlpm.v,IFERROR(INDEX(_xlpm.matches,_xlpm.n),""),IF(OR(_xlpm.v="",_xlpm.v=0),"",_xlpm.v)))</f>
        <v/>
      </c>
      <c r="V139" s="357"/>
      <c r="W139" s="354" t="str">
        <f>IF($E139="","",IF(OR($U139="Yes",$V139="Yes"),"Yes",IF(AND($U139="No",$V139="No"),"No",IF(AND($U139="Under Evaluation",$V139="No"),"Under Evaluation",""))))</f>
        <v/>
      </c>
      <c r="X139" s="377" t="str">
        <f>IF($E139="","",IFERROR(_xlfn.LET(_xlpm.v,INDEX('04. Products &amp; Services'!$K$6:$K$50,MATCH($E139,ScopeNames,0)),IF(_xlpm.v="","",_xlpm.v)),""))</f>
        <v/>
      </c>
      <c r="Y139" s="376"/>
      <c r="Z139" s="376"/>
      <c r="AA139" s="354" t="str">
        <f>IF($E139="","",IF(COUNT(J139:R145)=0,"",IF(MAX(J139:J145)&gt;=4,6,IF(MAX(K139:K145)&gt;=4,18,IF(MAX(L139:L145)&gt;=4,36,IF(MAX(M139:M145)&gt;=4,72,IF(MAX(N139:N145)&gt;=4,168,IF(MAX(O139:O145)&gt;=4,336,IF(MAX(P139:P145)&gt;=4,504,IF(MAX(Q139:Q145)&gt;=4,672,IF(MAX(R139:R145)&gt;=4,"","")))))))))))</f>
        <v/>
      </c>
      <c r="AB139" s="354" t="str">
        <f>IF($F139="","",IFERROR(VLOOKUP($F139,'04. Products &amp; Services'!$B$5:$M$50,12,0),""))</f>
        <v/>
      </c>
      <c r="AC139" s="352"/>
      <c r="AD139" s="367" t="str" cm="1">
        <f t="array" ref="AD139">IF(ISBLANK(AC139),"",_xlfn.LET(
_xlpm.Num,--_xlfn.TEXTBEFORE(AC139," "),
_xlpm.Unit,LOWER(_xlfn.TEXTAFTER(AC139," ")),
_xlfn.SWITCH(_xlpm.Unit,
"hour",_xlpm.Num,
"hours",_xlpm.Num,
"day",_xlpm.Num*24,
"days",_xlpm.Num*24,
"week",_xlpm.Num*24*7,
"weeks",_xlpm.Num*24*7,
"month",_xlpm.Num*24*(365.25/12),
"months",_xlpm.Num*24*(365.25/12),
"")
))</f>
        <v/>
      </c>
      <c r="AE139" s="368"/>
      <c r="AF139" s="370"/>
      <c r="AG139" s="363" t="str">
        <f>IF($AF139="","",DATE(YEAR($AF139)+1,MONTH($AF139),DAY($AF139)))</f>
        <v/>
      </c>
      <c r="AH139" s="361" t="str" cm="1">
        <f t="array" ref="AH139">IF($B139="","",_xlfn.LET(_xlpm.ids,'15. BCM Risk Register'!$A$6:$A$65,_xlpm.links,'15. BCM Risk Register'!$I$6:$I$65,_xlpm.hit,ISNUMBER(SEARCH(","&amp;$B139&amp;",",","&amp;SUBSTITUTE(_xlpm.links," ","")&amp;",")),IFERROR(_xlfn.TEXTJOIN(", ",TRUE,_xlfn.UNIQUE(_xlfn._xlws.FILTER(_xlpm.ids,_xlpm.hit*(_xlpm.ids&lt;&gt;"")))),"Not Created")))</f>
        <v/>
      </c>
      <c r="AI139" s="361" t="str" cm="1">
        <f t="array" ref="AI139">IF($B139="","",_xlfn.LET(_xlpm.ids,'15. BCM Risk Register'!$L$6:$L$65,_xlpm.links,'15. BCM Risk Register'!$I$6:$I$65,_xlpm.hit,ISNUMBER(SEARCH(","&amp;$B139&amp;",",","&amp;SUBSTITUTE(_xlpm.links," ","")&amp;",")),IFERROR(_xlfn.TEXTJOIN(", ",TRUE,_xlfn.UNIQUE(_xlfn._xlws.FILTER(_xlpm.ids,_xlpm.hit*(_xlpm.ids&lt;&gt;"")*(_xlpm.ids&lt;&gt;"Not Created")))),"Not Created")))</f>
        <v/>
      </c>
      <c r="AJ139" s="361" t="str" cm="1">
        <f t="array" ref="AJ139">IF($B139="","",_xlfn.LET(_xlpm.ids,'15. BCM Risk Register'!$K$6:$K$65,_xlpm.links,'15. BCM Risk Register'!$I$6:$I$65,_xlpm.hit,ISNUMBER(SEARCH(","&amp;$B139&amp;",",","&amp;SUBSTITUTE(_xlpm.links," ","")&amp;",")),IFERROR(_xlfn.TEXTJOIN(", ",TRUE,_xlfn.UNIQUE(_xlfn._xlws.FILTER(_xlpm.ids,_xlpm.hit*(_xlpm.ids&lt;&gt;"")*(_xlpm.ids&lt;&gt;"Not Created")))),"Not Created")))</f>
        <v/>
      </c>
    </row>
    <row r="140" spans="1:36" ht="14.5" customHeight="1" x14ac:dyDescent="0.35">
      <c r="A140" s="355"/>
      <c r="B140" s="355"/>
      <c r="C140" s="348"/>
      <c r="D140" s="348"/>
      <c r="E140" s="355"/>
      <c r="F140" s="353"/>
      <c r="G140" s="76" t="s">
        <v>301</v>
      </c>
      <c r="H140" s="64"/>
      <c r="I140" s="139" t="s">
        <v>199</v>
      </c>
      <c r="J140" s="64"/>
      <c r="K140" s="64"/>
      <c r="L140" s="64"/>
      <c r="M140" s="64"/>
      <c r="N140" s="64"/>
      <c r="O140" s="64"/>
      <c r="P140" s="64"/>
      <c r="Q140" s="64"/>
      <c r="R140" s="64"/>
      <c r="S140" s="365"/>
      <c r="T140" s="136" t="str">
        <f t="shared" si="19"/>
        <v/>
      </c>
      <c r="U140" s="355"/>
      <c r="V140" s="358"/>
      <c r="W140" s="355"/>
      <c r="X140" s="355"/>
      <c r="Y140" s="369"/>
      <c r="Z140" s="369"/>
      <c r="AA140" s="355"/>
      <c r="AB140" s="355"/>
      <c r="AC140" s="353"/>
      <c r="AD140" s="355"/>
      <c r="AE140" s="369"/>
      <c r="AF140" s="369"/>
      <c r="AG140" s="355"/>
      <c r="AH140" s="362"/>
      <c r="AI140" s="362"/>
      <c r="AJ140" s="362"/>
    </row>
    <row r="141" spans="1:36" ht="14.5" customHeight="1" x14ac:dyDescent="0.35">
      <c r="A141" s="355"/>
      <c r="B141" s="355"/>
      <c r="C141" s="348"/>
      <c r="D141" s="348"/>
      <c r="E141" s="355"/>
      <c r="F141" s="353"/>
      <c r="G141" s="76" t="s">
        <v>302</v>
      </c>
      <c r="H141" s="64"/>
      <c r="I141" s="139" t="s">
        <v>200</v>
      </c>
      <c r="J141" s="64"/>
      <c r="K141" s="64"/>
      <c r="L141" s="64"/>
      <c r="M141" s="64"/>
      <c r="N141" s="64"/>
      <c r="O141" s="64"/>
      <c r="P141" s="64"/>
      <c r="Q141" s="64"/>
      <c r="R141" s="64"/>
      <c r="S141" s="365"/>
      <c r="T141" s="136" t="str">
        <f t="shared" si="19"/>
        <v/>
      </c>
      <c r="U141" s="355"/>
      <c r="V141" s="358"/>
      <c r="W141" s="355"/>
      <c r="X141" s="355"/>
      <c r="Y141" s="369"/>
      <c r="Z141" s="369"/>
      <c r="AA141" s="355"/>
      <c r="AB141" s="355"/>
      <c r="AC141" s="353"/>
      <c r="AD141" s="355"/>
      <c r="AE141" s="369"/>
      <c r="AF141" s="369"/>
      <c r="AG141" s="355"/>
      <c r="AH141" s="362"/>
      <c r="AI141" s="362"/>
      <c r="AJ141" s="362"/>
    </row>
    <row r="142" spans="1:36" ht="14.5" customHeight="1" x14ac:dyDescent="0.35">
      <c r="A142" s="355"/>
      <c r="B142" s="355"/>
      <c r="C142" s="348"/>
      <c r="D142" s="348"/>
      <c r="E142" s="355"/>
      <c r="F142" s="353"/>
      <c r="G142" s="76" t="s">
        <v>303</v>
      </c>
      <c r="H142" s="64"/>
      <c r="I142" s="139" t="s">
        <v>202</v>
      </c>
      <c r="J142" s="64"/>
      <c r="K142" s="64"/>
      <c r="L142" s="64"/>
      <c r="M142" s="64"/>
      <c r="N142" s="64"/>
      <c r="O142" s="64"/>
      <c r="P142" s="64"/>
      <c r="Q142" s="64"/>
      <c r="R142" s="64"/>
      <c r="S142" s="365"/>
      <c r="T142" s="136" t="str">
        <f t="shared" si="19"/>
        <v/>
      </c>
      <c r="U142" s="355"/>
      <c r="V142" s="358"/>
      <c r="W142" s="355"/>
      <c r="X142" s="355"/>
      <c r="Y142" s="369"/>
      <c r="Z142" s="369"/>
      <c r="AA142" s="355"/>
      <c r="AB142" s="355"/>
      <c r="AC142" s="353"/>
      <c r="AD142" s="355"/>
      <c r="AE142" s="369"/>
      <c r="AF142" s="369"/>
      <c r="AG142" s="355"/>
      <c r="AH142" s="362"/>
      <c r="AI142" s="362"/>
      <c r="AJ142" s="362"/>
    </row>
    <row r="143" spans="1:36" ht="14.5" customHeight="1" x14ac:dyDescent="0.35">
      <c r="A143" s="355"/>
      <c r="B143" s="355"/>
      <c r="C143" s="348"/>
      <c r="D143" s="348"/>
      <c r="E143" s="355"/>
      <c r="F143" s="353"/>
      <c r="G143" s="76" t="s">
        <v>304</v>
      </c>
      <c r="H143" s="64"/>
      <c r="I143" s="139" t="s">
        <v>203</v>
      </c>
      <c r="J143" s="64"/>
      <c r="K143" s="64"/>
      <c r="L143" s="64"/>
      <c r="M143" s="64"/>
      <c r="N143" s="64"/>
      <c r="O143" s="64"/>
      <c r="P143" s="64"/>
      <c r="Q143" s="64"/>
      <c r="R143" s="64"/>
      <c r="S143" s="365"/>
      <c r="T143" s="136" t="str">
        <f t="shared" si="19"/>
        <v/>
      </c>
      <c r="U143" s="355"/>
      <c r="V143" s="358"/>
      <c r="W143" s="355"/>
      <c r="X143" s="355"/>
      <c r="Y143" s="369"/>
      <c r="Z143" s="369"/>
      <c r="AA143" s="355"/>
      <c r="AB143" s="355"/>
      <c r="AC143" s="353"/>
      <c r="AD143" s="355"/>
      <c r="AE143" s="369"/>
      <c r="AF143" s="369"/>
      <c r="AG143" s="355"/>
      <c r="AH143" s="362"/>
      <c r="AI143" s="362"/>
      <c r="AJ143" s="362"/>
    </row>
    <row r="144" spans="1:36" ht="14.5" customHeight="1" x14ac:dyDescent="0.35">
      <c r="A144" s="355"/>
      <c r="B144" s="355"/>
      <c r="C144" s="348"/>
      <c r="D144" s="348"/>
      <c r="E144" s="355"/>
      <c r="F144" s="353"/>
      <c r="G144" s="76" t="s">
        <v>305</v>
      </c>
      <c r="H144" s="64"/>
      <c r="I144" s="139" t="s">
        <v>204</v>
      </c>
      <c r="J144" s="64"/>
      <c r="K144" s="64"/>
      <c r="L144" s="64"/>
      <c r="M144" s="64"/>
      <c r="N144" s="64"/>
      <c r="O144" s="64"/>
      <c r="P144" s="64"/>
      <c r="Q144" s="64"/>
      <c r="R144" s="64"/>
      <c r="S144" s="365"/>
      <c r="T144" s="136" t="str">
        <f t="shared" si="19"/>
        <v/>
      </c>
      <c r="U144" s="355"/>
      <c r="V144" s="358"/>
      <c r="W144" s="355"/>
      <c r="X144" s="355"/>
      <c r="Y144" s="369"/>
      <c r="Z144" s="369"/>
      <c r="AA144" s="355"/>
      <c r="AB144" s="355"/>
      <c r="AC144" s="353"/>
      <c r="AD144" s="355"/>
      <c r="AE144" s="369"/>
      <c r="AF144" s="369"/>
      <c r="AG144" s="355"/>
      <c r="AH144" s="362"/>
      <c r="AI144" s="362"/>
      <c r="AJ144" s="362"/>
    </row>
    <row r="145" spans="1:36" ht="14.5" customHeight="1" x14ac:dyDescent="0.35">
      <c r="A145" s="355"/>
      <c r="B145" s="355"/>
      <c r="C145" s="349"/>
      <c r="D145" s="349"/>
      <c r="E145" s="355"/>
      <c r="F145" s="353"/>
      <c r="G145" s="76" t="s">
        <v>306</v>
      </c>
      <c r="H145" s="64"/>
      <c r="I145" s="139" t="s">
        <v>205</v>
      </c>
      <c r="J145" s="64"/>
      <c r="K145" s="64"/>
      <c r="L145" s="64"/>
      <c r="M145" s="64"/>
      <c r="N145" s="64"/>
      <c r="O145" s="64"/>
      <c r="P145" s="64"/>
      <c r="Q145" s="64"/>
      <c r="R145" s="64"/>
      <c r="S145" s="366"/>
      <c r="T145" s="136" t="str">
        <f t="shared" si="19"/>
        <v/>
      </c>
      <c r="U145" s="355"/>
      <c r="V145" s="358"/>
      <c r="W145" s="355"/>
      <c r="X145" s="355"/>
      <c r="Y145" s="369"/>
      <c r="Z145" s="369"/>
      <c r="AA145" s="355"/>
      <c r="AB145" s="355"/>
      <c r="AC145" s="353"/>
      <c r="AD145" s="355"/>
      <c r="AE145" s="369"/>
      <c r="AF145" s="369"/>
      <c r="AG145" s="355"/>
      <c r="AH145" s="362"/>
      <c r="AI145" s="362"/>
      <c r="AJ145" s="362"/>
    </row>
    <row r="146" spans="1:36" ht="14.5" customHeight="1" x14ac:dyDescent="0.35">
      <c r="A146" s="359">
        <v>21</v>
      </c>
      <c r="B146" s="371" t="str">
        <f>IF($E146="","","BIA-"&amp;TEXT(21,"000"))</f>
        <v/>
      </c>
      <c r="C146" s="347" t="str">
        <f>IFERROR(INDEX(BusinessUnits1,MATCH(A146,'04. Products &amp; Services'!$N$6:$N$50,0)),"")</f>
        <v/>
      </c>
      <c r="D146" s="347" t="str">
        <f>IFERROR(INDEX(DivisionSites,MATCH(A146,'04. Products &amp; Services'!$N$6:$N$50,0)),"")</f>
        <v/>
      </c>
      <c r="E146" s="360" t="str">
        <f>IFERROR(INDEX(ScopeNames,MATCH(A146,'04. Products &amp; Services'!$N$6:$N$50,0)),"")</f>
        <v/>
      </c>
      <c r="F146" s="372" t="str">
        <f>_xlfn.XLOOKUP(E146,'04. Products &amp; Services'!$E$5:$E$50,'04. Products &amp; Services'!$B$5:$B$50,"")</f>
        <v/>
      </c>
      <c r="G146" s="76" t="s">
        <v>300</v>
      </c>
      <c r="H146" s="64"/>
      <c r="I146" s="139" t="s">
        <v>197</v>
      </c>
      <c r="J146" s="64"/>
      <c r="K146" s="64"/>
      <c r="L146" s="64"/>
      <c r="M146" s="64"/>
      <c r="N146" s="64"/>
      <c r="O146" s="64"/>
      <c r="P146" s="64"/>
      <c r="Q146" s="64"/>
      <c r="R146" s="64"/>
      <c r="S146" s="364" t="str">
        <f>IF(COUNT(J146:R152)=0,"",MAX(J146:R152))</f>
        <v/>
      </c>
      <c r="T146" s="136" t="str">
        <f t="shared" ref="T146:T152" si="20">IF($S$146="","",IF(COUNT(J146:R146)=0,"",IF(MAX(J146:R146)&gt;3,$I146,"")))</f>
        <v/>
      </c>
      <c r="U146" s="356" t="str" cm="1">
        <f t="array" ref="U146">IF($E146="","",_xlfn.LET(_xlpm.matches,_xlfn._xlws.FILTER('04. Products &amp; Services'!$J$6:$J$50,'04. Products &amp; Services'!$E$6:$E$50=$E146,""),_xlpm.n,COUNTIF($E$6:$E146,$E146),_xlpm.v,IFERROR(INDEX(_xlpm.matches,_xlpm.n),""),IF(OR(_xlpm.v="",_xlpm.v=0),"",_xlpm.v)))</f>
        <v/>
      </c>
      <c r="V146" s="357"/>
      <c r="W146" s="354" t="str">
        <f>IF($E146="","",IF(OR($U146="Yes",$V146="Yes"),"Yes",IF(AND($U146="No",$V146="No"),"No",IF(AND($U146="Under Evaluation",$V146="No"),"Under Evaluation",""))))</f>
        <v/>
      </c>
      <c r="X146" s="377" t="str">
        <f>IF($E146="","",IFERROR(_xlfn.LET(_xlpm.v,INDEX('04. Products &amp; Services'!$K$6:$K$50,MATCH($E146,ScopeNames,0)),IF(_xlpm.v="","",_xlpm.v)),""))</f>
        <v/>
      </c>
      <c r="Y146" s="376"/>
      <c r="Z146" s="376"/>
      <c r="AA146" s="354" t="str">
        <f>IF($E146="","",IF(COUNT(J146:R152)=0,"",IF(MAX(J146:J152)&gt;=4,6,IF(MAX(K146:K152)&gt;=4,18,IF(MAX(L146:L152)&gt;=4,36,IF(MAX(M146:M152)&gt;=4,72,IF(MAX(N146:N152)&gt;=4,168,IF(MAX(O146:O152)&gt;=4,336,IF(MAX(P146:P152)&gt;=4,504,IF(MAX(Q146:Q152)&gt;=4,672,IF(MAX(R146:R152)&gt;=4,"","")))))))))))</f>
        <v/>
      </c>
      <c r="AB146" s="354" t="str">
        <f>IF($F146="","",IFERROR(VLOOKUP($F146,'04. Products &amp; Services'!$B$5:$M$50,12,0),""))</f>
        <v/>
      </c>
      <c r="AC146" s="352"/>
      <c r="AD146" s="367" t="str" cm="1">
        <f t="array" ref="AD146">IF(ISBLANK(AC146),"",_xlfn.LET(
_xlpm.Num,--_xlfn.TEXTBEFORE(AC146," "),
_xlpm.Unit,LOWER(_xlfn.TEXTAFTER(AC146," ")),
_xlfn.SWITCH(_xlpm.Unit,
"hour",_xlpm.Num,
"hours",_xlpm.Num,
"day",_xlpm.Num*24,
"days",_xlpm.Num*24,
"week",_xlpm.Num*24*7,
"weeks",_xlpm.Num*24*7,
"month",_xlpm.Num*24*(365.25/12),
"months",_xlpm.Num*24*(365.25/12),
"")
))</f>
        <v/>
      </c>
      <c r="AE146" s="368"/>
      <c r="AF146" s="370"/>
      <c r="AG146" s="363" t="str">
        <f>IF($AF146="","",DATE(YEAR($AF146)+1,MONTH($AF146),DAY($AF146)))</f>
        <v/>
      </c>
      <c r="AH146" s="361" t="str" cm="1">
        <f t="array" ref="AH146">IF($B146="","",_xlfn.LET(_xlpm.ids,'15. BCM Risk Register'!$A$6:$A$65,_xlpm.links,'15. BCM Risk Register'!$I$6:$I$65,_xlpm.hit,ISNUMBER(SEARCH(","&amp;$B146&amp;",",","&amp;SUBSTITUTE(_xlpm.links," ","")&amp;",")),IFERROR(_xlfn.TEXTJOIN(", ",TRUE,_xlfn.UNIQUE(_xlfn._xlws.FILTER(_xlpm.ids,_xlpm.hit*(_xlpm.ids&lt;&gt;"")))),"Not Created")))</f>
        <v/>
      </c>
      <c r="AI146" s="361" t="str" cm="1">
        <f t="array" ref="AI146">IF($B146="","",_xlfn.LET(_xlpm.ids,'15. BCM Risk Register'!$L$6:$L$65,_xlpm.links,'15. BCM Risk Register'!$I$6:$I$65,_xlpm.hit,ISNUMBER(SEARCH(","&amp;$B146&amp;",",","&amp;SUBSTITUTE(_xlpm.links," ","")&amp;",")),IFERROR(_xlfn.TEXTJOIN(", ",TRUE,_xlfn.UNIQUE(_xlfn._xlws.FILTER(_xlpm.ids,_xlpm.hit*(_xlpm.ids&lt;&gt;"")*(_xlpm.ids&lt;&gt;"Not Created")))),"Not Created")))</f>
        <v/>
      </c>
      <c r="AJ146" s="361" t="str" cm="1">
        <f t="array" ref="AJ146">IF($B146="","",_xlfn.LET(_xlpm.ids,'15. BCM Risk Register'!$K$6:$K$65,_xlpm.links,'15. BCM Risk Register'!$I$6:$I$65,_xlpm.hit,ISNUMBER(SEARCH(","&amp;$B146&amp;",",","&amp;SUBSTITUTE(_xlpm.links," ","")&amp;",")),IFERROR(_xlfn.TEXTJOIN(", ",TRUE,_xlfn.UNIQUE(_xlfn._xlws.FILTER(_xlpm.ids,_xlpm.hit*(_xlpm.ids&lt;&gt;"")*(_xlpm.ids&lt;&gt;"Not Created")))),"Not Created")))</f>
        <v/>
      </c>
    </row>
    <row r="147" spans="1:36" ht="14.5" customHeight="1" x14ac:dyDescent="0.35">
      <c r="A147" s="355"/>
      <c r="B147" s="355"/>
      <c r="C147" s="348"/>
      <c r="D147" s="348"/>
      <c r="E147" s="355"/>
      <c r="F147" s="353"/>
      <c r="G147" s="76" t="s">
        <v>301</v>
      </c>
      <c r="H147" s="64"/>
      <c r="I147" s="139" t="s">
        <v>199</v>
      </c>
      <c r="J147" s="64"/>
      <c r="K147" s="64"/>
      <c r="L147" s="64"/>
      <c r="M147" s="64"/>
      <c r="N147" s="64"/>
      <c r="O147" s="64"/>
      <c r="P147" s="64"/>
      <c r="Q147" s="64"/>
      <c r="R147" s="64"/>
      <c r="S147" s="365"/>
      <c r="T147" s="136" t="str">
        <f t="shared" si="20"/>
        <v/>
      </c>
      <c r="U147" s="355"/>
      <c r="V147" s="358"/>
      <c r="W147" s="355"/>
      <c r="X147" s="355"/>
      <c r="Y147" s="369"/>
      <c r="Z147" s="369"/>
      <c r="AA147" s="355"/>
      <c r="AB147" s="355"/>
      <c r="AC147" s="353"/>
      <c r="AD147" s="355"/>
      <c r="AE147" s="369"/>
      <c r="AF147" s="369"/>
      <c r="AG147" s="355"/>
      <c r="AH147" s="362"/>
      <c r="AI147" s="362"/>
      <c r="AJ147" s="362"/>
    </row>
    <row r="148" spans="1:36" ht="14.5" customHeight="1" x14ac:dyDescent="0.35">
      <c r="A148" s="355"/>
      <c r="B148" s="355"/>
      <c r="C148" s="348"/>
      <c r="D148" s="348"/>
      <c r="E148" s="355"/>
      <c r="F148" s="353"/>
      <c r="G148" s="76" t="s">
        <v>302</v>
      </c>
      <c r="H148" s="64"/>
      <c r="I148" s="139" t="s">
        <v>200</v>
      </c>
      <c r="J148" s="64"/>
      <c r="K148" s="64"/>
      <c r="L148" s="64"/>
      <c r="M148" s="64"/>
      <c r="N148" s="64"/>
      <c r="O148" s="64"/>
      <c r="P148" s="64"/>
      <c r="Q148" s="64"/>
      <c r="R148" s="64"/>
      <c r="S148" s="365"/>
      <c r="T148" s="136" t="str">
        <f t="shared" si="20"/>
        <v/>
      </c>
      <c r="U148" s="355"/>
      <c r="V148" s="358"/>
      <c r="W148" s="355"/>
      <c r="X148" s="355"/>
      <c r="Y148" s="369"/>
      <c r="Z148" s="369"/>
      <c r="AA148" s="355"/>
      <c r="AB148" s="355"/>
      <c r="AC148" s="353"/>
      <c r="AD148" s="355"/>
      <c r="AE148" s="369"/>
      <c r="AF148" s="369"/>
      <c r="AG148" s="355"/>
      <c r="AH148" s="362"/>
      <c r="AI148" s="362"/>
      <c r="AJ148" s="362"/>
    </row>
    <row r="149" spans="1:36" ht="14.5" customHeight="1" x14ac:dyDescent="0.35">
      <c r="A149" s="355"/>
      <c r="B149" s="355"/>
      <c r="C149" s="348"/>
      <c r="D149" s="348"/>
      <c r="E149" s="355"/>
      <c r="F149" s="353"/>
      <c r="G149" s="76" t="s">
        <v>303</v>
      </c>
      <c r="H149" s="64"/>
      <c r="I149" s="139" t="s">
        <v>202</v>
      </c>
      <c r="J149" s="64"/>
      <c r="K149" s="64"/>
      <c r="L149" s="64"/>
      <c r="M149" s="64"/>
      <c r="N149" s="64"/>
      <c r="O149" s="64"/>
      <c r="P149" s="64"/>
      <c r="Q149" s="64"/>
      <c r="R149" s="64"/>
      <c r="S149" s="365"/>
      <c r="T149" s="136" t="str">
        <f t="shared" si="20"/>
        <v/>
      </c>
      <c r="U149" s="355"/>
      <c r="V149" s="358"/>
      <c r="W149" s="355"/>
      <c r="X149" s="355"/>
      <c r="Y149" s="369"/>
      <c r="Z149" s="369"/>
      <c r="AA149" s="355"/>
      <c r="AB149" s="355"/>
      <c r="AC149" s="353"/>
      <c r="AD149" s="355"/>
      <c r="AE149" s="369"/>
      <c r="AF149" s="369"/>
      <c r="AG149" s="355"/>
      <c r="AH149" s="362"/>
      <c r="AI149" s="362"/>
      <c r="AJ149" s="362"/>
    </row>
    <row r="150" spans="1:36" ht="14.5" customHeight="1" x14ac:dyDescent="0.35">
      <c r="A150" s="355"/>
      <c r="B150" s="355"/>
      <c r="C150" s="348"/>
      <c r="D150" s="348"/>
      <c r="E150" s="355"/>
      <c r="F150" s="353"/>
      <c r="G150" s="76" t="s">
        <v>304</v>
      </c>
      <c r="H150" s="64"/>
      <c r="I150" s="139" t="s">
        <v>203</v>
      </c>
      <c r="J150" s="64"/>
      <c r="K150" s="64"/>
      <c r="L150" s="64"/>
      <c r="M150" s="64"/>
      <c r="N150" s="64"/>
      <c r="O150" s="64"/>
      <c r="P150" s="64"/>
      <c r="Q150" s="64"/>
      <c r="R150" s="64"/>
      <c r="S150" s="365"/>
      <c r="T150" s="136" t="str">
        <f t="shared" si="20"/>
        <v/>
      </c>
      <c r="U150" s="355"/>
      <c r="V150" s="358"/>
      <c r="W150" s="355"/>
      <c r="X150" s="355"/>
      <c r="Y150" s="369"/>
      <c r="Z150" s="369"/>
      <c r="AA150" s="355"/>
      <c r="AB150" s="355"/>
      <c r="AC150" s="353"/>
      <c r="AD150" s="355"/>
      <c r="AE150" s="369"/>
      <c r="AF150" s="369"/>
      <c r="AG150" s="355"/>
      <c r="AH150" s="362"/>
      <c r="AI150" s="362"/>
      <c r="AJ150" s="362"/>
    </row>
    <row r="151" spans="1:36" ht="14.5" customHeight="1" x14ac:dyDescent="0.35">
      <c r="A151" s="355"/>
      <c r="B151" s="355"/>
      <c r="C151" s="348"/>
      <c r="D151" s="348"/>
      <c r="E151" s="355"/>
      <c r="F151" s="353"/>
      <c r="G151" s="76" t="s">
        <v>305</v>
      </c>
      <c r="H151" s="64"/>
      <c r="I151" s="139" t="s">
        <v>204</v>
      </c>
      <c r="J151" s="64"/>
      <c r="K151" s="64"/>
      <c r="L151" s="64"/>
      <c r="M151" s="64"/>
      <c r="N151" s="64"/>
      <c r="O151" s="64"/>
      <c r="P151" s="64"/>
      <c r="Q151" s="64"/>
      <c r="R151" s="64"/>
      <c r="S151" s="365"/>
      <c r="T151" s="136" t="str">
        <f t="shared" si="20"/>
        <v/>
      </c>
      <c r="U151" s="355"/>
      <c r="V151" s="358"/>
      <c r="W151" s="355"/>
      <c r="X151" s="355"/>
      <c r="Y151" s="369"/>
      <c r="Z151" s="369"/>
      <c r="AA151" s="355"/>
      <c r="AB151" s="355"/>
      <c r="AC151" s="353"/>
      <c r="AD151" s="355"/>
      <c r="AE151" s="369"/>
      <c r="AF151" s="369"/>
      <c r="AG151" s="355"/>
      <c r="AH151" s="362"/>
      <c r="AI151" s="362"/>
      <c r="AJ151" s="362"/>
    </row>
    <row r="152" spans="1:36" ht="14.5" customHeight="1" x14ac:dyDescent="0.35">
      <c r="A152" s="355"/>
      <c r="B152" s="355"/>
      <c r="C152" s="349"/>
      <c r="D152" s="349"/>
      <c r="E152" s="355"/>
      <c r="F152" s="353"/>
      <c r="G152" s="76" t="s">
        <v>306</v>
      </c>
      <c r="H152" s="64"/>
      <c r="I152" s="139" t="s">
        <v>205</v>
      </c>
      <c r="J152" s="64"/>
      <c r="K152" s="64"/>
      <c r="L152" s="64"/>
      <c r="M152" s="64"/>
      <c r="N152" s="64"/>
      <c r="O152" s="64"/>
      <c r="P152" s="64"/>
      <c r="Q152" s="64"/>
      <c r="R152" s="64"/>
      <c r="S152" s="366"/>
      <c r="T152" s="136" t="str">
        <f t="shared" si="20"/>
        <v/>
      </c>
      <c r="U152" s="355"/>
      <c r="V152" s="358"/>
      <c r="W152" s="355"/>
      <c r="X152" s="355"/>
      <c r="Y152" s="369"/>
      <c r="Z152" s="369"/>
      <c r="AA152" s="355"/>
      <c r="AB152" s="355"/>
      <c r="AC152" s="353"/>
      <c r="AD152" s="355"/>
      <c r="AE152" s="369"/>
      <c r="AF152" s="369"/>
      <c r="AG152" s="355"/>
      <c r="AH152" s="362"/>
      <c r="AI152" s="362"/>
      <c r="AJ152" s="362"/>
    </row>
    <row r="153" spans="1:36" ht="14.5" customHeight="1" x14ac:dyDescent="0.35">
      <c r="A153" s="359">
        <v>22</v>
      </c>
      <c r="B153" s="371" t="str">
        <f>IF($E153="","","BIA-"&amp;TEXT(22,"000"))</f>
        <v/>
      </c>
      <c r="C153" s="347" t="str">
        <f>IFERROR(INDEX(BusinessUnits1,MATCH(A153,'04. Products &amp; Services'!$N$6:$N$50,0)),"")</f>
        <v/>
      </c>
      <c r="D153" s="347" t="str">
        <f>IFERROR(INDEX(DivisionSites,MATCH(A153,'04. Products &amp; Services'!$N$6:$N$50,0)),"")</f>
        <v/>
      </c>
      <c r="E153" s="360" t="str">
        <f>IFERROR(INDEX(ScopeNames,MATCH(A153,'04. Products &amp; Services'!$N$6:$N$50,0)),"")</f>
        <v/>
      </c>
      <c r="F153" s="372" t="str">
        <f>_xlfn.XLOOKUP(E153,'04. Products &amp; Services'!$E$5:$E$50,'04. Products &amp; Services'!$B$5:$B$50,"")</f>
        <v/>
      </c>
      <c r="G153" s="76" t="s">
        <v>300</v>
      </c>
      <c r="H153" s="64"/>
      <c r="I153" s="139" t="s">
        <v>197</v>
      </c>
      <c r="J153" s="64"/>
      <c r="K153" s="64"/>
      <c r="L153" s="64"/>
      <c r="M153" s="64"/>
      <c r="N153" s="64"/>
      <c r="O153" s="64"/>
      <c r="P153" s="64"/>
      <c r="Q153" s="64"/>
      <c r="R153" s="64"/>
      <c r="S153" s="364" t="str">
        <f>IF(COUNT(J153:R159)=0,"",MAX(J153:R159))</f>
        <v/>
      </c>
      <c r="T153" s="136" t="str">
        <f t="shared" ref="T153:T159" si="21">IF($S$153="","",IF(COUNT(J153:R153)=0,"",IF(MAX(J153:R153)&gt;3,$I153,"")))</f>
        <v/>
      </c>
      <c r="U153" s="356" t="str" cm="1">
        <f t="array" ref="U153">IF($E153="","",_xlfn.LET(_xlpm.matches,_xlfn._xlws.FILTER('04. Products &amp; Services'!$J$6:$J$50,'04. Products &amp; Services'!$E$6:$E$50=$E153,""),_xlpm.n,COUNTIF($E$6:$E153,$E153),_xlpm.v,IFERROR(INDEX(_xlpm.matches,_xlpm.n),""),IF(OR(_xlpm.v="",_xlpm.v=0),"",_xlpm.v)))</f>
        <v/>
      </c>
      <c r="V153" s="357"/>
      <c r="W153" s="354" t="str">
        <f>IF($E153="","",IF(OR($U153="Yes",$V153="Yes"),"Yes",IF(AND($U153="No",$V153="No"),"No",IF(AND($U153="Under Evaluation",$V153="No"),"Under Evaluation",""))))</f>
        <v/>
      </c>
      <c r="X153" s="377" t="str">
        <f>IF($E153="","",IFERROR(_xlfn.LET(_xlpm.v,INDEX('04. Products &amp; Services'!$K$6:$K$50,MATCH($E153,ScopeNames,0)),IF(_xlpm.v="","",_xlpm.v)),""))</f>
        <v/>
      </c>
      <c r="Y153" s="376"/>
      <c r="Z153" s="376"/>
      <c r="AA153" s="354" t="str">
        <f>IF($E153="","",IF(COUNT(J153:R159)=0,"",IF(MAX(J153:J159)&gt;=4,6,IF(MAX(K153:K159)&gt;=4,18,IF(MAX(L153:L159)&gt;=4,36,IF(MAX(M153:M159)&gt;=4,72,IF(MAX(N153:N159)&gt;=4,168,IF(MAX(O153:O159)&gt;=4,336,IF(MAX(P153:P159)&gt;=4,504,IF(MAX(Q153:Q159)&gt;=4,672,IF(MAX(R153:R159)&gt;=4,"","")))))))))))</f>
        <v/>
      </c>
      <c r="AB153" s="354" t="str">
        <f>IF($F153="","",IFERROR(VLOOKUP($F153,'04. Products &amp; Services'!$B$5:$M$50,12,0),""))</f>
        <v/>
      </c>
      <c r="AC153" s="352"/>
      <c r="AD153" s="367" t="str" cm="1">
        <f t="array" ref="AD153">IF(ISBLANK(AC153),"",_xlfn.LET(
_xlpm.Num,--_xlfn.TEXTBEFORE(AC153," "),
_xlpm.Unit,LOWER(_xlfn.TEXTAFTER(AC153," ")),
_xlfn.SWITCH(_xlpm.Unit,
"hour",_xlpm.Num,
"hours",_xlpm.Num,
"day",_xlpm.Num*24,
"days",_xlpm.Num*24,
"week",_xlpm.Num*24*7,
"weeks",_xlpm.Num*24*7,
"month",_xlpm.Num*24*(365.25/12),
"months",_xlpm.Num*24*(365.25/12),
"")
))</f>
        <v/>
      </c>
      <c r="AE153" s="368"/>
      <c r="AF153" s="370"/>
      <c r="AG153" s="363" t="str">
        <f>IF($AF153="","",DATE(YEAR($AF153)+1,MONTH($AF153),DAY($AF153)))</f>
        <v/>
      </c>
      <c r="AH153" s="361" t="str" cm="1">
        <f t="array" ref="AH153">IF($B153="","",_xlfn.LET(_xlpm.ids,'15. BCM Risk Register'!$A$6:$A$65,_xlpm.links,'15. BCM Risk Register'!$I$6:$I$65,_xlpm.hit,ISNUMBER(SEARCH(","&amp;$B153&amp;",",","&amp;SUBSTITUTE(_xlpm.links," ","")&amp;",")),IFERROR(_xlfn.TEXTJOIN(", ",TRUE,_xlfn.UNIQUE(_xlfn._xlws.FILTER(_xlpm.ids,_xlpm.hit*(_xlpm.ids&lt;&gt;"")))),"Not Created")))</f>
        <v/>
      </c>
      <c r="AI153" s="361" t="str" cm="1">
        <f t="array" ref="AI153">IF($B153="","",_xlfn.LET(_xlpm.ids,'15. BCM Risk Register'!$L$6:$L$65,_xlpm.links,'15. BCM Risk Register'!$I$6:$I$65,_xlpm.hit,ISNUMBER(SEARCH(","&amp;$B153&amp;",",","&amp;SUBSTITUTE(_xlpm.links," ","")&amp;",")),IFERROR(_xlfn.TEXTJOIN(", ",TRUE,_xlfn.UNIQUE(_xlfn._xlws.FILTER(_xlpm.ids,_xlpm.hit*(_xlpm.ids&lt;&gt;"")*(_xlpm.ids&lt;&gt;"Not Created")))),"Not Created")))</f>
        <v/>
      </c>
      <c r="AJ153" s="361" t="str" cm="1">
        <f t="array" ref="AJ153">IF($B153="","",_xlfn.LET(_xlpm.ids,'15. BCM Risk Register'!$K$6:$K$65,_xlpm.links,'15. BCM Risk Register'!$I$6:$I$65,_xlpm.hit,ISNUMBER(SEARCH(","&amp;$B153&amp;",",","&amp;SUBSTITUTE(_xlpm.links," ","")&amp;",")),IFERROR(_xlfn.TEXTJOIN(", ",TRUE,_xlfn.UNIQUE(_xlfn._xlws.FILTER(_xlpm.ids,_xlpm.hit*(_xlpm.ids&lt;&gt;"")*(_xlpm.ids&lt;&gt;"Not Created")))),"Not Created")))</f>
        <v/>
      </c>
    </row>
    <row r="154" spans="1:36" ht="14.5" customHeight="1" x14ac:dyDescent="0.35">
      <c r="A154" s="355"/>
      <c r="B154" s="355"/>
      <c r="C154" s="348"/>
      <c r="D154" s="348"/>
      <c r="E154" s="355"/>
      <c r="F154" s="353"/>
      <c r="G154" s="76" t="s">
        <v>301</v>
      </c>
      <c r="H154" s="64"/>
      <c r="I154" s="139" t="s">
        <v>199</v>
      </c>
      <c r="J154" s="64"/>
      <c r="K154" s="64"/>
      <c r="L154" s="64"/>
      <c r="M154" s="64"/>
      <c r="N154" s="64"/>
      <c r="O154" s="64"/>
      <c r="P154" s="64"/>
      <c r="Q154" s="64"/>
      <c r="R154" s="64"/>
      <c r="S154" s="365"/>
      <c r="T154" s="136" t="str">
        <f t="shared" si="21"/>
        <v/>
      </c>
      <c r="U154" s="355"/>
      <c r="V154" s="358"/>
      <c r="W154" s="355"/>
      <c r="X154" s="355"/>
      <c r="Y154" s="369"/>
      <c r="Z154" s="369"/>
      <c r="AA154" s="355"/>
      <c r="AB154" s="355"/>
      <c r="AC154" s="353"/>
      <c r="AD154" s="355"/>
      <c r="AE154" s="369"/>
      <c r="AF154" s="369"/>
      <c r="AG154" s="355"/>
      <c r="AH154" s="362"/>
      <c r="AI154" s="362"/>
      <c r="AJ154" s="362"/>
    </row>
    <row r="155" spans="1:36" ht="14.5" customHeight="1" x14ac:dyDescent="0.35">
      <c r="A155" s="355"/>
      <c r="B155" s="355"/>
      <c r="C155" s="348"/>
      <c r="D155" s="348"/>
      <c r="E155" s="355"/>
      <c r="F155" s="353"/>
      <c r="G155" s="76" t="s">
        <v>302</v>
      </c>
      <c r="H155" s="64"/>
      <c r="I155" s="139" t="s">
        <v>200</v>
      </c>
      <c r="J155" s="64"/>
      <c r="K155" s="64"/>
      <c r="L155" s="64"/>
      <c r="M155" s="64"/>
      <c r="N155" s="64"/>
      <c r="O155" s="64"/>
      <c r="P155" s="64"/>
      <c r="Q155" s="64"/>
      <c r="R155" s="64"/>
      <c r="S155" s="365"/>
      <c r="T155" s="136" t="str">
        <f t="shared" si="21"/>
        <v/>
      </c>
      <c r="U155" s="355"/>
      <c r="V155" s="358"/>
      <c r="W155" s="355"/>
      <c r="X155" s="355"/>
      <c r="Y155" s="369"/>
      <c r="Z155" s="369"/>
      <c r="AA155" s="355"/>
      <c r="AB155" s="355"/>
      <c r="AC155" s="353"/>
      <c r="AD155" s="355"/>
      <c r="AE155" s="369"/>
      <c r="AF155" s="369"/>
      <c r="AG155" s="355"/>
      <c r="AH155" s="362"/>
      <c r="AI155" s="362"/>
      <c r="AJ155" s="362"/>
    </row>
    <row r="156" spans="1:36" ht="14.5" customHeight="1" x14ac:dyDescent="0.35">
      <c r="A156" s="355"/>
      <c r="B156" s="355"/>
      <c r="C156" s="348"/>
      <c r="D156" s="348"/>
      <c r="E156" s="355"/>
      <c r="F156" s="353"/>
      <c r="G156" s="76" t="s">
        <v>303</v>
      </c>
      <c r="H156" s="64"/>
      <c r="I156" s="139" t="s">
        <v>202</v>
      </c>
      <c r="J156" s="64"/>
      <c r="K156" s="64"/>
      <c r="L156" s="64"/>
      <c r="M156" s="64"/>
      <c r="N156" s="64"/>
      <c r="O156" s="64"/>
      <c r="P156" s="64"/>
      <c r="Q156" s="64"/>
      <c r="R156" s="64"/>
      <c r="S156" s="365"/>
      <c r="T156" s="136" t="str">
        <f t="shared" si="21"/>
        <v/>
      </c>
      <c r="U156" s="355"/>
      <c r="V156" s="358"/>
      <c r="W156" s="355"/>
      <c r="X156" s="355"/>
      <c r="Y156" s="369"/>
      <c r="Z156" s="369"/>
      <c r="AA156" s="355"/>
      <c r="AB156" s="355"/>
      <c r="AC156" s="353"/>
      <c r="AD156" s="355"/>
      <c r="AE156" s="369"/>
      <c r="AF156" s="369"/>
      <c r="AG156" s="355"/>
      <c r="AH156" s="362"/>
      <c r="AI156" s="362"/>
      <c r="AJ156" s="362"/>
    </row>
    <row r="157" spans="1:36" ht="14.5" customHeight="1" x14ac:dyDescent="0.35">
      <c r="A157" s="355"/>
      <c r="B157" s="355"/>
      <c r="C157" s="348"/>
      <c r="D157" s="348"/>
      <c r="E157" s="355"/>
      <c r="F157" s="353"/>
      <c r="G157" s="76" t="s">
        <v>304</v>
      </c>
      <c r="H157" s="64"/>
      <c r="I157" s="139" t="s">
        <v>203</v>
      </c>
      <c r="J157" s="64"/>
      <c r="K157" s="64"/>
      <c r="L157" s="64"/>
      <c r="M157" s="64"/>
      <c r="N157" s="64"/>
      <c r="O157" s="64"/>
      <c r="P157" s="64"/>
      <c r="Q157" s="64"/>
      <c r="R157" s="64"/>
      <c r="S157" s="365"/>
      <c r="T157" s="136" t="str">
        <f t="shared" si="21"/>
        <v/>
      </c>
      <c r="U157" s="355"/>
      <c r="V157" s="358"/>
      <c r="W157" s="355"/>
      <c r="X157" s="355"/>
      <c r="Y157" s="369"/>
      <c r="Z157" s="369"/>
      <c r="AA157" s="355"/>
      <c r="AB157" s="355"/>
      <c r="AC157" s="353"/>
      <c r="AD157" s="355"/>
      <c r="AE157" s="369"/>
      <c r="AF157" s="369"/>
      <c r="AG157" s="355"/>
      <c r="AH157" s="362"/>
      <c r="AI157" s="362"/>
      <c r="AJ157" s="362"/>
    </row>
    <row r="158" spans="1:36" ht="14.5" customHeight="1" x14ac:dyDescent="0.35">
      <c r="A158" s="355"/>
      <c r="B158" s="355"/>
      <c r="C158" s="348"/>
      <c r="D158" s="348"/>
      <c r="E158" s="355"/>
      <c r="F158" s="353"/>
      <c r="G158" s="76" t="s">
        <v>305</v>
      </c>
      <c r="H158" s="64"/>
      <c r="I158" s="139" t="s">
        <v>204</v>
      </c>
      <c r="J158" s="64"/>
      <c r="K158" s="64"/>
      <c r="L158" s="64"/>
      <c r="M158" s="64"/>
      <c r="N158" s="64"/>
      <c r="O158" s="64"/>
      <c r="P158" s="64"/>
      <c r="Q158" s="64"/>
      <c r="R158" s="64"/>
      <c r="S158" s="365"/>
      <c r="T158" s="136" t="str">
        <f t="shared" si="21"/>
        <v/>
      </c>
      <c r="U158" s="355"/>
      <c r="V158" s="358"/>
      <c r="W158" s="355"/>
      <c r="X158" s="355"/>
      <c r="Y158" s="369"/>
      <c r="Z158" s="369"/>
      <c r="AA158" s="355"/>
      <c r="AB158" s="355"/>
      <c r="AC158" s="353"/>
      <c r="AD158" s="355"/>
      <c r="AE158" s="369"/>
      <c r="AF158" s="369"/>
      <c r="AG158" s="355"/>
      <c r="AH158" s="362"/>
      <c r="AI158" s="362"/>
      <c r="AJ158" s="362"/>
    </row>
    <row r="159" spans="1:36" ht="14.5" customHeight="1" x14ac:dyDescent="0.35">
      <c r="A159" s="355"/>
      <c r="B159" s="355"/>
      <c r="C159" s="349"/>
      <c r="D159" s="349"/>
      <c r="E159" s="355"/>
      <c r="F159" s="353"/>
      <c r="G159" s="76" t="s">
        <v>306</v>
      </c>
      <c r="H159" s="64"/>
      <c r="I159" s="139" t="s">
        <v>205</v>
      </c>
      <c r="J159" s="64"/>
      <c r="K159" s="64"/>
      <c r="L159" s="64"/>
      <c r="M159" s="64"/>
      <c r="N159" s="64"/>
      <c r="O159" s="64"/>
      <c r="P159" s="64"/>
      <c r="Q159" s="64"/>
      <c r="R159" s="64"/>
      <c r="S159" s="366"/>
      <c r="T159" s="136" t="str">
        <f t="shared" si="21"/>
        <v/>
      </c>
      <c r="U159" s="355"/>
      <c r="V159" s="358"/>
      <c r="W159" s="355"/>
      <c r="X159" s="355"/>
      <c r="Y159" s="369"/>
      <c r="Z159" s="369"/>
      <c r="AA159" s="355"/>
      <c r="AB159" s="355"/>
      <c r="AC159" s="353"/>
      <c r="AD159" s="355"/>
      <c r="AE159" s="369"/>
      <c r="AF159" s="369"/>
      <c r="AG159" s="355"/>
      <c r="AH159" s="362"/>
      <c r="AI159" s="362"/>
      <c r="AJ159" s="362"/>
    </row>
    <row r="160" spans="1:36" ht="14.5" customHeight="1" x14ac:dyDescent="0.35">
      <c r="A160" s="359">
        <v>23</v>
      </c>
      <c r="B160" s="371" t="str">
        <f>IF($E160="","","BIA-"&amp;TEXT(23,"000"))</f>
        <v/>
      </c>
      <c r="C160" s="347" t="str">
        <f>IFERROR(INDEX(BusinessUnits1,MATCH(A160,'04. Products &amp; Services'!$N$6:$N$50,0)),"")</f>
        <v/>
      </c>
      <c r="D160" s="347" t="str">
        <f>IFERROR(INDEX(DivisionSites,MATCH(A160,'04. Products &amp; Services'!$N$6:$N$50,0)),"")</f>
        <v/>
      </c>
      <c r="E160" s="360" t="str">
        <f>IFERROR(INDEX(ScopeNames,MATCH(A160,'04. Products &amp; Services'!$N$6:$N$50,0)),"")</f>
        <v/>
      </c>
      <c r="F160" s="372" t="str">
        <f>_xlfn.XLOOKUP(E160,'04. Products &amp; Services'!$E$5:$E$50,'04. Products &amp; Services'!$B$5:$B$50,"")</f>
        <v/>
      </c>
      <c r="G160" s="76" t="s">
        <v>300</v>
      </c>
      <c r="H160" s="64"/>
      <c r="I160" s="139" t="s">
        <v>197</v>
      </c>
      <c r="J160" s="64"/>
      <c r="K160" s="64"/>
      <c r="L160" s="64"/>
      <c r="M160" s="64"/>
      <c r="N160" s="64"/>
      <c r="O160" s="64"/>
      <c r="P160" s="64"/>
      <c r="Q160" s="64"/>
      <c r="R160" s="64"/>
      <c r="S160" s="364" t="str">
        <f>IF(COUNT(J160:R166)=0,"",MAX(J160:R166))</f>
        <v/>
      </c>
      <c r="T160" s="136" t="str">
        <f t="shared" ref="T160:T166" si="22">IF($S$160="","",IF(COUNT(J160:R160)=0,"",IF(MAX(J160:R160)&gt;3,$I160,"")))</f>
        <v/>
      </c>
      <c r="U160" s="356" t="str" cm="1">
        <f t="array" ref="U160">IF($E160="","",_xlfn.LET(_xlpm.matches,_xlfn._xlws.FILTER('04. Products &amp; Services'!$J$6:$J$50,'04. Products &amp; Services'!$E$6:$E$50=$E160,""),_xlpm.n,COUNTIF($E$6:$E160,$E160),_xlpm.v,IFERROR(INDEX(_xlpm.matches,_xlpm.n),""),IF(OR(_xlpm.v="",_xlpm.v=0),"",_xlpm.v)))</f>
        <v/>
      </c>
      <c r="V160" s="357"/>
      <c r="W160" s="354" t="str">
        <f>IF($E160="","",IF(OR($U160="Yes",$V160="Yes"),"Yes",IF(AND($U160="No",$V160="No"),"No",IF(AND($U160="Under Evaluation",$V160="No"),"Under Evaluation",""))))</f>
        <v/>
      </c>
      <c r="X160" s="377" t="str">
        <f>IF($E160="","",IFERROR(_xlfn.LET(_xlpm.v,INDEX('04. Products &amp; Services'!$K$6:$K$50,MATCH($E160,ScopeNames,0)),IF(_xlpm.v="","",_xlpm.v)),""))</f>
        <v/>
      </c>
      <c r="Y160" s="376"/>
      <c r="Z160" s="376"/>
      <c r="AA160" s="354" t="str">
        <f>IF($E160="","",IF(COUNT(J160:R166)=0,"",IF(MAX(J160:J166)&gt;=4,6,IF(MAX(K160:K166)&gt;=4,18,IF(MAX(L160:L166)&gt;=4,36,IF(MAX(M160:M166)&gt;=4,72,IF(MAX(N160:N166)&gt;=4,168,IF(MAX(O160:O166)&gt;=4,336,IF(MAX(P160:P166)&gt;=4,504,IF(MAX(Q160:Q166)&gt;=4,672,IF(MAX(R160:R166)&gt;=4,"","")))))))))))</f>
        <v/>
      </c>
      <c r="AB160" s="354" t="str">
        <f>IF($F160="","",IFERROR(VLOOKUP($F160,'04. Products &amp; Services'!$B$5:$M$50,12,0),""))</f>
        <v/>
      </c>
      <c r="AC160" s="352"/>
      <c r="AD160" s="367" t="str" cm="1">
        <f t="array" ref="AD160">IF(ISBLANK(AC160),"",_xlfn.LET(
_xlpm.Num,--_xlfn.TEXTBEFORE(AC160," "),
_xlpm.Unit,LOWER(_xlfn.TEXTAFTER(AC160," ")),
_xlfn.SWITCH(_xlpm.Unit,
"hour",_xlpm.Num,
"hours",_xlpm.Num,
"day",_xlpm.Num*24,
"days",_xlpm.Num*24,
"week",_xlpm.Num*24*7,
"weeks",_xlpm.Num*24*7,
"month",_xlpm.Num*24*(365.25/12),
"months",_xlpm.Num*24*(365.25/12),
"")
))</f>
        <v/>
      </c>
      <c r="AE160" s="368"/>
      <c r="AF160" s="370"/>
      <c r="AG160" s="363" t="str">
        <f>IF($AF160="","",DATE(YEAR($AF160)+1,MONTH($AF160),DAY($AF160)))</f>
        <v/>
      </c>
      <c r="AH160" s="361" t="str" cm="1">
        <f t="array" ref="AH160">IF($B160="","",_xlfn.LET(_xlpm.ids,'15. BCM Risk Register'!$A$6:$A$65,_xlpm.links,'15. BCM Risk Register'!$I$6:$I$65,_xlpm.hit,ISNUMBER(SEARCH(","&amp;$B160&amp;",",","&amp;SUBSTITUTE(_xlpm.links," ","")&amp;",")),IFERROR(_xlfn.TEXTJOIN(", ",TRUE,_xlfn.UNIQUE(_xlfn._xlws.FILTER(_xlpm.ids,_xlpm.hit*(_xlpm.ids&lt;&gt;"")))),"Not Created")))</f>
        <v/>
      </c>
      <c r="AI160" s="361" t="str" cm="1">
        <f t="array" ref="AI160">IF($B160="","",_xlfn.LET(_xlpm.ids,'15. BCM Risk Register'!$L$6:$L$65,_xlpm.links,'15. BCM Risk Register'!$I$6:$I$65,_xlpm.hit,ISNUMBER(SEARCH(","&amp;$B160&amp;",",","&amp;SUBSTITUTE(_xlpm.links," ","")&amp;",")),IFERROR(_xlfn.TEXTJOIN(", ",TRUE,_xlfn.UNIQUE(_xlfn._xlws.FILTER(_xlpm.ids,_xlpm.hit*(_xlpm.ids&lt;&gt;"")*(_xlpm.ids&lt;&gt;"Not Created")))),"Not Created")))</f>
        <v/>
      </c>
      <c r="AJ160" s="361" t="str" cm="1">
        <f t="array" ref="AJ160">IF($B160="","",_xlfn.LET(_xlpm.ids,'15. BCM Risk Register'!$K$6:$K$65,_xlpm.links,'15. BCM Risk Register'!$I$6:$I$65,_xlpm.hit,ISNUMBER(SEARCH(","&amp;$B160&amp;",",","&amp;SUBSTITUTE(_xlpm.links," ","")&amp;",")),IFERROR(_xlfn.TEXTJOIN(", ",TRUE,_xlfn.UNIQUE(_xlfn._xlws.FILTER(_xlpm.ids,_xlpm.hit*(_xlpm.ids&lt;&gt;"")*(_xlpm.ids&lt;&gt;"Not Created")))),"Not Created")))</f>
        <v/>
      </c>
    </row>
    <row r="161" spans="1:36" ht="14.5" customHeight="1" x14ac:dyDescent="0.35">
      <c r="A161" s="355"/>
      <c r="B161" s="355"/>
      <c r="C161" s="348"/>
      <c r="D161" s="348"/>
      <c r="E161" s="355"/>
      <c r="F161" s="353"/>
      <c r="G161" s="76" t="s">
        <v>301</v>
      </c>
      <c r="H161" s="64"/>
      <c r="I161" s="139" t="s">
        <v>199</v>
      </c>
      <c r="J161" s="64"/>
      <c r="K161" s="64"/>
      <c r="L161" s="64"/>
      <c r="M161" s="64"/>
      <c r="N161" s="64"/>
      <c r="O161" s="64"/>
      <c r="P161" s="64"/>
      <c r="Q161" s="64"/>
      <c r="R161" s="64"/>
      <c r="S161" s="365"/>
      <c r="T161" s="136" t="str">
        <f t="shared" si="22"/>
        <v/>
      </c>
      <c r="U161" s="355"/>
      <c r="V161" s="358"/>
      <c r="W161" s="355"/>
      <c r="X161" s="355"/>
      <c r="Y161" s="369"/>
      <c r="Z161" s="369"/>
      <c r="AA161" s="355"/>
      <c r="AB161" s="355"/>
      <c r="AC161" s="353"/>
      <c r="AD161" s="355"/>
      <c r="AE161" s="369"/>
      <c r="AF161" s="369"/>
      <c r="AG161" s="355"/>
      <c r="AH161" s="362"/>
      <c r="AI161" s="362"/>
      <c r="AJ161" s="362"/>
    </row>
    <row r="162" spans="1:36" ht="14.5" customHeight="1" x14ac:dyDescent="0.35">
      <c r="A162" s="355"/>
      <c r="B162" s="355"/>
      <c r="C162" s="348"/>
      <c r="D162" s="348"/>
      <c r="E162" s="355"/>
      <c r="F162" s="353"/>
      <c r="G162" s="76" t="s">
        <v>302</v>
      </c>
      <c r="H162" s="64"/>
      <c r="I162" s="139" t="s">
        <v>200</v>
      </c>
      <c r="J162" s="64"/>
      <c r="K162" s="64"/>
      <c r="L162" s="64"/>
      <c r="M162" s="64"/>
      <c r="N162" s="64"/>
      <c r="O162" s="64"/>
      <c r="P162" s="64"/>
      <c r="Q162" s="64"/>
      <c r="R162" s="64"/>
      <c r="S162" s="365"/>
      <c r="T162" s="136" t="str">
        <f t="shared" si="22"/>
        <v/>
      </c>
      <c r="U162" s="355"/>
      <c r="V162" s="358"/>
      <c r="W162" s="355"/>
      <c r="X162" s="355"/>
      <c r="Y162" s="369"/>
      <c r="Z162" s="369"/>
      <c r="AA162" s="355"/>
      <c r="AB162" s="355"/>
      <c r="AC162" s="353"/>
      <c r="AD162" s="355"/>
      <c r="AE162" s="369"/>
      <c r="AF162" s="369"/>
      <c r="AG162" s="355"/>
      <c r="AH162" s="362"/>
      <c r="AI162" s="362"/>
      <c r="AJ162" s="362"/>
    </row>
    <row r="163" spans="1:36" ht="14.5" customHeight="1" x14ac:dyDescent="0.35">
      <c r="A163" s="355"/>
      <c r="B163" s="355"/>
      <c r="C163" s="348"/>
      <c r="D163" s="348"/>
      <c r="E163" s="355"/>
      <c r="F163" s="353"/>
      <c r="G163" s="76" t="s">
        <v>303</v>
      </c>
      <c r="H163" s="64"/>
      <c r="I163" s="139" t="s">
        <v>202</v>
      </c>
      <c r="J163" s="64"/>
      <c r="K163" s="64"/>
      <c r="L163" s="64"/>
      <c r="M163" s="64"/>
      <c r="N163" s="64"/>
      <c r="O163" s="64"/>
      <c r="P163" s="64"/>
      <c r="Q163" s="64"/>
      <c r="R163" s="64"/>
      <c r="S163" s="365"/>
      <c r="T163" s="136" t="str">
        <f t="shared" si="22"/>
        <v/>
      </c>
      <c r="U163" s="355"/>
      <c r="V163" s="358"/>
      <c r="W163" s="355"/>
      <c r="X163" s="355"/>
      <c r="Y163" s="369"/>
      <c r="Z163" s="369"/>
      <c r="AA163" s="355"/>
      <c r="AB163" s="355"/>
      <c r="AC163" s="353"/>
      <c r="AD163" s="355"/>
      <c r="AE163" s="369"/>
      <c r="AF163" s="369"/>
      <c r="AG163" s="355"/>
      <c r="AH163" s="362"/>
      <c r="AI163" s="362"/>
      <c r="AJ163" s="362"/>
    </row>
    <row r="164" spans="1:36" ht="14.5" customHeight="1" x14ac:dyDescent="0.35">
      <c r="A164" s="355"/>
      <c r="B164" s="355"/>
      <c r="C164" s="348"/>
      <c r="D164" s="348"/>
      <c r="E164" s="355"/>
      <c r="F164" s="353"/>
      <c r="G164" s="76" t="s">
        <v>304</v>
      </c>
      <c r="H164" s="64"/>
      <c r="I164" s="139" t="s">
        <v>203</v>
      </c>
      <c r="J164" s="64"/>
      <c r="K164" s="64"/>
      <c r="L164" s="64"/>
      <c r="M164" s="64"/>
      <c r="N164" s="64"/>
      <c r="O164" s="64"/>
      <c r="P164" s="64"/>
      <c r="Q164" s="64"/>
      <c r="R164" s="64"/>
      <c r="S164" s="365"/>
      <c r="T164" s="136" t="str">
        <f t="shared" si="22"/>
        <v/>
      </c>
      <c r="U164" s="355"/>
      <c r="V164" s="358"/>
      <c r="W164" s="355"/>
      <c r="X164" s="355"/>
      <c r="Y164" s="369"/>
      <c r="Z164" s="369"/>
      <c r="AA164" s="355"/>
      <c r="AB164" s="355"/>
      <c r="AC164" s="353"/>
      <c r="AD164" s="355"/>
      <c r="AE164" s="369"/>
      <c r="AF164" s="369"/>
      <c r="AG164" s="355"/>
      <c r="AH164" s="362"/>
      <c r="AI164" s="362"/>
      <c r="AJ164" s="362"/>
    </row>
    <row r="165" spans="1:36" ht="14.5" customHeight="1" x14ac:dyDescent="0.35">
      <c r="A165" s="355"/>
      <c r="B165" s="355"/>
      <c r="C165" s="348"/>
      <c r="D165" s="348"/>
      <c r="E165" s="355"/>
      <c r="F165" s="353"/>
      <c r="G165" s="76" t="s">
        <v>305</v>
      </c>
      <c r="H165" s="64"/>
      <c r="I165" s="139" t="s">
        <v>204</v>
      </c>
      <c r="J165" s="64"/>
      <c r="K165" s="64"/>
      <c r="L165" s="64"/>
      <c r="M165" s="64"/>
      <c r="N165" s="64"/>
      <c r="O165" s="64"/>
      <c r="P165" s="64"/>
      <c r="Q165" s="64"/>
      <c r="R165" s="64"/>
      <c r="S165" s="365"/>
      <c r="T165" s="136" t="str">
        <f t="shared" si="22"/>
        <v/>
      </c>
      <c r="U165" s="355"/>
      <c r="V165" s="358"/>
      <c r="W165" s="355"/>
      <c r="X165" s="355"/>
      <c r="Y165" s="369"/>
      <c r="Z165" s="369"/>
      <c r="AA165" s="355"/>
      <c r="AB165" s="355"/>
      <c r="AC165" s="353"/>
      <c r="AD165" s="355"/>
      <c r="AE165" s="369"/>
      <c r="AF165" s="369"/>
      <c r="AG165" s="355"/>
      <c r="AH165" s="362"/>
      <c r="AI165" s="362"/>
      <c r="AJ165" s="362"/>
    </row>
    <row r="166" spans="1:36" ht="14.5" customHeight="1" x14ac:dyDescent="0.35">
      <c r="A166" s="355"/>
      <c r="B166" s="355"/>
      <c r="C166" s="349"/>
      <c r="D166" s="349"/>
      <c r="E166" s="355"/>
      <c r="F166" s="353"/>
      <c r="G166" s="76" t="s">
        <v>306</v>
      </c>
      <c r="H166" s="64"/>
      <c r="I166" s="139" t="s">
        <v>205</v>
      </c>
      <c r="J166" s="64"/>
      <c r="K166" s="64"/>
      <c r="L166" s="64"/>
      <c r="M166" s="64"/>
      <c r="N166" s="64"/>
      <c r="O166" s="64"/>
      <c r="P166" s="64"/>
      <c r="Q166" s="64"/>
      <c r="R166" s="64"/>
      <c r="S166" s="366"/>
      <c r="T166" s="136" t="str">
        <f t="shared" si="22"/>
        <v/>
      </c>
      <c r="U166" s="355"/>
      <c r="V166" s="358"/>
      <c r="W166" s="355"/>
      <c r="X166" s="355"/>
      <c r="Y166" s="369"/>
      <c r="Z166" s="369"/>
      <c r="AA166" s="355"/>
      <c r="AB166" s="355"/>
      <c r="AC166" s="353"/>
      <c r="AD166" s="355"/>
      <c r="AE166" s="369"/>
      <c r="AF166" s="369"/>
      <c r="AG166" s="355"/>
      <c r="AH166" s="362"/>
      <c r="AI166" s="362"/>
      <c r="AJ166" s="362"/>
    </row>
    <row r="167" spans="1:36" ht="14.5" customHeight="1" x14ac:dyDescent="0.35">
      <c r="A167" s="359">
        <v>24</v>
      </c>
      <c r="B167" s="371" t="str">
        <f>IF($E167="","","BIA-"&amp;TEXT(24,"000"))</f>
        <v/>
      </c>
      <c r="C167" s="347" t="str">
        <f>IFERROR(INDEX(BusinessUnits1,MATCH(A167,'04. Products &amp; Services'!$N$6:$N$50,0)),"")</f>
        <v/>
      </c>
      <c r="D167" s="347" t="str">
        <f>IFERROR(INDEX(DivisionSites,MATCH(A167,'04. Products &amp; Services'!$N$6:$N$50,0)),"")</f>
        <v/>
      </c>
      <c r="E167" s="360" t="str">
        <f>IFERROR(INDEX(ScopeNames,MATCH(A167,'04. Products &amp; Services'!$N$6:$N$50,0)),"")</f>
        <v/>
      </c>
      <c r="F167" s="372" t="str">
        <f>_xlfn.XLOOKUP(E167,'04. Products &amp; Services'!$E$5:$E$50,'04. Products &amp; Services'!$B$5:$B$50,"")</f>
        <v/>
      </c>
      <c r="G167" s="76" t="s">
        <v>300</v>
      </c>
      <c r="H167" s="64"/>
      <c r="I167" s="139" t="s">
        <v>197</v>
      </c>
      <c r="J167" s="64"/>
      <c r="K167" s="64"/>
      <c r="L167" s="64"/>
      <c r="M167" s="64"/>
      <c r="N167" s="64"/>
      <c r="O167" s="64"/>
      <c r="P167" s="64"/>
      <c r="Q167" s="64"/>
      <c r="R167" s="64"/>
      <c r="S167" s="364" t="str">
        <f>IF(COUNT(J167:R173)=0,"",MAX(J167:R173))</f>
        <v/>
      </c>
      <c r="T167" s="136" t="str">
        <f t="shared" ref="T167:T173" si="23">IF($S$167="","",IF(COUNT(J167:R167)=0,"",IF(MAX(J167:R167)&gt;3,$I167,"")))</f>
        <v/>
      </c>
      <c r="U167" s="356" t="str" cm="1">
        <f t="array" ref="U167">IF($E167="","",_xlfn.LET(_xlpm.matches,_xlfn._xlws.FILTER('04. Products &amp; Services'!$J$6:$J$50,'04. Products &amp; Services'!$E$6:$E$50=$E167,""),_xlpm.n,COUNTIF($E$6:$E167,$E167),_xlpm.v,IFERROR(INDEX(_xlpm.matches,_xlpm.n),""),IF(OR(_xlpm.v="",_xlpm.v=0),"",_xlpm.v)))</f>
        <v/>
      </c>
      <c r="V167" s="357"/>
      <c r="W167" s="354" t="str">
        <f>IF($E167="","",IF(OR($U167="Yes",$V167="Yes"),"Yes",IF(AND($U167="No",$V167="No"),"No",IF(AND($U167="Under Evaluation",$V167="No"),"Under Evaluation",""))))</f>
        <v/>
      </c>
      <c r="X167" s="377" t="str">
        <f>IF($E167="","",IFERROR(_xlfn.LET(_xlpm.v,INDEX('04. Products &amp; Services'!$K$6:$K$50,MATCH($E167,ScopeNames,0)),IF(_xlpm.v="","",_xlpm.v)),""))</f>
        <v/>
      </c>
      <c r="Y167" s="376"/>
      <c r="Z167" s="376"/>
      <c r="AA167" s="354" t="str">
        <f>IF($E167="","",IF(COUNT(J167:R173)=0,"",IF(MAX(J167:J173)&gt;=4,6,IF(MAX(K167:K173)&gt;=4,18,IF(MAX(L167:L173)&gt;=4,36,IF(MAX(M167:M173)&gt;=4,72,IF(MAX(N167:N173)&gt;=4,168,IF(MAX(O167:O173)&gt;=4,336,IF(MAX(P167:P173)&gt;=4,504,IF(MAX(Q167:Q173)&gt;=4,672,IF(MAX(R167:R173)&gt;=4,"","")))))))))))</f>
        <v/>
      </c>
      <c r="AB167" s="354" t="str">
        <f>IF($F167="","",IFERROR(VLOOKUP($F167,'04. Products &amp; Services'!$B$5:$M$50,12,0),""))</f>
        <v/>
      </c>
      <c r="AC167" s="352"/>
      <c r="AD167" s="367" t="str" cm="1">
        <f t="array" ref="AD167">IF(ISBLANK(AC167),"",_xlfn.LET(
_xlpm.Num,--_xlfn.TEXTBEFORE(AC167," "),
_xlpm.Unit,LOWER(_xlfn.TEXTAFTER(AC167," ")),
_xlfn.SWITCH(_xlpm.Unit,
"hour",_xlpm.Num,
"hours",_xlpm.Num,
"day",_xlpm.Num*24,
"days",_xlpm.Num*24,
"week",_xlpm.Num*24*7,
"weeks",_xlpm.Num*24*7,
"month",_xlpm.Num*24*(365.25/12),
"months",_xlpm.Num*24*(365.25/12),
"")
))</f>
        <v/>
      </c>
      <c r="AE167" s="368"/>
      <c r="AF167" s="370"/>
      <c r="AG167" s="363" t="str">
        <f>IF($AF167="","",DATE(YEAR($AF167)+1,MONTH($AF167),DAY($AF167)))</f>
        <v/>
      </c>
      <c r="AH167" s="361" t="str" cm="1">
        <f t="array" ref="AH167">IF($B167="","",_xlfn.LET(_xlpm.ids,'15. BCM Risk Register'!$A$6:$A$65,_xlpm.links,'15. BCM Risk Register'!$I$6:$I$65,_xlpm.hit,ISNUMBER(SEARCH(","&amp;$B167&amp;",",","&amp;SUBSTITUTE(_xlpm.links," ","")&amp;",")),IFERROR(_xlfn.TEXTJOIN(", ",TRUE,_xlfn.UNIQUE(_xlfn._xlws.FILTER(_xlpm.ids,_xlpm.hit*(_xlpm.ids&lt;&gt;"")))),"Not Created")))</f>
        <v/>
      </c>
      <c r="AI167" s="361" t="str" cm="1">
        <f t="array" ref="AI167">IF($B167="","",_xlfn.LET(_xlpm.ids,'15. BCM Risk Register'!$L$6:$L$65,_xlpm.links,'15. BCM Risk Register'!$I$6:$I$65,_xlpm.hit,ISNUMBER(SEARCH(","&amp;$B167&amp;",",","&amp;SUBSTITUTE(_xlpm.links," ","")&amp;",")),IFERROR(_xlfn.TEXTJOIN(", ",TRUE,_xlfn.UNIQUE(_xlfn._xlws.FILTER(_xlpm.ids,_xlpm.hit*(_xlpm.ids&lt;&gt;"")*(_xlpm.ids&lt;&gt;"Not Created")))),"Not Created")))</f>
        <v/>
      </c>
      <c r="AJ167" s="361" t="str" cm="1">
        <f t="array" ref="AJ167">IF($B167="","",_xlfn.LET(_xlpm.ids,'15. BCM Risk Register'!$K$6:$K$65,_xlpm.links,'15. BCM Risk Register'!$I$6:$I$65,_xlpm.hit,ISNUMBER(SEARCH(","&amp;$B167&amp;",",","&amp;SUBSTITUTE(_xlpm.links," ","")&amp;",")),IFERROR(_xlfn.TEXTJOIN(", ",TRUE,_xlfn.UNIQUE(_xlfn._xlws.FILTER(_xlpm.ids,_xlpm.hit*(_xlpm.ids&lt;&gt;"")*(_xlpm.ids&lt;&gt;"Not Created")))),"Not Created")))</f>
        <v/>
      </c>
    </row>
    <row r="168" spans="1:36" ht="14.5" customHeight="1" x14ac:dyDescent="0.35">
      <c r="A168" s="355"/>
      <c r="B168" s="355"/>
      <c r="C168" s="348"/>
      <c r="D168" s="348"/>
      <c r="E168" s="355"/>
      <c r="F168" s="353"/>
      <c r="G168" s="76" t="s">
        <v>301</v>
      </c>
      <c r="H168" s="64"/>
      <c r="I168" s="139" t="s">
        <v>199</v>
      </c>
      <c r="J168" s="64"/>
      <c r="K168" s="64"/>
      <c r="L168" s="64"/>
      <c r="M168" s="64"/>
      <c r="N168" s="64"/>
      <c r="O168" s="64"/>
      <c r="P168" s="64"/>
      <c r="Q168" s="64"/>
      <c r="R168" s="64"/>
      <c r="S168" s="365"/>
      <c r="T168" s="136" t="str">
        <f t="shared" si="23"/>
        <v/>
      </c>
      <c r="U168" s="355"/>
      <c r="V168" s="358"/>
      <c r="W168" s="355"/>
      <c r="X168" s="355"/>
      <c r="Y168" s="369"/>
      <c r="Z168" s="369"/>
      <c r="AA168" s="355"/>
      <c r="AB168" s="355"/>
      <c r="AC168" s="353"/>
      <c r="AD168" s="355"/>
      <c r="AE168" s="369"/>
      <c r="AF168" s="369"/>
      <c r="AG168" s="355"/>
      <c r="AH168" s="362"/>
      <c r="AI168" s="362"/>
      <c r="AJ168" s="362"/>
    </row>
    <row r="169" spans="1:36" ht="14.5" customHeight="1" x14ac:dyDescent="0.35">
      <c r="A169" s="355"/>
      <c r="B169" s="355"/>
      <c r="C169" s="348"/>
      <c r="D169" s="348"/>
      <c r="E169" s="355"/>
      <c r="F169" s="353"/>
      <c r="G169" s="76" t="s">
        <v>302</v>
      </c>
      <c r="H169" s="64"/>
      <c r="I169" s="139" t="s">
        <v>200</v>
      </c>
      <c r="J169" s="64"/>
      <c r="K169" s="64"/>
      <c r="L169" s="64"/>
      <c r="M169" s="64"/>
      <c r="N169" s="64"/>
      <c r="O169" s="64"/>
      <c r="P169" s="64"/>
      <c r="Q169" s="64"/>
      <c r="R169" s="64"/>
      <c r="S169" s="365"/>
      <c r="T169" s="136" t="str">
        <f t="shared" si="23"/>
        <v/>
      </c>
      <c r="U169" s="355"/>
      <c r="V169" s="358"/>
      <c r="W169" s="355"/>
      <c r="X169" s="355"/>
      <c r="Y169" s="369"/>
      <c r="Z169" s="369"/>
      <c r="AA169" s="355"/>
      <c r="AB169" s="355"/>
      <c r="AC169" s="353"/>
      <c r="AD169" s="355"/>
      <c r="AE169" s="369"/>
      <c r="AF169" s="369"/>
      <c r="AG169" s="355"/>
      <c r="AH169" s="362"/>
      <c r="AI169" s="362"/>
      <c r="AJ169" s="362"/>
    </row>
    <row r="170" spans="1:36" ht="14.5" customHeight="1" x14ac:dyDescent="0.35">
      <c r="A170" s="355"/>
      <c r="B170" s="355"/>
      <c r="C170" s="348"/>
      <c r="D170" s="348"/>
      <c r="E170" s="355"/>
      <c r="F170" s="353"/>
      <c r="G170" s="76" t="s">
        <v>303</v>
      </c>
      <c r="H170" s="64"/>
      <c r="I170" s="139" t="s">
        <v>202</v>
      </c>
      <c r="J170" s="64"/>
      <c r="K170" s="64"/>
      <c r="L170" s="64"/>
      <c r="M170" s="64"/>
      <c r="N170" s="64"/>
      <c r="O170" s="64"/>
      <c r="P170" s="64"/>
      <c r="Q170" s="64"/>
      <c r="R170" s="64"/>
      <c r="S170" s="365"/>
      <c r="T170" s="136" t="str">
        <f t="shared" si="23"/>
        <v/>
      </c>
      <c r="U170" s="355"/>
      <c r="V170" s="358"/>
      <c r="W170" s="355"/>
      <c r="X170" s="355"/>
      <c r="Y170" s="369"/>
      <c r="Z170" s="369"/>
      <c r="AA170" s="355"/>
      <c r="AB170" s="355"/>
      <c r="AC170" s="353"/>
      <c r="AD170" s="355"/>
      <c r="AE170" s="369"/>
      <c r="AF170" s="369"/>
      <c r="AG170" s="355"/>
      <c r="AH170" s="362"/>
      <c r="AI170" s="362"/>
      <c r="AJ170" s="362"/>
    </row>
    <row r="171" spans="1:36" ht="14.5" customHeight="1" x14ac:dyDescent="0.35">
      <c r="A171" s="355"/>
      <c r="B171" s="355"/>
      <c r="C171" s="348"/>
      <c r="D171" s="348"/>
      <c r="E171" s="355"/>
      <c r="F171" s="353"/>
      <c r="G171" s="76" t="s">
        <v>304</v>
      </c>
      <c r="H171" s="64"/>
      <c r="I171" s="139" t="s">
        <v>203</v>
      </c>
      <c r="J171" s="64"/>
      <c r="K171" s="64"/>
      <c r="L171" s="64"/>
      <c r="M171" s="64"/>
      <c r="N171" s="64"/>
      <c r="O171" s="64"/>
      <c r="P171" s="64"/>
      <c r="Q171" s="64"/>
      <c r="R171" s="64"/>
      <c r="S171" s="365"/>
      <c r="T171" s="136" t="str">
        <f t="shared" si="23"/>
        <v/>
      </c>
      <c r="U171" s="355"/>
      <c r="V171" s="358"/>
      <c r="W171" s="355"/>
      <c r="X171" s="355"/>
      <c r="Y171" s="369"/>
      <c r="Z171" s="369"/>
      <c r="AA171" s="355"/>
      <c r="AB171" s="355"/>
      <c r="AC171" s="353"/>
      <c r="AD171" s="355"/>
      <c r="AE171" s="369"/>
      <c r="AF171" s="369"/>
      <c r="AG171" s="355"/>
      <c r="AH171" s="362"/>
      <c r="AI171" s="362"/>
      <c r="AJ171" s="362"/>
    </row>
    <row r="172" spans="1:36" ht="14.5" customHeight="1" x14ac:dyDescent="0.35">
      <c r="A172" s="355"/>
      <c r="B172" s="355"/>
      <c r="C172" s="348"/>
      <c r="D172" s="348"/>
      <c r="E172" s="355"/>
      <c r="F172" s="353"/>
      <c r="G172" s="76" t="s">
        <v>305</v>
      </c>
      <c r="H172" s="64"/>
      <c r="I172" s="139" t="s">
        <v>204</v>
      </c>
      <c r="J172" s="64"/>
      <c r="K172" s="64"/>
      <c r="L172" s="64"/>
      <c r="M172" s="64"/>
      <c r="N172" s="64"/>
      <c r="O172" s="64"/>
      <c r="P172" s="64"/>
      <c r="Q172" s="64"/>
      <c r="R172" s="64"/>
      <c r="S172" s="365"/>
      <c r="T172" s="136" t="str">
        <f t="shared" si="23"/>
        <v/>
      </c>
      <c r="U172" s="355"/>
      <c r="V172" s="358"/>
      <c r="W172" s="355"/>
      <c r="X172" s="355"/>
      <c r="Y172" s="369"/>
      <c r="Z172" s="369"/>
      <c r="AA172" s="355"/>
      <c r="AB172" s="355"/>
      <c r="AC172" s="353"/>
      <c r="AD172" s="355"/>
      <c r="AE172" s="369"/>
      <c r="AF172" s="369"/>
      <c r="AG172" s="355"/>
      <c r="AH172" s="362"/>
      <c r="AI172" s="362"/>
      <c r="AJ172" s="362"/>
    </row>
    <row r="173" spans="1:36" ht="14.5" customHeight="1" x14ac:dyDescent="0.35">
      <c r="A173" s="355"/>
      <c r="B173" s="355"/>
      <c r="C173" s="349"/>
      <c r="D173" s="349"/>
      <c r="E173" s="355"/>
      <c r="F173" s="353"/>
      <c r="G173" s="76" t="s">
        <v>306</v>
      </c>
      <c r="H173" s="64"/>
      <c r="I173" s="139" t="s">
        <v>205</v>
      </c>
      <c r="J173" s="64"/>
      <c r="K173" s="64"/>
      <c r="L173" s="64"/>
      <c r="M173" s="64"/>
      <c r="N173" s="64"/>
      <c r="O173" s="64"/>
      <c r="P173" s="64"/>
      <c r="Q173" s="64"/>
      <c r="R173" s="64"/>
      <c r="S173" s="366"/>
      <c r="T173" s="136" t="str">
        <f t="shared" si="23"/>
        <v/>
      </c>
      <c r="U173" s="355"/>
      <c r="V173" s="358"/>
      <c r="W173" s="355"/>
      <c r="X173" s="355"/>
      <c r="Y173" s="369"/>
      <c r="Z173" s="369"/>
      <c r="AA173" s="355"/>
      <c r="AB173" s="355"/>
      <c r="AC173" s="353"/>
      <c r="AD173" s="355"/>
      <c r="AE173" s="369"/>
      <c r="AF173" s="369"/>
      <c r="AG173" s="355"/>
      <c r="AH173" s="362"/>
      <c r="AI173" s="362"/>
      <c r="AJ173" s="362"/>
    </row>
    <row r="174" spans="1:36" ht="14.5" customHeight="1" x14ac:dyDescent="0.35">
      <c r="A174" s="359">
        <v>25</v>
      </c>
      <c r="B174" s="371" t="str">
        <f>IF($E174="","","BIA-"&amp;TEXT(25,"000"))</f>
        <v/>
      </c>
      <c r="C174" s="347" t="str">
        <f>IFERROR(INDEX(BusinessUnits1,MATCH(A174,'04. Products &amp; Services'!$N$6:$N$50,0)),"")</f>
        <v/>
      </c>
      <c r="D174" s="347" t="str">
        <f>IFERROR(INDEX(DivisionSites,MATCH(A174,'04. Products &amp; Services'!$N$6:$N$50,0)),"")</f>
        <v/>
      </c>
      <c r="E174" s="360" t="str">
        <f>IFERROR(INDEX(ScopeNames,MATCH(A174,'04. Products &amp; Services'!$N$6:$N$50,0)),"")</f>
        <v/>
      </c>
      <c r="F174" s="372" t="str">
        <f>_xlfn.XLOOKUP(E174,'04. Products &amp; Services'!$E$5:$E$50,'04. Products &amp; Services'!$B$5:$B$50,"")</f>
        <v/>
      </c>
      <c r="G174" s="76" t="s">
        <v>300</v>
      </c>
      <c r="H174" s="64"/>
      <c r="I174" s="139" t="s">
        <v>197</v>
      </c>
      <c r="J174" s="64"/>
      <c r="K174" s="64"/>
      <c r="L174" s="64"/>
      <c r="M174" s="64"/>
      <c r="N174" s="64"/>
      <c r="O174" s="64"/>
      <c r="P174" s="64"/>
      <c r="Q174" s="64"/>
      <c r="R174" s="64"/>
      <c r="S174" s="364" t="str">
        <f>IF(COUNT(J174:R180)=0,"",MAX(J174:R180))</f>
        <v/>
      </c>
      <c r="T174" s="136" t="str">
        <f t="shared" ref="T174:T180" si="24">IF($S$174="","",IF(COUNT(J174:R174)=0,"",IF(MAX(J174:R174)&gt;3,$I174,"")))</f>
        <v/>
      </c>
      <c r="U174" s="356" t="str" cm="1">
        <f t="array" ref="U174">IF($E174="","",_xlfn.LET(_xlpm.matches,_xlfn._xlws.FILTER('04. Products &amp; Services'!$J$6:$J$50,'04. Products &amp; Services'!$E$6:$E$50=$E174,""),_xlpm.n,COUNTIF($E$6:$E174,$E174),_xlpm.v,IFERROR(INDEX(_xlpm.matches,_xlpm.n),""),IF(OR(_xlpm.v="",_xlpm.v=0),"",_xlpm.v)))</f>
        <v/>
      </c>
      <c r="V174" s="357"/>
      <c r="W174" s="354" t="str">
        <f>IF($E174="","",IF(OR($U174="Yes",$V174="Yes"),"Yes",IF(AND($U174="No",$V174="No"),"No",IF(AND($U174="Under Evaluation",$V174="No"),"Under Evaluation",""))))</f>
        <v/>
      </c>
      <c r="X174" s="377" t="str">
        <f>IF($E174="","",IFERROR(_xlfn.LET(_xlpm.v,INDEX('04. Products &amp; Services'!$K$6:$K$50,MATCH($E174,ScopeNames,0)),IF(_xlpm.v="","",_xlpm.v)),""))</f>
        <v/>
      </c>
      <c r="Y174" s="376"/>
      <c r="Z174" s="376"/>
      <c r="AA174" s="354" t="str">
        <f>IF($E174="","",IF(COUNT(J174:R180)=0,"",IF(MAX(J174:J180)&gt;=4,6,IF(MAX(K174:K180)&gt;=4,18,IF(MAX(L174:L180)&gt;=4,36,IF(MAX(M174:M180)&gt;=4,72,IF(MAX(N174:N180)&gt;=4,168,IF(MAX(O174:O180)&gt;=4,336,IF(MAX(P174:P180)&gt;=4,504,IF(MAX(Q174:Q180)&gt;=4,672,IF(MAX(R174:R180)&gt;=4,"","")))))))))))</f>
        <v/>
      </c>
      <c r="AB174" s="354" t="str">
        <f>IF($F174="","",IFERROR(VLOOKUP($F174,'04. Products &amp; Services'!$B$5:$M$50,12,0),""))</f>
        <v/>
      </c>
      <c r="AC174" s="352"/>
      <c r="AD174" s="367" t="str" cm="1">
        <f t="array" ref="AD174">IF(ISBLANK(AC174),"",_xlfn.LET(
_xlpm.Num,--_xlfn.TEXTBEFORE(AC174," "),
_xlpm.Unit,LOWER(_xlfn.TEXTAFTER(AC174," ")),
_xlfn.SWITCH(_xlpm.Unit,
"hour",_xlpm.Num,
"hours",_xlpm.Num,
"day",_xlpm.Num*24,
"days",_xlpm.Num*24,
"week",_xlpm.Num*24*7,
"weeks",_xlpm.Num*24*7,
"month",_xlpm.Num*24*(365.25/12),
"months",_xlpm.Num*24*(365.25/12),
"")
))</f>
        <v/>
      </c>
      <c r="AE174" s="368"/>
      <c r="AF174" s="370"/>
      <c r="AG174" s="363" t="str">
        <f>IF($AF174="","",DATE(YEAR($AF174)+1,MONTH($AF174),DAY($AF174)))</f>
        <v/>
      </c>
      <c r="AH174" s="361" t="str" cm="1">
        <f t="array" ref="AH174">IF($B174="","",_xlfn.LET(_xlpm.ids,'15. BCM Risk Register'!$A$6:$A$65,_xlpm.links,'15. BCM Risk Register'!$I$6:$I$65,_xlpm.hit,ISNUMBER(SEARCH(","&amp;$B174&amp;",",","&amp;SUBSTITUTE(_xlpm.links," ","")&amp;",")),IFERROR(_xlfn.TEXTJOIN(", ",TRUE,_xlfn.UNIQUE(_xlfn._xlws.FILTER(_xlpm.ids,_xlpm.hit*(_xlpm.ids&lt;&gt;"")))),"Not Created")))</f>
        <v/>
      </c>
      <c r="AI174" s="361" t="str" cm="1">
        <f t="array" ref="AI174">IF($B174="","",_xlfn.LET(_xlpm.ids,'15. BCM Risk Register'!$L$6:$L$65,_xlpm.links,'15. BCM Risk Register'!$I$6:$I$65,_xlpm.hit,ISNUMBER(SEARCH(","&amp;$B174&amp;",",","&amp;SUBSTITUTE(_xlpm.links," ","")&amp;",")),IFERROR(_xlfn.TEXTJOIN(", ",TRUE,_xlfn.UNIQUE(_xlfn._xlws.FILTER(_xlpm.ids,_xlpm.hit*(_xlpm.ids&lt;&gt;"")*(_xlpm.ids&lt;&gt;"Not Created")))),"Not Created")))</f>
        <v/>
      </c>
      <c r="AJ174" s="361" t="str" cm="1">
        <f t="array" ref="AJ174">IF($B174="","",_xlfn.LET(_xlpm.ids,'15. BCM Risk Register'!$K$6:$K$65,_xlpm.links,'15. BCM Risk Register'!$I$6:$I$65,_xlpm.hit,ISNUMBER(SEARCH(","&amp;$B174&amp;",",","&amp;SUBSTITUTE(_xlpm.links," ","")&amp;",")),IFERROR(_xlfn.TEXTJOIN(", ",TRUE,_xlfn.UNIQUE(_xlfn._xlws.FILTER(_xlpm.ids,_xlpm.hit*(_xlpm.ids&lt;&gt;"")*(_xlpm.ids&lt;&gt;"Not Created")))),"Not Created")))</f>
        <v/>
      </c>
    </row>
    <row r="175" spans="1:36" ht="14.5" customHeight="1" x14ac:dyDescent="0.35">
      <c r="A175" s="355"/>
      <c r="B175" s="355"/>
      <c r="C175" s="348"/>
      <c r="D175" s="348"/>
      <c r="E175" s="355"/>
      <c r="F175" s="353"/>
      <c r="G175" s="76" t="s">
        <v>301</v>
      </c>
      <c r="H175" s="64"/>
      <c r="I175" s="139" t="s">
        <v>199</v>
      </c>
      <c r="J175" s="64"/>
      <c r="K175" s="64"/>
      <c r="L175" s="64"/>
      <c r="M175" s="64"/>
      <c r="N175" s="64"/>
      <c r="O175" s="64"/>
      <c r="P175" s="64"/>
      <c r="Q175" s="64"/>
      <c r="R175" s="64"/>
      <c r="S175" s="365"/>
      <c r="T175" s="136" t="str">
        <f t="shared" si="24"/>
        <v/>
      </c>
      <c r="U175" s="355"/>
      <c r="V175" s="358"/>
      <c r="W175" s="355"/>
      <c r="X175" s="355"/>
      <c r="Y175" s="369"/>
      <c r="Z175" s="369"/>
      <c r="AA175" s="355"/>
      <c r="AB175" s="355"/>
      <c r="AC175" s="353"/>
      <c r="AD175" s="355"/>
      <c r="AE175" s="369"/>
      <c r="AF175" s="369"/>
      <c r="AG175" s="355"/>
      <c r="AH175" s="362"/>
      <c r="AI175" s="362"/>
      <c r="AJ175" s="362"/>
    </row>
    <row r="176" spans="1:36" ht="14.5" customHeight="1" x14ac:dyDescent="0.35">
      <c r="A176" s="355"/>
      <c r="B176" s="355"/>
      <c r="C176" s="348"/>
      <c r="D176" s="348"/>
      <c r="E176" s="355"/>
      <c r="F176" s="353"/>
      <c r="G176" s="76" t="s">
        <v>302</v>
      </c>
      <c r="H176" s="64"/>
      <c r="I176" s="139" t="s">
        <v>200</v>
      </c>
      <c r="J176" s="64"/>
      <c r="K176" s="64"/>
      <c r="L176" s="64"/>
      <c r="M176" s="64"/>
      <c r="N176" s="64"/>
      <c r="O176" s="64"/>
      <c r="P176" s="64"/>
      <c r="Q176" s="64"/>
      <c r="R176" s="64"/>
      <c r="S176" s="365"/>
      <c r="T176" s="136" t="str">
        <f t="shared" si="24"/>
        <v/>
      </c>
      <c r="U176" s="355"/>
      <c r="V176" s="358"/>
      <c r="W176" s="355"/>
      <c r="X176" s="355"/>
      <c r="Y176" s="369"/>
      <c r="Z176" s="369"/>
      <c r="AA176" s="355"/>
      <c r="AB176" s="355"/>
      <c r="AC176" s="353"/>
      <c r="AD176" s="355"/>
      <c r="AE176" s="369"/>
      <c r="AF176" s="369"/>
      <c r="AG176" s="355"/>
      <c r="AH176" s="362"/>
      <c r="AI176" s="362"/>
      <c r="AJ176" s="362"/>
    </row>
    <row r="177" spans="1:36" ht="14.5" customHeight="1" x14ac:dyDescent="0.35">
      <c r="A177" s="355"/>
      <c r="B177" s="355"/>
      <c r="C177" s="348"/>
      <c r="D177" s="348"/>
      <c r="E177" s="355"/>
      <c r="F177" s="353"/>
      <c r="G177" s="76" t="s">
        <v>303</v>
      </c>
      <c r="H177" s="64"/>
      <c r="I177" s="139" t="s">
        <v>202</v>
      </c>
      <c r="J177" s="64"/>
      <c r="K177" s="64"/>
      <c r="L177" s="64"/>
      <c r="M177" s="64"/>
      <c r="N177" s="64"/>
      <c r="O177" s="64"/>
      <c r="P177" s="64"/>
      <c r="Q177" s="64"/>
      <c r="R177" s="64"/>
      <c r="S177" s="365"/>
      <c r="T177" s="136" t="str">
        <f t="shared" si="24"/>
        <v/>
      </c>
      <c r="U177" s="355"/>
      <c r="V177" s="358"/>
      <c r="W177" s="355"/>
      <c r="X177" s="355"/>
      <c r="Y177" s="369"/>
      <c r="Z177" s="369"/>
      <c r="AA177" s="355"/>
      <c r="AB177" s="355"/>
      <c r="AC177" s="353"/>
      <c r="AD177" s="355"/>
      <c r="AE177" s="369"/>
      <c r="AF177" s="369"/>
      <c r="AG177" s="355"/>
      <c r="AH177" s="362"/>
      <c r="AI177" s="362"/>
      <c r="AJ177" s="362"/>
    </row>
    <row r="178" spans="1:36" ht="14.5" customHeight="1" x14ac:dyDescent="0.35">
      <c r="A178" s="355"/>
      <c r="B178" s="355"/>
      <c r="C178" s="348"/>
      <c r="D178" s="348"/>
      <c r="E178" s="355"/>
      <c r="F178" s="353"/>
      <c r="G178" s="76" t="s">
        <v>304</v>
      </c>
      <c r="H178" s="64"/>
      <c r="I178" s="139" t="s">
        <v>203</v>
      </c>
      <c r="J178" s="64"/>
      <c r="K178" s="64"/>
      <c r="L178" s="64"/>
      <c r="M178" s="64"/>
      <c r="N178" s="64"/>
      <c r="O178" s="64"/>
      <c r="P178" s="64"/>
      <c r="Q178" s="64"/>
      <c r="R178" s="64"/>
      <c r="S178" s="365"/>
      <c r="T178" s="136" t="str">
        <f t="shared" si="24"/>
        <v/>
      </c>
      <c r="U178" s="355"/>
      <c r="V178" s="358"/>
      <c r="W178" s="355"/>
      <c r="X178" s="355"/>
      <c r="Y178" s="369"/>
      <c r="Z178" s="369"/>
      <c r="AA178" s="355"/>
      <c r="AB178" s="355"/>
      <c r="AC178" s="353"/>
      <c r="AD178" s="355"/>
      <c r="AE178" s="369"/>
      <c r="AF178" s="369"/>
      <c r="AG178" s="355"/>
      <c r="AH178" s="362"/>
      <c r="AI178" s="362"/>
      <c r="AJ178" s="362"/>
    </row>
    <row r="179" spans="1:36" ht="14.5" customHeight="1" x14ac:dyDescent="0.35">
      <c r="A179" s="355"/>
      <c r="B179" s="355"/>
      <c r="C179" s="348"/>
      <c r="D179" s="348"/>
      <c r="E179" s="355"/>
      <c r="F179" s="353"/>
      <c r="G179" s="76" t="s">
        <v>305</v>
      </c>
      <c r="H179" s="64"/>
      <c r="I179" s="139" t="s">
        <v>204</v>
      </c>
      <c r="J179" s="64"/>
      <c r="K179" s="64"/>
      <c r="L179" s="64"/>
      <c r="M179" s="64"/>
      <c r="N179" s="64"/>
      <c r="O179" s="64"/>
      <c r="P179" s="64"/>
      <c r="Q179" s="64"/>
      <c r="R179" s="64"/>
      <c r="S179" s="365"/>
      <c r="T179" s="136" t="str">
        <f t="shared" si="24"/>
        <v/>
      </c>
      <c r="U179" s="355"/>
      <c r="V179" s="358"/>
      <c r="W179" s="355"/>
      <c r="X179" s="355"/>
      <c r="Y179" s="369"/>
      <c r="Z179" s="369"/>
      <c r="AA179" s="355"/>
      <c r="AB179" s="355"/>
      <c r="AC179" s="353"/>
      <c r="AD179" s="355"/>
      <c r="AE179" s="369"/>
      <c r="AF179" s="369"/>
      <c r="AG179" s="355"/>
      <c r="AH179" s="362"/>
      <c r="AI179" s="362"/>
      <c r="AJ179" s="362"/>
    </row>
    <row r="180" spans="1:36" ht="14.5" customHeight="1" x14ac:dyDescent="0.35">
      <c r="A180" s="355"/>
      <c r="B180" s="355"/>
      <c r="C180" s="349"/>
      <c r="D180" s="349"/>
      <c r="E180" s="355"/>
      <c r="F180" s="353"/>
      <c r="G180" s="76" t="s">
        <v>306</v>
      </c>
      <c r="H180" s="64"/>
      <c r="I180" s="139" t="s">
        <v>205</v>
      </c>
      <c r="J180" s="64"/>
      <c r="K180" s="64"/>
      <c r="L180" s="64"/>
      <c r="M180" s="64"/>
      <c r="N180" s="64"/>
      <c r="O180" s="64"/>
      <c r="P180" s="64"/>
      <c r="Q180" s="64"/>
      <c r="R180" s="64"/>
      <c r="S180" s="366"/>
      <c r="T180" s="136" t="str">
        <f t="shared" si="24"/>
        <v/>
      </c>
      <c r="U180" s="355"/>
      <c r="V180" s="358"/>
      <c r="W180" s="355"/>
      <c r="X180" s="355"/>
      <c r="Y180" s="369"/>
      <c r="Z180" s="369"/>
      <c r="AA180" s="355"/>
      <c r="AB180" s="355"/>
      <c r="AC180" s="353"/>
      <c r="AD180" s="355"/>
      <c r="AE180" s="369"/>
      <c r="AF180" s="369"/>
      <c r="AG180" s="355"/>
      <c r="AH180" s="362"/>
      <c r="AI180" s="362"/>
      <c r="AJ180" s="362"/>
    </row>
    <row r="181" spans="1:36" ht="14.5" customHeight="1" x14ac:dyDescent="0.35">
      <c r="A181" s="359">
        <v>26</v>
      </c>
      <c r="B181" s="371" t="str">
        <f>IF($E181="","","BIA-"&amp;TEXT(26,"000"))</f>
        <v/>
      </c>
      <c r="C181" s="347" t="str">
        <f>IFERROR(INDEX(BusinessUnits1,MATCH(A181,'04. Products &amp; Services'!$N$6:$N$50,0)),"")</f>
        <v/>
      </c>
      <c r="D181" s="347" t="str">
        <f>IFERROR(INDEX(DivisionSites,MATCH(A181,'04. Products &amp; Services'!$N$6:$N$50,0)),"")</f>
        <v/>
      </c>
      <c r="E181" s="360" t="str">
        <f>IFERROR(INDEX(ScopeNames,MATCH(A181,'04. Products &amp; Services'!$N$6:$N$50,0)),"")</f>
        <v/>
      </c>
      <c r="F181" s="372" t="str">
        <f>_xlfn.XLOOKUP(E181,'04. Products &amp; Services'!$E$5:$E$50,'04. Products &amp; Services'!$B$5:$B$50,"")</f>
        <v/>
      </c>
      <c r="G181" s="76" t="s">
        <v>300</v>
      </c>
      <c r="H181" s="64"/>
      <c r="I181" s="139" t="s">
        <v>197</v>
      </c>
      <c r="J181" s="64"/>
      <c r="K181" s="64"/>
      <c r="L181" s="64"/>
      <c r="M181" s="64"/>
      <c r="N181" s="64"/>
      <c r="O181" s="64"/>
      <c r="P181" s="64"/>
      <c r="Q181" s="64"/>
      <c r="R181" s="64"/>
      <c r="S181" s="364" t="str">
        <f>IF(COUNT(J181:R187)=0,"",MAX(J181:R187))</f>
        <v/>
      </c>
      <c r="T181" s="136" t="str">
        <f t="shared" ref="T181:T187" si="25">IF($S$181="","",IF(COUNT(J181:R181)=0,"",IF(MAX(J181:R181)&gt;3,$I181,"")))</f>
        <v/>
      </c>
      <c r="U181" s="356" t="str" cm="1">
        <f t="array" ref="U181">IF($E181="","",_xlfn.LET(_xlpm.matches,_xlfn._xlws.FILTER('04. Products &amp; Services'!$J$6:$J$50,'04. Products &amp; Services'!$E$6:$E$50=$E181,""),_xlpm.n,COUNTIF($E$6:$E181,$E181),_xlpm.v,IFERROR(INDEX(_xlpm.matches,_xlpm.n),""),IF(OR(_xlpm.v="",_xlpm.v=0),"",_xlpm.v)))</f>
        <v/>
      </c>
      <c r="V181" s="357"/>
      <c r="W181" s="354" t="str">
        <f>IF($E181="","",IF(OR($U181="Yes",$V181="Yes"),"Yes",IF(AND($U181="No",$V181="No"),"No",IF(AND($U181="Under Evaluation",$V181="No"),"Under Evaluation",""))))</f>
        <v/>
      </c>
      <c r="X181" s="377" t="str">
        <f>IF($E181="","",IFERROR(_xlfn.LET(_xlpm.v,INDEX('04. Products &amp; Services'!$K$6:$K$50,MATCH($E181,ScopeNames,0)),IF(_xlpm.v="","",_xlpm.v)),""))</f>
        <v/>
      </c>
      <c r="Y181" s="376"/>
      <c r="Z181" s="376"/>
      <c r="AA181" s="354" t="str">
        <f>IF($E181="","",IF(COUNT(J181:R187)=0,"",IF(MAX(J181:J187)&gt;=4,6,IF(MAX(K181:K187)&gt;=4,18,IF(MAX(L181:L187)&gt;=4,36,IF(MAX(M181:M187)&gt;=4,72,IF(MAX(N181:N187)&gt;=4,168,IF(MAX(O181:O187)&gt;=4,336,IF(MAX(P181:P187)&gt;=4,504,IF(MAX(Q181:Q187)&gt;=4,672,IF(MAX(R181:R187)&gt;=4,"","")))))))))))</f>
        <v/>
      </c>
      <c r="AB181" s="354" t="str">
        <f>IF($F181="","",IFERROR(VLOOKUP($F181,'04. Products &amp; Services'!$B$5:$M$50,12,0),""))</f>
        <v/>
      </c>
      <c r="AC181" s="352"/>
      <c r="AD181" s="367" t="str" cm="1">
        <f t="array" ref="AD181">IF(ISBLANK(AC181),"",_xlfn.LET(
_xlpm.Num,--_xlfn.TEXTBEFORE(AC181," "),
_xlpm.Unit,LOWER(_xlfn.TEXTAFTER(AC181," ")),
_xlfn.SWITCH(_xlpm.Unit,
"hour",_xlpm.Num,
"hours",_xlpm.Num,
"day",_xlpm.Num*24,
"days",_xlpm.Num*24,
"week",_xlpm.Num*24*7,
"weeks",_xlpm.Num*24*7,
"month",_xlpm.Num*24*(365.25/12),
"months",_xlpm.Num*24*(365.25/12),
"")
))</f>
        <v/>
      </c>
      <c r="AE181" s="368"/>
      <c r="AF181" s="370"/>
      <c r="AG181" s="363" t="str">
        <f>IF($AF181="","",DATE(YEAR($AF181)+1,MONTH($AF181),DAY($AF181)))</f>
        <v/>
      </c>
      <c r="AH181" s="361" t="str" cm="1">
        <f t="array" ref="AH181">IF($B181="","",_xlfn.LET(_xlpm.ids,'15. BCM Risk Register'!$A$6:$A$65,_xlpm.links,'15. BCM Risk Register'!$I$6:$I$65,_xlpm.hit,ISNUMBER(SEARCH(","&amp;$B181&amp;",",","&amp;SUBSTITUTE(_xlpm.links," ","")&amp;",")),IFERROR(_xlfn.TEXTJOIN(", ",TRUE,_xlfn.UNIQUE(_xlfn._xlws.FILTER(_xlpm.ids,_xlpm.hit*(_xlpm.ids&lt;&gt;"")))),"Not Created")))</f>
        <v/>
      </c>
      <c r="AI181" s="361" t="str" cm="1">
        <f t="array" ref="AI181">IF($B181="","",_xlfn.LET(_xlpm.ids,'15. BCM Risk Register'!$L$6:$L$65,_xlpm.links,'15. BCM Risk Register'!$I$6:$I$65,_xlpm.hit,ISNUMBER(SEARCH(","&amp;$B181&amp;",",","&amp;SUBSTITUTE(_xlpm.links," ","")&amp;",")),IFERROR(_xlfn.TEXTJOIN(", ",TRUE,_xlfn.UNIQUE(_xlfn._xlws.FILTER(_xlpm.ids,_xlpm.hit*(_xlpm.ids&lt;&gt;"")*(_xlpm.ids&lt;&gt;"Not Created")))),"Not Created")))</f>
        <v/>
      </c>
      <c r="AJ181" s="361" t="str" cm="1">
        <f t="array" ref="AJ181">IF($B181="","",_xlfn.LET(_xlpm.ids,'15. BCM Risk Register'!$K$6:$K$65,_xlpm.links,'15. BCM Risk Register'!$I$6:$I$65,_xlpm.hit,ISNUMBER(SEARCH(","&amp;$B181&amp;",",","&amp;SUBSTITUTE(_xlpm.links," ","")&amp;",")),IFERROR(_xlfn.TEXTJOIN(", ",TRUE,_xlfn.UNIQUE(_xlfn._xlws.FILTER(_xlpm.ids,_xlpm.hit*(_xlpm.ids&lt;&gt;"")*(_xlpm.ids&lt;&gt;"Not Created")))),"Not Created")))</f>
        <v/>
      </c>
    </row>
    <row r="182" spans="1:36" ht="14.5" customHeight="1" x14ac:dyDescent="0.35">
      <c r="A182" s="355"/>
      <c r="B182" s="355"/>
      <c r="C182" s="348"/>
      <c r="D182" s="348"/>
      <c r="E182" s="355"/>
      <c r="F182" s="353"/>
      <c r="G182" s="76" t="s">
        <v>301</v>
      </c>
      <c r="H182" s="64"/>
      <c r="I182" s="139" t="s">
        <v>199</v>
      </c>
      <c r="J182" s="64"/>
      <c r="K182" s="64"/>
      <c r="L182" s="64"/>
      <c r="M182" s="64"/>
      <c r="N182" s="64"/>
      <c r="O182" s="64"/>
      <c r="P182" s="64"/>
      <c r="Q182" s="64"/>
      <c r="R182" s="64"/>
      <c r="S182" s="365"/>
      <c r="T182" s="136" t="str">
        <f t="shared" si="25"/>
        <v/>
      </c>
      <c r="U182" s="355"/>
      <c r="V182" s="358"/>
      <c r="W182" s="355"/>
      <c r="X182" s="355"/>
      <c r="Y182" s="369"/>
      <c r="Z182" s="369"/>
      <c r="AA182" s="355"/>
      <c r="AB182" s="355"/>
      <c r="AC182" s="353"/>
      <c r="AD182" s="355"/>
      <c r="AE182" s="369"/>
      <c r="AF182" s="369"/>
      <c r="AG182" s="355"/>
      <c r="AH182" s="362"/>
      <c r="AI182" s="362"/>
      <c r="AJ182" s="362"/>
    </row>
    <row r="183" spans="1:36" ht="14.5" customHeight="1" x14ac:dyDescent="0.35">
      <c r="A183" s="355"/>
      <c r="B183" s="355"/>
      <c r="C183" s="348"/>
      <c r="D183" s="348"/>
      <c r="E183" s="355"/>
      <c r="F183" s="353"/>
      <c r="G183" s="76" t="s">
        <v>302</v>
      </c>
      <c r="H183" s="64"/>
      <c r="I183" s="139" t="s">
        <v>200</v>
      </c>
      <c r="J183" s="64"/>
      <c r="K183" s="64"/>
      <c r="L183" s="64"/>
      <c r="M183" s="64"/>
      <c r="N183" s="64"/>
      <c r="O183" s="64"/>
      <c r="P183" s="64"/>
      <c r="Q183" s="64"/>
      <c r="R183" s="64"/>
      <c r="S183" s="365"/>
      <c r="T183" s="136" t="str">
        <f t="shared" si="25"/>
        <v/>
      </c>
      <c r="U183" s="355"/>
      <c r="V183" s="358"/>
      <c r="W183" s="355"/>
      <c r="X183" s="355"/>
      <c r="Y183" s="369"/>
      <c r="Z183" s="369"/>
      <c r="AA183" s="355"/>
      <c r="AB183" s="355"/>
      <c r="AC183" s="353"/>
      <c r="AD183" s="355"/>
      <c r="AE183" s="369"/>
      <c r="AF183" s="369"/>
      <c r="AG183" s="355"/>
      <c r="AH183" s="362"/>
      <c r="AI183" s="362"/>
      <c r="AJ183" s="362"/>
    </row>
    <row r="184" spans="1:36" ht="14.5" customHeight="1" x14ac:dyDescent="0.35">
      <c r="A184" s="355"/>
      <c r="B184" s="355"/>
      <c r="C184" s="348"/>
      <c r="D184" s="348"/>
      <c r="E184" s="355"/>
      <c r="F184" s="353"/>
      <c r="G184" s="76" t="s">
        <v>303</v>
      </c>
      <c r="H184" s="64"/>
      <c r="I184" s="139" t="s">
        <v>202</v>
      </c>
      <c r="J184" s="64"/>
      <c r="K184" s="64"/>
      <c r="L184" s="64"/>
      <c r="M184" s="64"/>
      <c r="N184" s="64"/>
      <c r="O184" s="64"/>
      <c r="P184" s="64"/>
      <c r="Q184" s="64"/>
      <c r="R184" s="64"/>
      <c r="S184" s="365"/>
      <c r="T184" s="136" t="str">
        <f t="shared" si="25"/>
        <v/>
      </c>
      <c r="U184" s="355"/>
      <c r="V184" s="358"/>
      <c r="W184" s="355"/>
      <c r="X184" s="355"/>
      <c r="Y184" s="369"/>
      <c r="Z184" s="369"/>
      <c r="AA184" s="355"/>
      <c r="AB184" s="355"/>
      <c r="AC184" s="353"/>
      <c r="AD184" s="355"/>
      <c r="AE184" s="369"/>
      <c r="AF184" s="369"/>
      <c r="AG184" s="355"/>
      <c r="AH184" s="362"/>
      <c r="AI184" s="362"/>
      <c r="AJ184" s="362"/>
    </row>
    <row r="185" spans="1:36" ht="14.5" customHeight="1" x14ac:dyDescent="0.35">
      <c r="A185" s="355"/>
      <c r="B185" s="355"/>
      <c r="C185" s="348"/>
      <c r="D185" s="348"/>
      <c r="E185" s="355"/>
      <c r="F185" s="353"/>
      <c r="G185" s="76" t="s">
        <v>304</v>
      </c>
      <c r="H185" s="64"/>
      <c r="I185" s="139" t="s">
        <v>203</v>
      </c>
      <c r="J185" s="64"/>
      <c r="K185" s="64"/>
      <c r="L185" s="64"/>
      <c r="M185" s="64"/>
      <c r="N185" s="64"/>
      <c r="O185" s="64"/>
      <c r="P185" s="64"/>
      <c r="Q185" s="64"/>
      <c r="R185" s="64"/>
      <c r="S185" s="365"/>
      <c r="T185" s="136" t="str">
        <f t="shared" si="25"/>
        <v/>
      </c>
      <c r="U185" s="355"/>
      <c r="V185" s="358"/>
      <c r="W185" s="355"/>
      <c r="X185" s="355"/>
      <c r="Y185" s="369"/>
      <c r="Z185" s="369"/>
      <c r="AA185" s="355"/>
      <c r="AB185" s="355"/>
      <c r="AC185" s="353"/>
      <c r="AD185" s="355"/>
      <c r="AE185" s="369"/>
      <c r="AF185" s="369"/>
      <c r="AG185" s="355"/>
      <c r="AH185" s="362"/>
      <c r="AI185" s="362"/>
      <c r="AJ185" s="362"/>
    </row>
    <row r="186" spans="1:36" ht="14.5" customHeight="1" x14ac:dyDescent="0.35">
      <c r="A186" s="355"/>
      <c r="B186" s="355"/>
      <c r="C186" s="348"/>
      <c r="D186" s="348"/>
      <c r="E186" s="355"/>
      <c r="F186" s="353"/>
      <c r="G186" s="76" t="s">
        <v>305</v>
      </c>
      <c r="H186" s="64"/>
      <c r="I186" s="139" t="s">
        <v>204</v>
      </c>
      <c r="J186" s="64"/>
      <c r="K186" s="64"/>
      <c r="L186" s="64"/>
      <c r="M186" s="64"/>
      <c r="N186" s="64"/>
      <c r="O186" s="64"/>
      <c r="P186" s="64"/>
      <c r="Q186" s="64"/>
      <c r="R186" s="64"/>
      <c r="S186" s="365"/>
      <c r="T186" s="136" t="str">
        <f t="shared" si="25"/>
        <v/>
      </c>
      <c r="U186" s="355"/>
      <c r="V186" s="358"/>
      <c r="W186" s="355"/>
      <c r="X186" s="355"/>
      <c r="Y186" s="369"/>
      <c r="Z186" s="369"/>
      <c r="AA186" s="355"/>
      <c r="AB186" s="355"/>
      <c r="AC186" s="353"/>
      <c r="AD186" s="355"/>
      <c r="AE186" s="369"/>
      <c r="AF186" s="369"/>
      <c r="AG186" s="355"/>
      <c r="AH186" s="362"/>
      <c r="AI186" s="362"/>
      <c r="AJ186" s="362"/>
    </row>
    <row r="187" spans="1:36" ht="14.5" customHeight="1" x14ac:dyDescent="0.35">
      <c r="A187" s="355"/>
      <c r="B187" s="355"/>
      <c r="C187" s="349"/>
      <c r="D187" s="349"/>
      <c r="E187" s="355"/>
      <c r="F187" s="353"/>
      <c r="G187" s="76" t="s">
        <v>306</v>
      </c>
      <c r="H187" s="64"/>
      <c r="I187" s="139" t="s">
        <v>205</v>
      </c>
      <c r="J187" s="64"/>
      <c r="K187" s="64"/>
      <c r="L187" s="64"/>
      <c r="M187" s="64"/>
      <c r="N187" s="64"/>
      <c r="O187" s="64"/>
      <c r="P187" s="64"/>
      <c r="Q187" s="64"/>
      <c r="R187" s="64"/>
      <c r="S187" s="366"/>
      <c r="T187" s="136" t="str">
        <f t="shared" si="25"/>
        <v/>
      </c>
      <c r="U187" s="355"/>
      <c r="V187" s="358"/>
      <c r="W187" s="355"/>
      <c r="X187" s="355"/>
      <c r="Y187" s="369"/>
      <c r="Z187" s="369"/>
      <c r="AA187" s="355"/>
      <c r="AB187" s="355"/>
      <c r="AC187" s="353"/>
      <c r="AD187" s="355"/>
      <c r="AE187" s="369"/>
      <c r="AF187" s="369"/>
      <c r="AG187" s="355"/>
      <c r="AH187" s="362"/>
      <c r="AI187" s="362"/>
      <c r="AJ187" s="362"/>
    </row>
    <row r="188" spans="1:36" ht="14.5" customHeight="1" x14ac:dyDescent="0.35">
      <c r="A188" s="359">
        <v>27</v>
      </c>
      <c r="B188" s="371" t="str">
        <f>IF($E188="","","BIA-"&amp;TEXT(27,"000"))</f>
        <v/>
      </c>
      <c r="C188" s="347" t="str">
        <f>IFERROR(INDEX(BusinessUnits1,MATCH(A188,'04. Products &amp; Services'!$N$6:$N$50,0)),"")</f>
        <v/>
      </c>
      <c r="D188" s="347" t="str">
        <f>IFERROR(INDEX(DivisionSites,MATCH(A188,'04. Products &amp; Services'!$N$6:$N$50,0)),"")</f>
        <v/>
      </c>
      <c r="E188" s="360" t="str">
        <f>IFERROR(INDEX(ScopeNames,MATCH(A188,'04. Products &amp; Services'!$N$6:$N$50,0)),"")</f>
        <v/>
      </c>
      <c r="F188" s="372" t="str">
        <f>_xlfn.XLOOKUP(E188,'04. Products &amp; Services'!$E$5:$E$50,'04. Products &amp; Services'!$B$5:$B$50,"")</f>
        <v/>
      </c>
      <c r="G188" s="76" t="s">
        <v>300</v>
      </c>
      <c r="H188" s="64"/>
      <c r="I188" s="139" t="s">
        <v>197</v>
      </c>
      <c r="J188" s="64"/>
      <c r="K188" s="64"/>
      <c r="L188" s="64"/>
      <c r="M188" s="64"/>
      <c r="N188" s="64"/>
      <c r="O188" s="64"/>
      <c r="P188" s="64"/>
      <c r="Q188" s="64"/>
      <c r="R188" s="64"/>
      <c r="S188" s="364" t="str">
        <f>IF(COUNT(J188:R194)=0,"",MAX(J188:R194))</f>
        <v/>
      </c>
      <c r="T188" s="136" t="str">
        <f t="shared" ref="T188:T194" si="26">IF($S$188="","",IF(COUNT(J188:R188)=0,"",IF(MAX(J188:R188)&gt;3,$I188,"")))</f>
        <v/>
      </c>
      <c r="U188" s="356" t="str" cm="1">
        <f t="array" ref="U188">IF($E188="","",_xlfn.LET(_xlpm.matches,_xlfn._xlws.FILTER('04. Products &amp; Services'!$J$6:$J$50,'04. Products &amp; Services'!$E$6:$E$50=$E188,""),_xlpm.n,COUNTIF($E$6:$E188,$E188),_xlpm.v,IFERROR(INDEX(_xlpm.matches,_xlpm.n),""),IF(OR(_xlpm.v="",_xlpm.v=0),"",_xlpm.v)))</f>
        <v/>
      </c>
      <c r="V188" s="357"/>
      <c r="W188" s="354" t="str">
        <f>IF($E188="","",IF(OR($U188="Yes",$V188="Yes"),"Yes",IF(AND($U188="No",$V188="No"),"No",IF(AND($U188="Under Evaluation",$V188="No"),"Under Evaluation",""))))</f>
        <v/>
      </c>
      <c r="X188" s="377" t="str">
        <f>IF($E188="","",IFERROR(_xlfn.LET(_xlpm.v,INDEX('04. Products &amp; Services'!$K$6:$K$50,MATCH($E188,ScopeNames,0)),IF(_xlpm.v="","",_xlpm.v)),""))</f>
        <v/>
      </c>
      <c r="Y188" s="376"/>
      <c r="Z188" s="376"/>
      <c r="AA188" s="354" t="str">
        <f>IF($E188="","",IF(COUNT(J188:R194)=0,"",IF(MAX(J188:J194)&gt;=4,6,IF(MAX(K188:K194)&gt;=4,18,IF(MAX(L188:L194)&gt;=4,36,IF(MAX(M188:M194)&gt;=4,72,IF(MAX(N188:N194)&gt;=4,168,IF(MAX(O188:O194)&gt;=4,336,IF(MAX(P188:P194)&gt;=4,504,IF(MAX(Q188:Q194)&gt;=4,672,IF(MAX(R188:R194)&gt;=4,"","")))))))))))</f>
        <v/>
      </c>
      <c r="AB188" s="354" t="str">
        <f>IF($F188="","",IFERROR(VLOOKUP($F188,'04. Products &amp; Services'!$B$5:$M$50,12,0),""))</f>
        <v/>
      </c>
      <c r="AC188" s="352"/>
      <c r="AD188" s="367" t="str" cm="1">
        <f t="array" ref="AD188">IF(ISBLANK(AC188),"",_xlfn.LET(
_xlpm.Num,--_xlfn.TEXTBEFORE(AC188," "),
_xlpm.Unit,LOWER(_xlfn.TEXTAFTER(AC188," ")),
_xlfn.SWITCH(_xlpm.Unit,
"hour",_xlpm.Num,
"hours",_xlpm.Num,
"day",_xlpm.Num*24,
"days",_xlpm.Num*24,
"week",_xlpm.Num*24*7,
"weeks",_xlpm.Num*24*7,
"month",_xlpm.Num*24*(365.25/12),
"months",_xlpm.Num*24*(365.25/12),
"")
))</f>
        <v/>
      </c>
      <c r="AE188" s="368"/>
      <c r="AF188" s="370"/>
      <c r="AG188" s="363" t="str">
        <f>IF($AF188="","",DATE(YEAR($AF188)+1,MONTH($AF188),DAY($AF188)))</f>
        <v/>
      </c>
      <c r="AH188" s="361" t="str" cm="1">
        <f t="array" ref="AH188">IF($B188="","",_xlfn.LET(_xlpm.ids,'15. BCM Risk Register'!$A$6:$A$65,_xlpm.links,'15. BCM Risk Register'!$I$6:$I$65,_xlpm.hit,ISNUMBER(SEARCH(","&amp;$B188&amp;",",","&amp;SUBSTITUTE(_xlpm.links," ","")&amp;",")),IFERROR(_xlfn.TEXTJOIN(", ",TRUE,_xlfn.UNIQUE(_xlfn._xlws.FILTER(_xlpm.ids,_xlpm.hit*(_xlpm.ids&lt;&gt;"")))),"Not Created")))</f>
        <v/>
      </c>
      <c r="AI188" s="361" t="str" cm="1">
        <f t="array" ref="AI188">IF($B188="","",_xlfn.LET(_xlpm.ids,'15. BCM Risk Register'!$L$6:$L$65,_xlpm.links,'15. BCM Risk Register'!$I$6:$I$65,_xlpm.hit,ISNUMBER(SEARCH(","&amp;$B188&amp;",",","&amp;SUBSTITUTE(_xlpm.links," ","")&amp;",")),IFERROR(_xlfn.TEXTJOIN(", ",TRUE,_xlfn.UNIQUE(_xlfn._xlws.FILTER(_xlpm.ids,_xlpm.hit*(_xlpm.ids&lt;&gt;"")*(_xlpm.ids&lt;&gt;"Not Created")))),"Not Created")))</f>
        <v/>
      </c>
      <c r="AJ188" s="361" t="str" cm="1">
        <f t="array" ref="AJ188">IF($B188="","",_xlfn.LET(_xlpm.ids,'15. BCM Risk Register'!$K$6:$K$65,_xlpm.links,'15. BCM Risk Register'!$I$6:$I$65,_xlpm.hit,ISNUMBER(SEARCH(","&amp;$B188&amp;",",","&amp;SUBSTITUTE(_xlpm.links," ","")&amp;",")),IFERROR(_xlfn.TEXTJOIN(", ",TRUE,_xlfn.UNIQUE(_xlfn._xlws.FILTER(_xlpm.ids,_xlpm.hit*(_xlpm.ids&lt;&gt;"")*(_xlpm.ids&lt;&gt;"Not Created")))),"Not Created")))</f>
        <v/>
      </c>
    </row>
    <row r="189" spans="1:36" ht="14.5" customHeight="1" x14ac:dyDescent="0.35">
      <c r="A189" s="355"/>
      <c r="B189" s="355"/>
      <c r="C189" s="348"/>
      <c r="D189" s="348"/>
      <c r="E189" s="355"/>
      <c r="F189" s="353"/>
      <c r="G189" s="76" t="s">
        <v>301</v>
      </c>
      <c r="H189" s="64"/>
      <c r="I189" s="139" t="s">
        <v>199</v>
      </c>
      <c r="J189" s="64"/>
      <c r="K189" s="64"/>
      <c r="L189" s="64"/>
      <c r="M189" s="64"/>
      <c r="N189" s="64"/>
      <c r="O189" s="64"/>
      <c r="P189" s="64"/>
      <c r="Q189" s="64"/>
      <c r="R189" s="64"/>
      <c r="S189" s="365"/>
      <c r="T189" s="136" t="str">
        <f t="shared" si="26"/>
        <v/>
      </c>
      <c r="U189" s="355"/>
      <c r="V189" s="358"/>
      <c r="W189" s="355"/>
      <c r="X189" s="355"/>
      <c r="Y189" s="369"/>
      <c r="Z189" s="369"/>
      <c r="AA189" s="355"/>
      <c r="AB189" s="355"/>
      <c r="AC189" s="353"/>
      <c r="AD189" s="355"/>
      <c r="AE189" s="369"/>
      <c r="AF189" s="369"/>
      <c r="AG189" s="355"/>
      <c r="AH189" s="362"/>
      <c r="AI189" s="362"/>
      <c r="AJ189" s="362"/>
    </row>
    <row r="190" spans="1:36" ht="14.5" customHeight="1" x14ac:dyDescent="0.35">
      <c r="A190" s="355"/>
      <c r="B190" s="355"/>
      <c r="C190" s="348"/>
      <c r="D190" s="348"/>
      <c r="E190" s="355"/>
      <c r="F190" s="353"/>
      <c r="G190" s="76" t="s">
        <v>302</v>
      </c>
      <c r="H190" s="64"/>
      <c r="I190" s="139" t="s">
        <v>200</v>
      </c>
      <c r="J190" s="64"/>
      <c r="K190" s="64"/>
      <c r="L190" s="64"/>
      <c r="M190" s="64"/>
      <c r="N190" s="64"/>
      <c r="O190" s="64"/>
      <c r="P190" s="64"/>
      <c r="Q190" s="64"/>
      <c r="R190" s="64"/>
      <c r="S190" s="365"/>
      <c r="T190" s="136" t="str">
        <f t="shared" si="26"/>
        <v/>
      </c>
      <c r="U190" s="355"/>
      <c r="V190" s="358"/>
      <c r="W190" s="355"/>
      <c r="X190" s="355"/>
      <c r="Y190" s="369"/>
      <c r="Z190" s="369"/>
      <c r="AA190" s="355"/>
      <c r="AB190" s="355"/>
      <c r="AC190" s="353"/>
      <c r="AD190" s="355"/>
      <c r="AE190" s="369"/>
      <c r="AF190" s="369"/>
      <c r="AG190" s="355"/>
      <c r="AH190" s="362"/>
      <c r="AI190" s="362"/>
      <c r="AJ190" s="362"/>
    </row>
    <row r="191" spans="1:36" ht="14.5" customHeight="1" x14ac:dyDescent="0.35">
      <c r="A191" s="355"/>
      <c r="B191" s="355"/>
      <c r="C191" s="348"/>
      <c r="D191" s="348"/>
      <c r="E191" s="355"/>
      <c r="F191" s="353"/>
      <c r="G191" s="76" t="s">
        <v>303</v>
      </c>
      <c r="H191" s="64"/>
      <c r="I191" s="139" t="s">
        <v>202</v>
      </c>
      <c r="J191" s="64"/>
      <c r="K191" s="64"/>
      <c r="L191" s="64"/>
      <c r="M191" s="64"/>
      <c r="N191" s="64"/>
      <c r="O191" s="64"/>
      <c r="P191" s="64"/>
      <c r="Q191" s="64"/>
      <c r="R191" s="64"/>
      <c r="S191" s="365"/>
      <c r="T191" s="136" t="str">
        <f t="shared" si="26"/>
        <v/>
      </c>
      <c r="U191" s="355"/>
      <c r="V191" s="358"/>
      <c r="W191" s="355"/>
      <c r="X191" s="355"/>
      <c r="Y191" s="369"/>
      <c r="Z191" s="369"/>
      <c r="AA191" s="355"/>
      <c r="AB191" s="355"/>
      <c r="AC191" s="353"/>
      <c r="AD191" s="355"/>
      <c r="AE191" s="369"/>
      <c r="AF191" s="369"/>
      <c r="AG191" s="355"/>
      <c r="AH191" s="362"/>
      <c r="AI191" s="362"/>
      <c r="AJ191" s="362"/>
    </row>
    <row r="192" spans="1:36" ht="14.5" customHeight="1" x14ac:dyDescent="0.35">
      <c r="A192" s="355"/>
      <c r="B192" s="355"/>
      <c r="C192" s="348"/>
      <c r="D192" s="348"/>
      <c r="E192" s="355"/>
      <c r="F192" s="353"/>
      <c r="G192" s="76" t="s">
        <v>304</v>
      </c>
      <c r="H192" s="64"/>
      <c r="I192" s="139" t="s">
        <v>203</v>
      </c>
      <c r="J192" s="64"/>
      <c r="K192" s="64"/>
      <c r="L192" s="64"/>
      <c r="M192" s="64"/>
      <c r="N192" s="64"/>
      <c r="O192" s="64"/>
      <c r="P192" s="64"/>
      <c r="Q192" s="64"/>
      <c r="R192" s="64"/>
      <c r="S192" s="365"/>
      <c r="T192" s="136" t="str">
        <f t="shared" si="26"/>
        <v/>
      </c>
      <c r="U192" s="355"/>
      <c r="V192" s="358"/>
      <c r="W192" s="355"/>
      <c r="X192" s="355"/>
      <c r="Y192" s="369"/>
      <c r="Z192" s="369"/>
      <c r="AA192" s="355"/>
      <c r="AB192" s="355"/>
      <c r="AC192" s="353"/>
      <c r="AD192" s="355"/>
      <c r="AE192" s="369"/>
      <c r="AF192" s="369"/>
      <c r="AG192" s="355"/>
      <c r="AH192" s="362"/>
      <c r="AI192" s="362"/>
      <c r="AJ192" s="362"/>
    </row>
    <row r="193" spans="1:36" ht="14.5" customHeight="1" x14ac:dyDescent="0.35">
      <c r="A193" s="355"/>
      <c r="B193" s="355"/>
      <c r="C193" s="348"/>
      <c r="D193" s="348"/>
      <c r="E193" s="355"/>
      <c r="F193" s="353"/>
      <c r="G193" s="76" t="s">
        <v>305</v>
      </c>
      <c r="H193" s="64"/>
      <c r="I193" s="139" t="s">
        <v>204</v>
      </c>
      <c r="J193" s="64"/>
      <c r="K193" s="64"/>
      <c r="L193" s="64"/>
      <c r="M193" s="64"/>
      <c r="N193" s="64"/>
      <c r="O193" s="64"/>
      <c r="P193" s="64"/>
      <c r="Q193" s="64"/>
      <c r="R193" s="64"/>
      <c r="S193" s="365"/>
      <c r="T193" s="136" t="str">
        <f t="shared" si="26"/>
        <v/>
      </c>
      <c r="U193" s="355"/>
      <c r="V193" s="358"/>
      <c r="W193" s="355"/>
      <c r="X193" s="355"/>
      <c r="Y193" s="369"/>
      <c r="Z193" s="369"/>
      <c r="AA193" s="355"/>
      <c r="AB193" s="355"/>
      <c r="AC193" s="353"/>
      <c r="AD193" s="355"/>
      <c r="AE193" s="369"/>
      <c r="AF193" s="369"/>
      <c r="AG193" s="355"/>
      <c r="AH193" s="362"/>
      <c r="AI193" s="362"/>
      <c r="AJ193" s="362"/>
    </row>
    <row r="194" spans="1:36" ht="14.5" customHeight="1" x14ac:dyDescent="0.35">
      <c r="A194" s="355"/>
      <c r="B194" s="355"/>
      <c r="C194" s="349"/>
      <c r="D194" s="349"/>
      <c r="E194" s="355"/>
      <c r="F194" s="353"/>
      <c r="G194" s="76" t="s">
        <v>306</v>
      </c>
      <c r="H194" s="64"/>
      <c r="I194" s="139" t="s">
        <v>205</v>
      </c>
      <c r="J194" s="64"/>
      <c r="K194" s="64"/>
      <c r="L194" s="64"/>
      <c r="M194" s="64"/>
      <c r="N194" s="64"/>
      <c r="O194" s="64"/>
      <c r="P194" s="64"/>
      <c r="Q194" s="64"/>
      <c r="R194" s="64"/>
      <c r="S194" s="366"/>
      <c r="T194" s="136" t="str">
        <f t="shared" si="26"/>
        <v/>
      </c>
      <c r="U194" s="355"/>
      <c r="V194" s="358"/>
      <c r="W194" s="355"/>
      <c r="X194" s="355"/>
      <c r="Y194" s="369"/>
      <c r="Z194" s="369"/>
      <c r="AA194" s="355"/>
      <c r="AB194" s="355"/>
      <c r="AC194" s="353"/>
      <c r="AD194" s="355"/>
      <c r="AE194" s="369"/>
      <c r="AF194" s="369"/>
      <c r="AG194" s="355"/>
      <c r="AH194" s="362"/>
      <c r="AI194" s="362"/>
      <c r="AJ194" s="362"/>
    </row>
    <row r="195" spans="1:36" ht="14.5" customHeight="1" x14ac:dyDescent="0.35">
      <c r="A195" s="359">
        <v>28</v>
      </c>
      <c r="B195" s="371" t="str">
        <f>IF($E195="","","BIA-"&amp;TEXT(28,"000"))</f>
        <v/>
      </c>
      <c r="C195" s="347" t="str">
        <f>IFERROR(INDEX(BusinessUnits1,MATCH(A195,'04. Products &amp; Services'!$N$6:$N$50,0)),"")</f>
        <v/>
      </c>
      <c r="D195" s="347" t="str">
        <f>IFERROR(INDEX(DivisionSites,MATCH(A195,'04. Products &amp; Services'!$N$6:$N$50,0)),"")</f>
        <v/>
      </c>
      <c r="E195" s="360" t="str">
        <f>IFERROR(INDEX(ScopeNames,MATCH(A195,'04. Products &amp; Services'!$N$6:$N$50,0)),"")</f>
        <v/>
      </c>
      <c r="F195" s="372" t="str">
        <f>_xlfn.XLOOKUP(E195,'04. Products &amp; Services'!$E$5:$E$50,'04. Products &amp; Services'!$B$5:$B$50,"")</f>
        <v/>
      </c>
      <c r="G195" s="76" t="s">
        <v>300</v>
      </c>
      <c r="H195" s="64"/>
      <c r="I195" s="139" t="s">
        <v>197</v>
      </c>
      <c r="J195" s="64"/>
      <c r="K195" s="64"/>
      <c r="L195" s="64"/>
      <c r="M195" s="64"/>
      <c r="N195" s="64"/>
      <c r="O195" s="64"/>
      <c r="P195" s="64"/>
      <c r="Q195" s="64"/>
      <c r="R195" s="64"/>
      <c r="S195" s="364" t="str">
        <f>IF(COUNT(J195:R201)=0,"",MAX(J195:R201))</f>
        <v/>
      </c>
      <c r="T195" s="136" t="str">
        <f t="shared" ref="T195:T201" si="27">IF($S$195="","",IF(COUNT(J195:R195)=0,"",IF(MAX(J195:R195)&gt;3,$I195,"")))</f>
        <v/>
      </c>
      <c r="U195" s="356" t="str" cm="1">
        <f t="array" ref="U195">IF($E195="","",_xlfn.LET(_xlpm.matches,_xlfn._xlws.FILTER('04. Products &amp; Services'!$J$6:$J$50,'04. Products &amp; Services'!$E$6:$E$50=$E195,""),_xlpm.n,COUNTIF($E$6:$E195,$E195),_xlpm.v,IFERROR(INDEX(_xlpm.matches,_xlpm.n),""),IF(OR(_xlpm.v="",_xlpm.v=0),"",_xlpm.v)))</f>
        <v/>
      </c>
      <c r="V195" s="357"/>
      <c r="W195" s="354" t="str">
        <f>IF($E195="","",IF(OR($U195="Yes",$V195="Yes"),"Yes",IF(AND($U195="No",$V195="No"),"No",IF(AND($U195="Under Evaluation",$V195="No"),"Under Evaluation",""))))</f>
        <v/>
      </c>
      <c r="X195" s="377" t="str">
        <f>IF($E195="","",IFERROR(_xlfn.LET(_xlpm.v,INDEX('04. Products &amp; Services'!$K$6:$K$50,MATCH($E195,ScopeNames,0)),IF(_xlpm.v="","",_xlpm.v)),""))</f>
        <v/>
      </c>
      <c r="Y195" s="376"/>
      <c r="Z195" s="376"/>
      <c r="AA195" s="354" t="str">
        <f>IF($E195="","",IF(COUNT(J195:R201)=0,"",IF(MAX(J195:J201)&gt;=4,6,IF(MAX(K195:K201)&gt;=4,18,IF(MAX(L195:L201)&gt;=4,36,IF(MAX(M195:M201)&gt;=4,72,IF(MAX(N195:N201)&gt;=4,168,IF(MAX(O195:O201)&gt;=4,336,IF(MAX(P195:P201)&gt;=4,504,IF(MAX(Q195:Q201)&gt;=4,672,IF(MAX(R195:R201)&gt;=4,"","")))))))))))</f>
        <v/>
      </c>
      <c r="AB195" s="354" t="str">
        <f>IF($F195="","",IFERROR(VLOOKUP($F195,'04. Products &amp; Services'!$B$5:$M$50,12,0),""))</f>
        <v/>
      </c>
      <c r="AC195" s="352"/>
      <c r="AD195" s="367" t="str" cm="1">
        <f t="array" ref="AD195">IF(ISBLANK(AC195),"",_xlfn.LET(
_xlpm.Num,--_xlfn.TEXTBEFORE(AC195," "),
_xlpm.Unit,LOWER(_xlfn.TEXTAFTER(AC195," ")),
_xlfn.SWITCH(_xlpm.Unit,
"hour",_xlpm.Num,
"hours",_xlpm.Num,
"day",_xlpm.Num*24,
"days",_xlpm.Num*24,
"week",_xlpm.Num*24*7,
"weeks",_xlpm.Num*24*7,
"month",_xlpm.Num*24*(365.25/12),
"months",_xlpm.Num*24*(365.25/12),
"")
))</f>
        <v/>
      </c>
      <c r="AE195" s="368"/>
      <c r="AF195" s="370"/>
      <c r="AG195" s="363" t="str">
        <f>IF($AF195="","",DATE(YEAR($AF195)+1,MONTH($AF195),DAY($AF195)))</f>
        <v/>
      </c>
      <c r="AH195" s="361" t="str" cm="1">
        <f t="array" ref="AH195">IF($B195="","",_xlfn.LET(_xlpm.ids,'15. BCM Risk Register'!$A$6:$A$65,_xlpm.links,'15. BCM Risk Register'!$I$6:$I$65,_xlpm.hit,ISNUMBER(SEARCH(","&amp;$B195&amp;",",","&amp;SUBSTITUTE(_xlpm.links," ","")&amp;",")),IFERROR(_xlfn.TEXTJOIN(", ",TRUE,_xlfn.UNIQUE(_xlfn._xlws.FILTER(_xlpm.ids,_xlpm.hit*(_xlpm.ids&lt;&gt;"")))),"Not Created")))</f>
        <v/>
      </c>
      <c r="AI195" s="361" t="str" cm="1">
        <f t="array" ref="AI195">IF($B195="","",_xlfn.LET(_xlpm.ids,'15. BCM Risk Register'!$L$6:$L$65,_xlpm.links,'15. BCM Risk Register'!$I$6:$I$65,_xlpm.hit,ISNUMBER(SEARCH(","&amp;$B195&amp;",",","&amp;SUBSTITUTE(_xlpm.links," ","")&amp;",")),IFERROR(_xlfn.TEXTJOIN(", ",TRUE,_xlfn.UNIQUE(_xlfn._xlws.FILTER(_xlpm.ids,_xlpm.hit*(_xlpm.ids&lt;&gt;"")*(_xlpm.ids&lt;&gt;"Not Created")))),"Not Created")))</f>
        <v/>
      </c>
      <c r="AJ195" s="361" t="str" cm="1">
        <f t="array" ref="AJ195">IF($B195="","",_xlfn.LET(_xlpm.ids,'15. BCM Risk Register'!$K$6:$K$65,_xlpm.links,'15. BCM Risk Register'!$I$6:$I$65,_xlpm.hit,ISNUMBER(SEARCH(","&amp;$B195&amp;",",","&amp;SUBSTITUTE(_xlpm.links," ","")&amp;",")),IFERROR(_xlfn.TEXTJOIN(", ",TRUE,_xlfn.UNIQUE(_xlfn._xlws.FILTER(_xlpm.ids,_xlpm.hit*(_xlpm.ids&lt;&gt;"")*(_xlpm.ids&lt;&gt;"Not Created")))),"Not Created")))</f>
        <v/>
      </c>
    </row>
    <row r="196" spans="1:36" ht="14.5" customHeight="1" x14ac:dyDescent="0.35">
      <c r="A196" s="355"/>
      <c r="B196" s="355"/>
      <c r="C196" s="348"/>
      <c r="D196" s="348"/>
      <c r="E196" s="355"/>
      <c r="F196" s="353"/>
      <c r="G196" s="76" t="s">
        <v>301</v>
      </c>
      <c r="H196" s="64"/>
      <c r="I196" s="139" t="s">
        <v>199</v>
      </c>
      <c r="J196" s="64"/>
      <c r="K196" s="64"/>
      <c r="L196" s="64"/>
      <c r="M196" s="64"/>
      <c r="N196" s="64"/>
      <c r="O196" s="64"/>
      <c r="P196" s="64"/>
      <c r="Q196" s="64"/>
      <c r="R196" s="64"/>
      <c r="S196" s="365"/>
      <c r="T196" s="136" t="str">
        <f t="shared" si="27"/>
        <v/>
      </c>
      <c r="U196" s="355"/>
      <c r="V196" s="358"/>
      <c r="W196" s="355"/>
      <c r="X196" s="355"/>
      <c r="Y196" s="369"/>
      <c r="Z196" s="369"/>
      <c r="AA196" s="355"/>
      <c r="AB196" s="355"/>
      <c r="AC196" s="353"/>
      <c r="AD196" s="355"/>
      <c r="AE196" s="369"/>
      <c r="AF196" s="369"/>
      <c r="AG196" s="355"/>
      <c r="AH196" s="362"/>
      <c r="AI196" s="362"/>
      <c r="AJ196" s="362"/>
    </row>
    <row r="197" spans="1:36" ht="14.5" customHeight="1" x14ac:dyDescent="0.35">
      <c r="A197" s="355"/>
      <c r="B197" s="355"/>
      <c r="C197" s="348"/>
      <c r="D197" s="348"/>
      <c r="E197" s="355"/>
      <c r="F197" s="353"/>
      <c r="G197" s="76" t="s">
        <v>302</v>
      </c>
      <c r="H197" s="64"/>
      <c r="I197" s="139" t="s">
        <v>200</v>
      </c>
      <c r="J197" s="64"/>
      <c r="K197" s="64"/>
      <c r="L197" s="64"/>
      <c r="M197" s="64"/>
      <c r="N197" s="64"/>
      <c r="O197" s="64"/>
      <c r="P197" s="64"/>
      <c r="Q197" s="64"/>
      <c r="R197" s="64"/>
      <c r="S197" s="365"/>
      <c r="T197" s="136" t="str">
        <f t="shared" si="27"/>
        <v/>
      </c>
      <c r="U197" s="355"/>
      <c r="V197" s="358"/>
      <c r="W197" s="355"/>
      <c r="X197" s="355"/>
      <c r="Y197" s="369"/>
      <c r="Z197" s="369"/>
      <c r="AA197" s="355"/>
      <c r="AB197" s="355"/>
      <c r="AC197" s="353"/>
      <c r="AD197" s="355"/>
      <c r="AE197" s="369"/>
      <c r="AF197" s="369"/>
      <c r="AG197" s="355"/>
      <c r="AH197" s="362"/>
      <c r="AI197" s="362"/>
      <c r="AJ197" s="362"/>
    </row>
    <row r="198" spans="1:36" ht="14.5" customHeight="1" x14ac:dyDescent="0.35">
      <c r="A198" s="355"/>
      <c r="B198" s="355"/>
      <c r="C198" s="348"/>
      <c r="D198" s="348"/>
      <c r="E198" s="355"/>
      <c r="F198" s="353"/>
      <c r="G198" s="76" t="s">
        <v>303</v>
      </c>
      <c r="H198" s="64"/>
      <c r="I198" s="139" t="s">
        <v>202</v>
      </c>
      <c r="J198" s="64"/>
      <c r="K198" s="64"/>
      <c r="L198" s="64"/>
      <c r="M198" s="64"/>
      <c r="N198" s="64"/>
      <c r="O198" s="64"/>
      <c r="P198" s="64"/>
      <c r="Q198" s="64"/>
      <c r="R198" s="64"/>
      <c r="S198" s="365"/>
      <c r="T198" s="136" t="str">
        <f t="shared" si="27"/>
        <v/>
      </c>
      <c r="U198" s="355"/>
      <c r="V198" s="358"/>
      <c r="W198" s="355"/>
      <c r="X198" s="355"/>
      <c r="Y198" s="369"/>
      <c r="Z198" s="369"/>
      <c r="AA198" s="355"/>
      <c r="AB198" s="355"/>
      <c r="AC198" s="353"/>
      <c r="AD198" s="355"/>
      <c r="AE198" s="369"/>
      <c r="AF198" s="369"/>
      <c r="AG198" s="355"/>
      <c r="AH198" s="362"/>
      <c r="AI198" s="362"/>
      <c r="AJ198" s="362"/>
    </row>
    <row r="199" spans="1:36" ht="14.5" customHeight="1" x14ac:dyDescent="0.35">
      <c r="A199" s="355"/>
      <c r="B199" s="355"/>
      <c r="C199" s="348"/>
      <c r="D199" s="348"/>
      <c r="E199" s="355"/>
      <c r="F199" s="353"/>
      <c r="G199" s="76" t="s">
        <v>304</v>
      </c>
      <c r="H199" s="64"/>
      <c r="I199" s="139" t="s">
        <v>203</v>
      </c>
      <c r="J199" s="64"/>
      <c r="K199" s="64"/>
      <c r="L199" s="64"/>
      <c r="M199" s="64"/>
      <c r="N199" s="64"/>
      <c r="O199" s="64"/>
      <c r="P199" s="64"/>
      <c r="Q199" s="64"/>
      <c r="R199" s="64"/>
      <c r="S199" s="365"/>
      <c r="T199" s="136" t="str">
        <f t="shared" si="27"/>
        <v/>
      </c>
      <c r="U199" s="355"/>
      <c r="V199" s="358"/>
      <c r="W199" s="355"/>
      <c r="X199" s="355"/>
      <c r="Y199" s="369"/>
      <c r="Z199" s="369"/>
      <c r="AA199" s="355"/>
      <c r="AB199" s="355"/>
      <c r="AC199" s="353"/>
      <c r="AD199" s="355"/>
      <c r="AE199" s="369"/>
      <c r="AF199" s="369"/>
      <c r="AG199" s="355"/>
      <c r="AH199" s="362"/>
      <c r="AI199" s="362"/>
      <c r="AJ199" s="362"/>
    </row>
    <row r="200" spans="1:36" ht="14.5" customHeight="1" x14ac:dyDescent="0.35">
      <c r="A200" s="355"/>
      <c r="B200" s="355"/>
      <c r="C200" s="348"/>
      <c r="D200" s="348"/>
      <c r="E200" s="355"/>
      <c r="F200" s="353"/>
      <c r="G200" s="76" t="s">
        <v>305</v>
      </c>
      <c r="H200" s="64"/>
      <c r="I200" s="139" t="s">
        <v>204</v>
      </c>
      <c r="J200" s="64"/>
      <c r="K200" s="64"/>
      <c r="L200" s="64"/>
      <c r="M200" s="64"/>
      <c r="N200" s="64"/>
      <c r="O200" s="64"/>
      <c r="P200" s="64"/>
      <c r="Q200" s="64"/>
      <c r="R200" s="64"/>
      <c r="S200" s="365"/>
      <c r="T200" s="136" t="str">
        <f t="shared" si="27"/>
        <v/>
      </c>
      <c r="U200" s="355"/>
      <c r="V200" s="358"/>
      <c r="W200" s="355"/>
      <c r="X200" s="355"/>
      <c r="Y200" s="369"/>
      <c r="Z200" s="369"/>
      <c r="AA200" s="355"/>
      <c r="AB200" s="355"/>
      <c r="AC200" s="353"/>
      <c r="AD200" s="355"/>
      <c r="AE200" s="369"/>
      <c r="AF200" s="369"/>
      <c r="AG200" s="355"/>
      <c r="AH200" s="362"/>
      <c r="AI200" s="362"/>
      <c r="AJ200" s="362"/>
    </row>
    <row r="201" spans="1:36" ht="14.5" customHeight="1" x14ac:dyDescent="0.35">
      <c r="A201" s="355"/>
      <c r="B201" s="355"/>
      <c r="C201" s="349"/>
      <c r="D201" s="349"/>
      <c r="E201" s="355"/>
      <c r="F201" s="353"/>
      <c r="G201" s="76" t="s">
        <v>306</v>
      </c>
      <c r="H201" s="64"/>
      <c r="I201" s="139" t="s">
        <v>205</v>
      </c>
      <c r="J201" s="64"/>
      <c r="K201" s="64"/>
      <c r="L201" s="64"/>
      <c r="M201" s="64"/>
      <c r="N201" s="64"/>
      <c r="O201" s="64"/>
      <c r="P201" s="64"/>
      <c r="Q201" s="64"/>
      <c r="R201" s="64"/>
      <c r="S201" s="366"/>
      <c r="T201" s="136" t="str">
        <f t="shared" si="27"/>
        <v/>
      </c>
      <c r="U201" s="355"/>
      <c r="V201" s="358"/>
      <c r="W201" s="355"/>
      <c r="X201" s="355"/>
      <c r="Y201" s="369"/>
      <c r="Z201" s="369"/>
      <c r="AA201" s="355"/>
      <c r="AB201" s="355"/>
      <c r="AC201" s="353"/>
      <c r="AD201" s="355"/>
      <c r="AE201" s="369"/>
      <c r="AF201" s="369"/>
      <c r="AG201" s="355"/>
      <c r="AH201" s="362"/>
      <c r="AI201" s="362"/>
      <c r="AJ201" s="362"/>
    </row>
    <row r="202" spans="1:36" ht="14.5" customHeight="1" x14ac:dyDescent="0.35">
      <c r="A202" s="359">
        <v>29</v>
      </c>
      <c r="B202" s="371" t="str">
        <f>IF($E202="","","BIA-"&amp;TEXT(29,"000"))</f>
        <v/>
      </c>
      <c r="C202" s="347" t="str">
        <f>IFERROR(INDEX(BusinessUnits1,MATCH(A202,'04. Products &amp; Services'!$N$6:$N$50,0)),"")</f>
        <v/>
      </c>
      <c r="D202" s="347" t="str">
        <f>IFERROR(INDEX(DivisionSites,MATCH(A202,'04. Products &amp; Services'!$N$6:$N$50,0)),"")</f>
        <v/>
      </c>
      <c r="E202" s="360" t="str">
        <f>IFERROR(INDEX(ScopeNames,MATCH(A202,'04. Products &amp; Services'!$N$6:$N$50,0)),"")</f>
        <v/>
      </c>
      <c r="F202" s="372" t="str">
        <f>_xlfn.XLOOKUP(E202,'04. Products &amp; Services'!$E$5:$E$50,'04. Products &amp; Services'!$B$5:$B$50,"")</f>
        <v/>
      </c>
      <c r="G202" s="76" t="s">
        <v>300</v>
      </c>
      <c r="H202" s="64"/>
      <c r="I202" s="139" t="s">
        <v>197</v>
      </c>
      <c r="J202" s="64"/>
      <c r="K202" s="64"/>
      <c r="L202" s="64"/>
      <c r="M202" s="64"/>
      <c r="N202" s="64"/>
      <c r="O202" s="64"/>
      <c r="P202" s="64"/>
      <c r="Q202" s="64"/>
      <c r="R202" s="64"/>
      <c r="S202" s="364" t="str">
        <f>IF(COUNT(J202:R208)=0,"",MAX(J202:R208))</f>
        <v/>
      </c>
      <c r="T202" s="136" t="str">
        <f t="shared" ref="T202:T208" si="28">IF($S$202="","",IF(COUNT(J202:R202)=0,"",IF(MAX(J202:R202)&gt;3,$I202,"")))</f>
        <v/>
      </c>
      <c r="U202" s="356" t="str" cm="1">
        <f t="array" ref="U202">IF($E202="","",_xlfn.LET(_xlpm.matches,_xlfn._xlws.FILTER('04. Products &amp; Services'!$J$6:$J$50,'04. Products &amp; Services'!$E$6:$E$50=$E202,""),_xlpm.n,COUNTIF($E$6:$E202,$E202),_xlpm.v,IFERROR(INDEX(_xlpm.matches,_xlpm.n),""),IF(OR(_xlpm.v="",_xlpm.v=0),"",_xlpm.v)))</f>
        <v/>
      </c>
      <c r="V202" s="357"/>
      <c r="W202" s="354" t="str">
        <f>IF($E202="","",IF(OR($U202="Yes",$V202="Yes"),"Yes",IF(AND($U202="No",$V202="No"),"No",IF(AND($U202="Under Evaluation",$V202="No"),"Under Evaluation",""))))</f>
        <v/>
      </c>
      <c r="X202" s="377" t="str">
        <f>IF($E202="","",IFERROR(_xlfn.LET(_xlpm.v,INDEX('04. Products &amp; Services'!$K$6:$K$50,MATCH($E202,ScopeNames,0)),IF(_xlpm.v="","",_xlpm.v)),""))</f>
        <v/>
      </c>
      <c r="Y202" s="376"/>
      <c r="Z202" s="376"/>
      <c r="AA202" s="354" t="str">
        <f>IF($E202="","",IF(COUNT(J202:R208)=0,"",IF(MAX(J202:J208)&gt;=4,6,IF(MAX(K202:K208)&gt;=4,18,IF(MAX(L202:L208)&gt;=4,36,IF(MAX(M202:M208)&gt;=4,72,IF(MAX(N202:N208)&gt;=4,168,IF(MAX(O202:O208)&gt;=4,336,IF(MAX(P202:P208)&gt;=4,504,IF(MAX(Q202:Q208)&gt;=4,672,IF(MAX(R202:R208)&gt;=4,"","")))))))))))</f>
        <v/>
      </c>
      <c r="AB202" s="354" t="str">
        <f>IF($F202="","",IFERROR(VLOOKUP($F202,'04. Products &amp; Services'!$B$5:$M$50,12,0),""))</f>
        <v/>
      </c>
      <c r="AC202" s="352"/>
      <c r="AD202" s="367" t="str" cm="1">
        <f t="array" ref="AD202">IF(ISBLANK(AC202),"",_xlfn.LET(
_xlpm.Num,--_xlfn.TEXTBEFORE(AC202," "),
_xlpm.Unit,LOWER(_xlfn.TEXTAFTER(AC202," ")),
_xlfn.SWITCH(_xlpm.Unit,
"hour",_xlpm.Num,
"hours",_xlpm.Num,
"day",_xlpm.Num*24,
"days",_xlpm.Num*24,
"week",_xlpm.Num*24*7,
"weeks",_xlpm.Num*24*7,
"month",_xlpm.Num*24*(365.25/12),
"months",_xlpm.Num*24*(365.25/12),
"")
))</f>
        <v/>
      </c>
      <c r="AE202" s="368"/>
      <c r="AF202" s="370"/>
      <c r="AG202" s="363" t="str">
        <f>IF($AF202="","",DATE(YEAR($AF202)+1,MONTH($AF202),DAY($AF202)))</f>
        <v/>
      </c>
      <c r="AH202" s="361" t="str" cm="1">
        <f t="array" ref="AH202">IF($B202="","",_xlfn.LET(_xlpm.ids,'15. BCM Risk Register'!$A$6:$A$65,_xlpm.links,'15. BCM Risk Register'!$I$6:$I$65,_xlpm.hit,ISNUMBER(SEARCH(","&amp;$B202&amp;",",","&amp;SUBSTITUTE(_xlpm.links," ","")&amp;",")),IFERROR(_xlfn.TEXTJOIN(", ",TRUE,_xlfn.UNIQUE(_xlfn._xlws.FILTER(_xlpm.ids,_xlpm.hit*(_xlpm.ids&lt;&gt;"")))),"Not Created")))</f>
        <v/>
      </c>
      <c r="AI202" s="361" t="str" cm="1">
        <f t="array" ref="AI202">IF($B202="","",_xlfn.LET(_xlpm.ids,'15. BCM Risk Register'!$L$6:$L$65,_xlpm.links,'15. BCM Risk Register'!$I$6:$I$65,_xlpm.hit,ISNUMBER(SEARCH(","&amp;$B202&amp;",",","&amp;SUBSTITUTE(_xlpm.links," ","")&amp;",")),IFERROR(_xlfn.TEXTJOIN(", ",TRUE,_xlfn.UNIQUE(_xlfn._xlws.FILTER(_xlpm.ids,_xlpm.hit*(_xlpm.ids&lt;&gt;"")*(_xlpm.ids&lt;&gt;"Not Created")))),"Not Created")))</f>
        <v/>
      </c>
      <c r="AJ202" s="361" t="str" cm="1">
        <f t="array" ref="AJ202">IF($B202="","",_xlfn.LET(_xlpm.ids,'15. BCM Risk Register'!$K$6:$K$65,_xlpm.links,'15. BCM Risk Register'!$I$6:$I$65,_xlpm.hit,ISNUMBER(SEARCH(","&amp;$B202&amp;",",","&amp;SUBSTITUTE(_xlpm.links," ","")&amp;",")),IFERROR(_xlfn.TEXTJOIN(", ",TRUE,_xlfn.UNIQUE(_xlfn._xlws.FILTER(_xlpm.ids,_xlpm.hit*(_xlpm.ids&lt;&gt;"")*(_xlpm.ids&lt;&gt;"Not Created")))),"Not Created")))</f>
        <v/>
      </c>
    </row>
    <row r="203" spans="1:36" ht="14.5" customHeight="1" x14ac:dyDescent="0.35">
      <c r="A203" s="355"/>
      <c r="B203" s="355"/>
      <c r="C203" s="348"/>
      <c r="D203" s="348"/>
      <c r="E203" s="355"/>
      <c r="F203" s="353"/>
      <c r="G203" s="76" t="s">
        <v>301</v>
      </c>
      <c r="H203" s="64"/>
      <c r="I203" s="139" t="s">
        <v>199</v>
      </c>
      <c r="J203" s="64"/>
      <c r="K203" s="64"/>
      <c r="L203" s="64"/>
      <c r="M203" s="64"/>
      <c r="N203" s="64"/>
      <c r="O203" s="64"/>
      <c r="P203" s="64"/>
      <c r="Q203" s="64"/>
      <c r="R203" s="64"/>
      <c r="S203" s="365"/>
      <c r="T203" s="136" t="str">
        <f t="shared" si="28"/>
        <v/>
      </c>
      <c r="U203" s="355"/>
      <c r="V203" s="358"/>
      <c r="W203" s="355"/>
      <c r="X203" s="355"/>
      <c r="Y203" s="369"/>
      <c r="Z203" s="369"/>
      <c r="AA203" s="355"/>
      <c r="AB203" s="355"/>
      <c r="AC203" s="353"/>
      <c r="AD203" s="355"/>
      <c r="AE203" s="369"/>
      <c r="AF203" s="369"/>
      <c r="AG203" s="355"/>
      <c r="AH203" s="362"/>
      <c r="AI203" s="362"/>
      <c r="AJ203" s="362"/>
    </row>
    <row r="204" spans="1:36" ht="14.5" customHeight="1" x14ac:dyDescent="0.35">
      <c r="A204" s="355"/>
      <c r="B204" s="355"/>
      <c r="C204" s="348"/>
      <c r="D204" s="348"/>
      <c r="E204" s="355"/>
      <c r="F204" s="353"/>
      <c r="G204" s="76" t="s">
        <v>302</v>
      </c>
      <c r="H204" s="64"/>
      <c r="I204" s="139" t="s">
        <v>200</v>
      </c>
      <c r="J204" s="64"/>
      <c r="K204" s="64"/>
      <c r="L204" s="64"/>
      <c r="M204" s="64"/>
      <c r="N204" s="64"/>
      <c r="O204" s="64"/>
      <c r="P204" s="64"/>
      <c r="Q204" s="64"/>
      <c r="R204" s="64"/>
      <c r="S204" s="365"/>
      <c r="T204" s="136" t="str">
        <f t="shared" si="28"/>
        <v/>
      </c>
      <c r="U204" s="355"/>
      <c r="V204" s="358"/>
      <c r="W204" s="355"/>
      <c r="X204" s="355"/>
      <c r="Y204" s="369"/>
      <c r="Z204" s="369"/>
      <c r="AA204" s="355"/>
      <c r="AB204" s="355"/>
      <c r="AC204" s="353"/>
      <c r="AD204" s="355"/>
      <c r="AE204" s="369"/>
      <c r="AF204" s="369"/>
      <c r="AG204" s="355"/>
      <c r="AH204" s="362"/>
      <c r="AI204" s="362"/>
      <c r="AJ204" s="362"/>
    </row>
    <row r="205" spans="1:36" ht="14.5" customHeight="1" x14ac:dyDescent="0.35">
      <c r="A205" s="355"/>
      <c r="B205" s="355"/>
      <c r="C205" s="348"/>
      <c r="D205" s="348"/>
      <c r="E205" s="355"/>
      <c r="F205" s="353"/>
      <c r="G205" s="76" t="s">
        <v>303</v>
      </c>
      <c r="H205" s="64"/>
      <c r="I205" s="139" t="s">
        <v>202</v>
      </c>
      <c r="J205" s="64"/>
      <c r="K205" s="64"/>
      <c r="L205" s="64"/>
      <c r="M205" s="64"/>
      <c r="N205" s="64"/>
      <c r="O205" s="64"/>
      <c r="P205" s="64"/>
      <c r="Q205" s="64"/>
      <c r="R205" s="64"/>
      <c r="S205" s="365"/>
      <c r="T205" s="136" t="str">
        <f t="shared" si="28"/>
        <v/>
      </c>
      <c r="U205" s="355"/>
      <c r="V205" s="358"/>
      <c r="W205" s="355"/>
      <c r="X205" s="355"/>
      <c r="Y205" s="369"/>
      <c r="Z205" s="369"/>
      <c r="AA205" s="355"/>
      <c r="AB205" s="355"/>
      <c r="AC205" s="353"/>
      <c r="AD205" s="355"/>
      <c r="AE205" s="369"/>
      <c r="AF205" s="369"/>
      <c r="AG205" s="355"/>
      <c r="AH205" s="362"/>
      <c r="AI205" s="362"/>
      <c r="AJ205" s="362"/>
    </row>
    <row r="206" spans="1:36" ht="14.5" customHeight="1" x14ac:dyDescent="0.35">
      <c r="A206" s="355"/>
      <c r="B206" s="355"/>
      <c r="C206" s="348"/>
      <c r="D206" s="348"/>
      <c r="E206" s="355"/>
      <c r="F206" s="353"/>
      <c r="G206" s="76" t="s">
        <v>304</v>
      </c>
      <c r="H206" s="64"/>
      <c r="I206" s="139" t="s">
        <v>203</v>
      </c>
      <c r="J206" s="64"/>
      <c r="K206" s="64"/>
      <c r="L206" s="64"/>
      <c r="M206" s="64"/>
      <c r="N206" s="64"/>
      <c r="O206" s="64"/>
      <c r="P206" s="64"/>
      <c r="Q206" s="64"/>
      <c r="R206" s="64"/>
      <c r="S206" s="365"/>
      <c r="T206" s="136" t="str">
        <f t="shared" si="28"/>
        <v/>
      </c>
      <c r="U206" s="355"/>
      <c r="V206" s="358"/>
      <c r="W206" s="355"/>
      <c r="X206" s="355"/>
      <c r="Y206" s="369"/>
      <c r="Z206" s="369"/>
      <c r="AA206" s="355"/>
      <c r="AB206" s="355"/>
      <c r="AC206" s="353"/>
      <c r="AD206" s="355"/>
      <c r="AE206" s="369"/>
      <c r="AF206" s="369"/>
      <c r="AG206" s="355"/>
      <c r="AH206" s="362"/>
      <c r="AI206" s="362"/>
      <c r="AJ206" s="362"/>
    </row>
    <row r="207" spans="1:36" ht="14.5" customHeight="1" x14ac:dyDescent="0.35">
      <c r="A207" s="355"/>
      <c r="B207" s="355"/>
      <c r="C207" s="348"/>
      <c r="D207" s="348"/>
      <c r="E207" s="355"/>
      <c r="F207" s="353"/>
      <c r="G207" s="76" t="s">
        <v>305</v>
      </c>
      <c r="H207" s="64"/>
      <c r="I207" s="139" t="s">
        <v>204</v>
      </c>
      <c r="J207" s="64"/>
      <c r="K207" s="64"/>
      <c r="L207" s="64"/>
      <c r="M207" s="64"/>
      <c r="N207" s="64"/>
      <c r="O207" s="64"/>
      <c r="P207" s="64"/>
      <c r="Q207" s="64"/>
      <c r="R207" s="64"/>
      <c r="S207" s="365"/>
      <c r="T207" s="136" t="str">
        <f t="shared" si="28"/>
        <v/>
      </c>
      <c r="U207" s="355"/>
      <c r="V207" s="358"/>
      <c r="W207" s="355"/>
      <c r="X207" s="355"/>
      <c r="Y207" s="369"/>
      <c r="Z207" s="369"/>
      <c r="AA207" s="355"/>
      <c r="AB207" s="355"/>
      <c r="AC207" s="353"/>
      <c r="AD207" s="355"/>
      <c r="AE207" s="369"/>
      <c r="AF207" s="369"/>
      <c r="AG207" s="355"/>
      <c r="AH207" s="362"/>
      <c r="AI207" s="362"/>
      <c r="AJ207" s="362"/>
    </row>
    <row r="208" spans="1:36" ht="14.5" customHeight="1" x14ac:dyDescent="0.35">
      <c r="A208" s="355"/>
      <c r="B208" s="355"/>
      <c r="C208" s="349"/>
      <c r="D208" s="349"/>
      <c r="E208" s="355"/>
      <c r="F208" s="353"/>
      <c r="G208" s="76" t="s">
        <v>306</v>
      </c>
      <c r="H208" s="64"/>
      <c r="I208" s="139" t="s">
        <v>205</v>
      </c>
      <c r="J208" s="64"/>
      <c r="K208" s="64"/>
      <c r="L208" s="64"/>
      <c r="M208" s="64"/>
      <c r="N208" s="64"/>
      <c r="O208" s="64"/>
      <c r="P208" s="64"/>
      <c r="Q208" s="64"/>
      <c r="R208" s="64"/>
      <c r="S208" s="366"/>
      <c r="T208" s="136" t="str">
        <f t="shared" si="28"/>
        <v/>
      </c>
      <c r="U208" s="355"/>
      <c r="V208" s="358"/>
      <c r="W208" s="355"/>
      <c r="X208" s="355"/>
      <c r="Y208" s="369"/>
      <c r="Z208" s="369"/>
      <c r="AA208" s="355"/>
      <c r="AB208" s="355"/>
      <c r="AC208" s="353"/>
      <c r="AD208" s="355"/>
      <c r="AE208" s="369"/>
      <c r="AF208" s="369"/>
      <c r="AG208" s="355"/>
      <c r="AH208" s="362"/>
      <c r="AI208" s="362"/>
      <c r="AJ208" s="362"/>
    </row>
    <row r="209" spans="1:36" ht="14.5" customHeight="1" x14ac:dyDescent="0.35">
      <c r="A209" s="359">
        <v>30</v>
      </c>
      <c r="B209" s="371" t="str">
        <f>IF($E209="","","BIA-"&amp;TEXT(30,"000"))</f>
        <v/>
      </c>
      <c r="C209" s="347" t="str">
        <f>IFERROR(INDEX(BusinessUnits1,MATCH(A209,'04. Products &amp; Services'!$N$6:$N$50,0)),"")</f>
        <v/>
      </c>
      <c r="D209" s="347" t="str">
        <f>IFERROR(INDEX(DivisionSites,MATCH(A209,'04. Products &amp; Services'!$N$6:$N$50,0)),"")</f>
        <v/>
      </c>
      <c r="E209" s="360" t="str">
        <f>IFERROR(INDEX(ScopeNames,MATCH(A209,'04. Products &amp; Services'!$N$6:$N$50,0)),"")</f>
        <v/>
      </c>
      <c r="F209" s="372" t="str">
        <f>_xlfn.XLOOKUP(E209,'04. Products &amp; Services'!$E$5:$E$50,'04. Products &amp; Services'!$B$5:$B$50,"")</f>
        <v/>
      </c>
      <c r="G209" s="76" t="s">
        <v>300</v>
      </c>
      <c r="H209" s="64"/>
      <c r="I209" s="139" t="s">
        <v>197</v>
      </c>
      <c r="J209" s="64"/>
      <c r="K209" s="64"/>
      <c r="L209" s="64"/>
      <c r="M209" s="64"/>
      <c r="N209" s="64"/>
      <c r="O209" s="64"/>
      <c r="P209" s="64"/>
      <c r="Q209" s="64"/>
      <c r="R209" s="64"/>
      <c r="S209" s="364" t="str">
        <f>IF(COUNT(J209:R215)=0,"",MAX(J209:R215))</f>
        <v/>
      </c>
      <c r="T209" s="136" t="str">
        <f t="shared" ref="T209:T215" si="29">IF($S$209="","",IF(COUNT(J209:R209)=0,"",IF(MAX(J209:R209)&gt;3,$I209,"")))</f>
        <v/>
      </c>
      <c r="U209" s="356" t="str" cm="1">
        <f t="array" ref="U209">IF($E209="","",_xlfn.LET(_xlpm.matches,_xlfn._xlws.FILTER('04. Products &amp; Services'!$J$6:$J$50,'04. Products &amp; Services'!$E$6:$E$50=$E209,""),_xlpm.n,COUNTIF($E$6:$E209,$E209),_xlpm.v,IFERROR(INDEX(_xlpm.matches,_xlpm.n),""),IF(OR(_xlpm.v="",_xlpm.v=0),"",_xlpm.v)))</f>
        <v/>
      </c>
      <c r="V209" s="357"/>
      <c r="W209" s="354" t="str">
        <f>IF($E209="","",IF(OR($U209="Yes",$V209="Yes"),"Yes",IF(AND($U209="No",$V209="No"),"No",IF(AND($U209="Under Evaluation",$V209="No"),"Under Evaluation",""))))</f>
        <v/>
      </c>
      <c r="X209" s="377" t="str">
        <f>IF($E209="","",IFERROR(_xlfn.LET(_xlpm.v,INDEX('04. Products &amp; Services'!$K$6:$K$50,MATCH($E209,ScopeNames,0)),IF(_xlpm.v="","",_xlpm.v)),""))</f>
        <v/>
      </c>
      <c r="Y209" s="376"/>
      <c r="Z209" s="376"/>
      <c r="AA209" s="354" t="str">
        <f>IF($E209="","",IF(COUNT(J209:R215)=0,"",IF(MAX(J209:J215)&gt;=4,6,IF(MAX(K209:K215)&gt;=4,18,IF(MAX(L209:L215)&gt;=4,36,IF(MAX(M209:M215)&gt;=4,72,IF(MAX(N209:N215)&gt;=4,168,IF(MAX(O209:O215)&gt;=4,336,IF(MAX(P209:P215)&gt;=4,504,IF(MAX(Q209:Q215)&gt;=4,672,IF(MAX(R209:R215)&gt;=4,"","")))))))))))</f>
        <v/>
      </c>
      <c r="AB209" s="354" t="str">
        <f>IF($F209="","",IFERROR(VLOOKUP($F209,'04. Products &amp; Services'!$B$5:$M$50,12,0),""))</f>
        <v/>
      </c>
      <c r="AC209" s="352"/>
      <c r="AD209" s="367" t="str" cm="1">
        <f t="array" ref="AD209">IF(ISBLANK(AC209),"",_xlfn.LET(
_xlpm.Num,--_xlfn.TEXTBEFORE(AC209," "),
_xlpm.Unit,LOWER(_xlfn.TEXTAFTER(AC209," ")),
_xlfn.SWITCH(_xlpm.Unit,
"hour",_xlpm.Num,
"hours",_xlpm.Num,
"day",_xlpm.Num*24,
"days",_xlpm.Num*24,
"week",_xlpm.Num*24*7,
"weeks",_xlpm.Num*24*7,
"month",_xlpm.Num*24*(365.25/12),
"months",_xlpm.Num*24*(365.25/12),
"")
))</f>
        <v/>
      </c>
      <c r="AE209" s="368"/>
      <c r="AF209" s="370"/>
      <c r="AG209" s="363" t="str">
        <f>IF($AF209="","",DATE(YEAR($AF209)+1,MONTH($AF209),DAY($AF209)))</f>
        <v/>
      </c>
      <c r="AH209" s="361" t="str" cm="1">
        <f t="array" ref="AH209">IF($B209="","",_xlfn.LET(_xlpm.ids,'15. BCM Risk Register'!$A$6:$A$65,_xlpm.links,'15. BCM Risk Register'!$I$6:$I$65,_xlpm.hit,ISNUMBER(SEARCH(","&amp;$B209&amp;",",","&amp;SUBSTITUTE(_xlpm.links," ","")&amp;",")),IFERROR(_xlfn.TEXTJOIN(", ",TRUE,_xlfn.UNIQUE(_xlfn._xlws.FILTER(_xlpm.ids,_xlpm.hit*(_xlpm.ids&lt;&gt;"")))),"Not Created")))</f>
        <v/>
      </c>
      <c r="AI209" s="361" t="str" cm="1">
        <f t="array" ref="AI209">IF($B209="","",_xlfn.LET(_xlpm.ids,'15. BCM Risk Register'!$L$6:$L$65,_xlpm.links,'15. BCM Risk Register'!$I$6:$I$65,_xlpm.hit,ISNUMBER(SEARCH(","&amp;$B209&amp;",",","&amp;SUBSTITUTE(_xlpm.links," ","")&amp;",")),IFERROR(_xlfn.TEXTJOIN(", ",TRUE,_xlfn.UNIQUE(_xlfn._xlws.FILTER(_xlpm.ids,_xlpm.hit*(_xlpm.ids&lt;&gt;"")*(_xlpm.ids&lt;&gt;"Not Created")))),"Not Created")))</f>
        <v/>
      </c>
      <c r="AJ209" s="361" t="str" cm="1">
        <f t="array" ref="AJ209">IF($B209="","",_xlfn.LET(_xlpm.ids,'15. BCM Risk Register'!$K$6:$K$65,_xlpm.links,'15. BCM Risk Register'!$I$6:$I$65,_xlpm.hit,ISNUMBER(SEARCH(","&amp;$B209&amp;",",","&amp;SUBSTITUTE(_xlpm.links," ","")&amp;",")),IFERROR(_xlfn.TEXTJOIN(", ",TRUE,_xlfn.UNIQUE(_xlfn._xlws.FILTER(_xlpm.ids,_xlpm.hit*(_xlpm.ids&lt;&gt;"")*(_xlpm.ids&lt;&gt;"Not Created")))),"Not Created")))</f>
        <v/>
      </c>
    </row>
    <row r="210" spans="1:36" ht="14.5" customHeight="1" x14ac:dyDescent="0.35">
      <c r="A210" s="355"/>
      <c r="B210" s="355"/>
      <c r="C210" s="348"/>
      <c r="D210" s="348"/>
      <c r="E210" s="355"/>
      <c r="F210" s="353"/>
      <c r="G210" s="76" t="s">
        <v>301</v>
      </c>
      <c r="H210" s="64"/>
      <c r="I210" s="139" t="s">
        <v>199</v>
      </c>
      <c r="J210" s="64"/>
      <c r="K210" s="64"/>
      <c r="L210" s="64"/>
      <c r="M210" s="64"/>
      <c r="N210" s="64"/>
      <c r="O210" s="64"/>
      <c r="P210" s="64"/>
      <c r="Q210" s="64"/>
      <c r="R210" s="64"/>
      <c r="S210" s="365"/>
      <c r="T210" s="136" t="str">
        <f t="shared" si="29"/>
        <v/>
      </c>
      <c r="U210" s="355"/>
      <c r="V210" s="358"/>
      <c r="W210" s="355"/>
      <c r="X210" s="355"/>
      <c r="Y210" s="369"/>
      <c r="Z210" s="369"/>
      <c r="AA210" s="355"/>
      <c r="AB210" s="355"/>
      <c r="AC210" s="353"/>
      <c r="AD210" s="355"/>
      <c r="AE210" s="369"/>
      <c r="AF210" s="369"/>
      <c r="AG210" s="355"/>
      <c r="AH210" s="362"/>
      <c r="AI210" s="362"/>
      <c r="AJ210" s="362"/>
    </row>
    <row r="211" spans="1:36" ht="14.5" customHeight="1" x14ac:dyDescent="0.35">
      <c r="A211" s="355"/>
      <c r="B211" s="355"/>
      <c r="C211" s="348"/>
      <c r="D211" s="348"/>
      <c r="E211" s="355"/>
      <c r="F211" s="353"/>
      <c r="G211" s="76" t="s">
        <v>302</v>
      </c>
      <c r="H211" s="64"/>
      <c r="I211" s="139" t="s">
        <v>200</v>
      </c>
      <c r="J211" s="64"/>
      <c r="K211" s="64"/>
      <c r="L211" s="64"/>
      <c r="M211" s="64"/>
      <c r="N211" s="64"/>
      <c r="O211" s="64"/>
      <c r="P211" s="64"/>
      <c r="Q211" s="64"/>
      <c r="R211" s="64"/>
      <c r="S211" s="365"/>
      <c r="T211" s="136" t="str">
        <f t="shared" si="29"/>
        <v/>
      </c>
      <c r="U211" s="355"/>
      <c r="V211" s="358"/>
      <c r="W211" s="355"/>
      <c r="X211" s="355"/>
      <c r="Y211" s="369"/>
      <c r="Z211" s="369"/>
      <c r="AA211" s="355"/>
      <c r="AB211" s="355"/>
      <c r="AC211" s="353"/>
      <c r="AD211" s="355"/>
      <c r="AE211" s="369"/>
      <c r="AF211" s="369"/>
      <c r="AG211" s="355"/>
      <c r="AH211" s="362"/>
      <c r="AI211" s="362"/>
      <c r="AJ211" s="362"/>
    </row>
    <row r="212" spans="1:36" ht="14.5" customHeight="1" x14ac:dyDescent="0.35">
      <c r="A212" s="355"/>
      <c r="B212" s="355"/>
      <c r="C212" s="348"/>
      <c r="D212" s="348"/>
      <c r="E212" s="355"/>
      <c r="F212" s="353"/>
      <c r="G212" s="76" t="s">
        <v>303</v>
      </c>
      <c r="H212" s="64"/>
      <c r="I212" s="139" t="s">
        <v>202</v>
      </c>
      <c r="J212" s="64"/>
      <c r="K212" s="64"/>
      <c r="L212" s="64"/>
      <c r="M212" s="64"/>
      <c r="N212" s="64"/>
      <c r="O212" s="64"/>
      <c r="P212" s="64"/>
      <c r="Q212" s="64"/>
      <c r="R212" s="64"/>
      <c r="S212" s="365"/>
      <c r="T212" s="136" t="str">
        <f t="shared" si="29"/>
        <v/>
      </c>
      <c r="U212" s="355"/>
      <c r="V212" s="358"/>
      <c r="W212" s="355"/>
      <c r="X212" s="355"/>
      <c r="Y212" s="369"/>
      <c r="Z212" s="369"/>
      <c r="AA212" s="355"/>
      <c r="AB212" s="355"/>
      <c r="AC212" s="353"/>
      <c r="AD212" s="355"/>
      <c r="AE212" s="369"/>
      <c r="AF212" s="369"/>
      <c r="AG212" s="355"/>
      <c r="AH212" s="362"/>
      <c r="AI212" s="362"/>
      <c r="AJ212" s="362"/>
    </row>
    <row r="213" spans="1:36" ht="14.5" customHeight="1" x14ac:dyDescent="0.35">
      <c r="A213" s="355"/>
      <c r="B213" s="355"/>
      <c r="C213" s="348"/>
      <c r="D213" s="348"/>
      <c r="E213" s="355"/>
      <c r="F213" s="353"/>
      <c r="G213" s="76" t="s">
        <v>304</v>
      </c>
      <c r="H213" s="64"/>
      <c r="I213" s="139" t="s">
        <v>203</v>
      </c>
      <c r="J213" s="64"/>
      <c r="K213" s="64"/>
      <c r="L213" s="64"/>
      <c r="M213" s="64"/>
      <c r="N213" s="64"/>
      <c r="O213" s="64"/>
      <c r="P213" s="64"/>
      <c r="Q213" s="64"/>
      <c r="R213" s="64"/>
      <c r="S213" s="365"/>
      <c r="T213" s="136" t="str">
        <f t="shared" si="29"/>
        <v/>
      </c>
      <c r="U213" s="355"/>
      <c r="V213" s="358"/>
      <c r="W213" s="355"/>
      <c r="X213" s="355"/>
      <c r="Y213" s="369"/>
      <c r="Z213" s="369"/>
      <c r="AA213" s="355"/>
      <c r="AB213" s="355"/>
      <c r="AC213" s="353"/>
      <c r="AD213" s="355"/>
      <c r="AE213" s="369"/>
      <c r="AF213" s="369"/>
      <c r="AG213" s="355"/>
      <c r="AH213" s="362"/>
      <c r="AI213" s="362"/>
      <c r="AJ213" s="362"/>
    </row>
    <row r="214" spans="1:36" ht="14.5" customHeight="1" x14ac:dyDescent="0.35">
      <c r="A214" s="355"/>
      <c r="B214" s="355"/>
      <c r="C214" s="348"/>
      <c r="D214" s="348"/>
      <c r="E214" s="355"/>
      <c r="F214" s="353"/>
      <c r="G214" s="76" t="s">
        <v>305</v>
      </c>
      <c r="H214" s="64"/>
      <c r="I214" s="139" t="s">
        <v>204</v>
      </c>
      <c r="J214" s="64"/>
      <c r="K214" s="64"/>
      <c r="L214" s="64"/>
      <c r="M214" s="64"/>
      <c r="N214" s="64"/>
      <c r="O214" s="64"/>
      <c r="P214" s="64"/>
      <c r="Q214" s="64"/>
      <c r="R214" s="64"/>
      <c r="S214" s="365"/>
      <c r="T214" s="136" t="str">
        <f t="shared" si="29"/>
        <v/>
      </c>
      <c r="U214" s="355"/>
      <c r="V214" s="358"/>
      <c r="W214" s="355"/>
      <c r="X214" s="355"/>
      <c r="Y214" s="369"/>
      <c r="Z214" s="369"/>
      <c r="AA214" s="355"/>
      <c r="AB214" s="355"/>
      <c r="AC214" s="353"/>
      <c r="AD214" s="355"/>
      <c r="AE214" s="369"/>
      <c r="AF214" s="369"/>
      <c r="AG214" s="355"/>
      <c r="AH214" s="362"/>
      <c r="AI214" s="362"/>
      <c r="AJ214" s="362"/>
    </row>
    <row r="215" spans="1:36" ht="14.5" customHeight="1" x14ac:dyDescent="0.35">
      <c r="A215" s="355"/>
      <c r="B215" s="355"/>
      <c r="C215" s="349"/>
      <c r="D215" s="349"/>
      <c r="E215" s="355"/>
      <c r="F215" s="353"/>
      <c r="G215" s="76" t="s">
        <v>306</v>
      </c>
      <c r="H215" s="64"/>
      <c r="I215" s="139" t="s">
        <v>205</v>
      </c>
      <c r="J215" s="64"/>
      <c r="K215" s="64"/>
      <c r="L215" s="64"/>
      <c r="M215" s="64"/>
      <c r="N215" s="64"/>
      <c r="O215" s="64"/>
      <c r="P215" s="64"/>
      <c r="Q215" s="64"/>
      <c r="R215" s="64"/>
      <c r="S215" s="366"/>
      <c r="T215" s="136" t="str">
        <f t="shared" si="29"/>
        <v/>
      </c>
      <c r="U215" s="355"/>
      <c r="V215" s="358"/>
      <c r="W215" s="355"/>
      <c r="X215" s="355"/>
      <c r="Y215" s="369"/>
      <c r="Z215" s="369"/>
      <c r="AA215" s="355"/>
      <c r="AB215" s="355"/>
      <c r="AC215" s="353"/>
      <c r="AD215" s="355"/>
      <c r="AE215" s="369"/>
      <c r="AF215" s="369"/>
      <c r="AG215" s="355"/>
      <c r="AH215" s="362"/>
      <c r="AI215" s="362"/>
      <c r="AJ215" s="362"/>
    </row>
    <row r="216" spans="1:36" ht="14.5" customHeight="1" x14ac:dyDescent="0.35">
      <c r="A216" s="359">
        <v>31</v>
      </c>
      <c r="B216" s="371" t="str">
        <f>IF($E216="","","BIA-"&amp;TEXT(31,"000"))</f>
        <v/>
      </c>
      <c r="C216" s="347" t="str">
        <f>IFERROR(INDEX(BusinessUnits1,MATCH(A216,'04. Products &amp; Services'!$N$6:$N$50,0)),"")</f>
        <v/>
      </c>
      <c r="D216" s="347" t="str">
        <f>IFERROR(INDEX(DivisionSites,MATCH(A216,'04. Products &amp; Services'!$N$6:$N$50,0)),"")</f>
        <v/>
      </c>
      <c r="E216" s="360" t="str">
        <f>IFERROR(INDEX(ScopeNames,MATCH(A216,'04. Products &amp; Services'!$N$6:$N$50,0)),"")</f>
        <v/>
      </c>
      <c r="F216" s="372" t="str">
        <f>_xlfn.XLOOKUP(E216,'04. Products &amp; Services'!$E$5:$E$50,'04. Products &amp; Services'!$B$5:$B$50,"")</f>
        <v/>
      </c>
      <c r="G216" s="76" t="s">
        <v>300</v>
      </c>
      <c r="H216" s="64"/>
      <c r="I216" s="139" t="s">
        <v>197</v>
      </c>
      <c r="J216" s="64"/>
      <c r="K216" s="64"/>
      <c r="L216" s="64"/>
      <c r="M216" s="64"/>
      <c r="N216" s="64"/>
      <c r="O216" s="64"/>
      <c r="P216" s="64"/>
      <c r="Q216" s="64"/>
      <c r="R216" s="64"/>
      <c r="S216" s="364" t="str">
        <f>IF(COUNT(J216:R222)=0,"",MAX(J216:R222))</f>
        <v/>
      </c>
      <c r="T216" s="136" t="str">
        <f t="shared" ref="T216:T222" si="30">IF($S$216="","",IF(COUNT(J216:R216)=0,"",IF(MAX(J216:R216)&gt;3,$I216,"")))</f>
        <v/>
      </c>
      <c r="U216" s="356" t="str" cm="1">
        <f t="array" ref="U216">IF($E216="","",_xlfn.LET(_xlpm.matches,_xlfn._xlws.FILTER('04. Products &amp; Services'!$J$6:$J$50,'04. Products &amp; Services'!$E$6:$E$50=$E216,""),_xlpm.n,COUNTIF($E$6:$E216,$E216),_xlpm.v,IFERROR(INDEX(_xlpm.matches,_xlpm.n),""),IF(OR(_xlpm.v="",_xlpm.v=0),"",_xlpm.v)))</f>
        <v/>
      </c>
      <c r="V216" s="357"/>
      <c r="W216" s="354" t="str">
        <f>IF($E216="","",IF(OR($U216="Yes",$V216="Yes"),"Yes",IF(AND($U216="No",$V216="No"),"No",IF(AND($U216="Under Evaluation",$V216="No"),"Under Evaluation",""))))</f>
        <v/>
      </c>
      <c r="X216" s="377" t="str">
        <f>IF($E216="","",IFERROR(_xlfn.LET(_xlpm.v,INDEX('04. Products &amp; Services'!$K$6:$K$50,MATCH($E216,ScopeNames,0)),IF(_xlpm.v="","",_xlpm.v)),""))</f>
        <v/>
      </c>
      <c r="Y216" s="376"/>
      <c r="Z216" s="376"/>
      <c r="AA216" s="354" t="str">
        <f>IF($E216="","",IF(COUNT(J216:R222)=0,"",IF(MAX(J216:J222)&gt;=4,6,IF(MAX(K216:K222)&gt;=4,18,IF(MAX(L216:L222)&gt;=4,36,IF(MAX(M216:M222)&gt;=4,72,IF(MAX(N216:N222)&gt;=4,168,IF(MAX(O216:O222)&gt;=4,336,IF(MAX(P216:P222)&gt;=4,504,IF(MAX(Q216:Q222)&gt;=4,672,IF(MAX(R216:R222)&gt;=4,"","")))))))))))</f>
        <v/>
      </c>
      <c r="AB216" s="354" t="str">
        <f>IF($F216="","",IFERROR(VLOOKUP($F216,'04. Products &amp; Services'!$B$5:$M$50,12,0),""))</f>
        <v/>
      </c>
      <c r="AC216" s="352"/>
      <c r="AD216" s="367" t="str" cm="1">
        <f t="array" ref="AD216">IF(ISBLANK(AC216),"",_xlfn.LET(
_xlpm.Num,--_xlfn.TEXTBEFORE(AC216," "),
_xlpm.Unit,LOWER(_xlfn.TEXTAFTER(AC216," ")),
_xlfn.SWITCH(_xlpm.Unit,
"hour",_xlpm.Num,
"hours",_xlpm.Num,
"day",_xlpm.Num*24,
"days",_xlpm.Num*24,
"week",_xlpm.Num*24*7,
"weeks",_xlpm.Num*24*7,
"month",_xlpm.Num*24*(365.25/12),
"months",_xlpm.Num*24*(365.25/12),
"")
))</f>
        <v/>
      </c>
      <c r="AE216" s="368"/>
      <c r="AF216" s="370"/>
      <c r="AG216" s="363" t="str">
        <f>IF($AF216="","",DATE(YEAR($AF216)+1,MONTH($AF216),DAY($AF216)))</f>
        <v/>
      </c>
      <c r="AH216" s="361" t="str" cm="1">
        <f t="array" ref="AH216">IF($B216="","",_xlfn.LET(_xlpm.ids,'15. BCM Risk Register'!$A$6:$A$65,_xlpm.links,'15. BCM Risk Register'!$I$6:$I$65,_xlpm.hit,ISNUMBER(SEARCH(","&amp;$B216&amp;",",","&amp;SUBSTITUTE(_xlpm.links," ","")&amp;",")),IFERROR(_xlfn.TEXTJOIN(", ",TRUE,_xlfn.UNIQUE(_xlfn._xlws.FILTER(_xlpm.ids,_xlpm.hit*(_xlpm.ids&lt;&gt;"")))),"Not Created")))</f>
        <v/>
      </c>
      <c r="AI216" s="361" t="str" cm="1">
        <f t="array" ref="AI216">IF($B216="","",_xlfn.LET(_xlpm.ids,'15. BCM Risk Register'!$L$6:$L$65,_xlpm.links,'15. BCM Risk Register'!$I$6:$I$65,_xlpm.hit,ISNUMBER(SEARCH(","&amp;$B216&amp;",",","&amp;SUBSTITUTE(_xlpm.links," ","")&amp;",")),IFERROR(_xlfn.TEXTJOIN(", ",TRUE,_xlfn.UNIQUE(_xlfn._xlws.FILTER(_xlpm.ids,_xlpm.hit*(_xlpm.ids&lt;&gt;"")*(_xlpm.ids&lt;&gt;"Not Created")))),"Not Created")))</f>
        <v/>
      </c>
      <c r="AJ216" s="361" t="str" cm="1">
        <f t="array" ref="AJ216">IF($B216="","",_xlfn.LET(_xlpm.ids,'15. BCM Risk Register'!$K$6:$K$65,_xlpm.links,'15. BCM Risk Register'!$I$6:$I$65,_xlpm.hit,ISNUMBER(SEARCH(","&amp;$B216&amp;",",","&amp;SUBSTITUTE(_xlpm.links," ","")&amp;",")),IFERROR(_xlfn.TEXTJOIN(", ",TRUE,_xlfn.UNIQUE(_xlfn._xlws.FILTER(_xlpm.ids,_xlpm.hit*(_xlpm.ids&lt;&gt;"")*(_xlpm.ids&lt;&gt;"Not Created")))),"Not Created")))</f>
        <v/>
      </c>
    </row>
    <row r="217" spans="1:36" ht="14.5" customHeight="1" x14ac:dyDescent="0.35">
      <c r="A217" s="355"/>
      <c r="B217" s="355"/>
      <c r="C217" s="348"/>
      <c r="D217" s="348"/>
      <c r="E217" s="355"/>
      <c r="F217" s="353"/>
      <c r="G217" s="76" t="s">
        <v>301</v>
      </c>
      <c r="H217" s="64"/>
      <c r="I217" s="139" t="s">
        <v>199</v>
      </c>
      <c r="J217" s="64"/>
      <c r="K217" s="64"/>
      <c r="L217" s="64"/>
      <c r="M217" s="64"/>
      <c r="N217" s="64"/>
      <c r="O217" s="64"/>
      <c r="P217" s="64"/>
      <c r="Q217" s="64"/>
      <c r="R217" s="64"/>
      <c r="S217" s="365"/>
      <c r="T217" s="136" t="str">
        <f t="shared" si="30"/>
        <v/>
      </c>
      <c r="U217" s="355"/>
      <c r="V217" s="358"/>
      <c r="W217" s="355"/>
      <c r="X217" s="355"/>
      <c r="Y217" s="369"/>
      <c r="Z217" s="369"/>
      <c r="AA217" s="355"/>
      <c r="AB217" s="355"/>
      <c r="AC217" s="353"/>
      <c r="AD217" s="355"/>
      <c r="AE217" s="369"/>
      <c r="AF217" s="369"/>
      <c r="AG217" s="355"/>
      <c r="AH217" s="362"/>
      <c r="AI217" s="362"/>
      <c r="AJ217" s="362"/>
    </row>
    <row r="218" spans="1:36" ht="14.5" customHeight="1" x14ac:dyDescent="0.35">
      <c r="A218" s="355"/>
      <c r="B218" s="355"/>
      <c r="C218" s="348"/>
      <c r="D218" s="348"/>
      <c r="E218" s="355"/>
      <c r="F218" s="353"/>
      <c r="G218" s="76" t="s">
        <v>302</v>
      </c>
      <c r="H218" s="64"/>
      <c r="I218" s="139" t="s">
        <v>200</v>
      </c>
      <c r="J218" s="64"/>
      <c r="K218" s="64"/>
      <c r="L218" s="64"/>
      <c r="M218" s="64"/>
      <c r="N218" s="64"/>
      <c r="O218" s="64"/>
      <c r="P218" s="64"/>
      <c r="Q218" s="64"/>
      <c r="R218" s="64"/>
      <c r="S218" s="365"/>
      <c r="T218" s="136" t="str">
        <f t="shared" si="30"/>
        <v/>
      </c>
      <c r="U218" s="355"/>
      <c r="V218" s="358"/>
      <c r="W218" s="355"/>
      <c r="X218" s="355"/>
      <c r="Y218" s="369"/>
      <c r="Z218" s="369"/>
      <c r="AA218" s="355"/>
      <c r="AB218" s="355"/>
      <c r="AC218" s="353"/>
      <c r="AD218" s="355"/>
      <c r="AE218" s="369"/>
      <c r="AF218" s="369"/>
      <c r="AG218" s="355"/>
      <c r="AH218" s="362"/>
      <c r="AI218" s="362"/>
      <c r="AJ218" s="362"/>
    </row>
    <row r="219" spans="1:36" ht="14.5" customHeight="1" x14ac:dyDescent="0.35">
      <c r="A219" s="355"/>
      <c r="B219" s="355"/>
      <c r="C219" s="348"/>
      <c r="D219" s="348"/>
      <c r="E219" s="355"/>
      <c r="F219" s="353"/>
      <c r="G219" s="76" t="s">
        <v>303</v>
      </c>
      <c r="H219" s="64"/>
      <c r="I219" s="139" t="s">
        <v>202</v>
      </c>
      <c r="J219" s="64"/>
      <c r="K219" s="64"/>
      <c r="L219" s="64"/>
      <c r="M219" s="64"/>
      <c r="N219" s="64"/>
      <c r="O219" s="64"/>
      <c r="P219" s="64"/>
      <c r="Q219" s="64"/>
      <c r="R219" s="64"/>
      <c r="S219" s="365"/>
      <c r="T219" s="136" t="str">
        <f t="shared" si="30"/>
        <v/>
      </c>
      <c r="U219" s="355"/>
      <c r="V219" s="358"/>
      <c r="W219" s="355"/>
      <c r="X219" s="355"/>
      <c r="Y219" s="369"/>
      <c r="Z219" s="369"/>
      <c r="AA219" s="355"/>
      <c r="AB219" s="355"/>
      <c r="AC219" s="353"/>
      <c r="AD219" s="355"/>
      <c r="AE219" s="369"/>
      <c r="AF219" s="369"/>
      <c r="AG219" s="355"/>
      <c r="AH219" s="362"/>
      <c r="AI219" s="362"/>
      <c r="AJ219" s="362"/>
    </row>
    <row r="220" spans="1:36" ht="14.5" customHeight="1" x14ac:dyDescent="0.35">
      <c r="A220" s="355"/>
      <c r="B220" s="355"/>
      <c r="C220" s="348"/>
      <c r="D220" s="348"/>
      <c r="E220" s="355"/>
      <c r="F220" s="353"/>
      <c r="G220" s="76" t="s">
        <v>304</v>
      </c>
      <c r="H220" s="64"/>
      <c r="I220" s="139" t="s">
        <v>203</v>
      </c>
      <c r="J220" s="64"/>
      <c r="K220" s="64"/>
      <c r="L220" s="64"/>
      <c r="M220" s="64"/>
      <c r="N220" s="64"/>
      <c r="O220" s="64"/>
      <c r="P220" s="64"/>
      <c r="Q220" s="64"/>
      <c r="R220" s="64"/>
      <c r="S220" s="365"/>
      <c r="T220" s="136" t="str">
        <f t="shared" si="30"/>
        <v/>
      </c>
      <c r="U220" s="355"/>
      <c r="V220" s="358"/>
      <c r="W220" s="355"/>
      <c r="X220" s="355"/>
      <c r="Y220" s="369"/>
      <c r="Z220" s="369"/>
      <c r="AA220" s="355"/>
      <c r="AB220" s="355"/>
      <c r="AC220" s="353"/>
      <c r="AD220" s="355"/>
      <c r="AE220" s="369"/>
      <c r="AF220" s="369"/>
      <c r="AG220" s="355"/>
      <c r="AH220" s="362"/>
      <c r="AI220" s="362"/>
      <c r="AJ220" s="362"/>
    </row>
    <row r="221" spans="1:36" ht="14.5" customHeight="1" x14ac:dyDescent="0.35">
      <c r="A221" s="355"/>
      <c r="B221" s="355"/>
      <c r="C221" s="348"/>
      <c r="D221" s="348"/>
      <c r="E221" s="355"/>
      <c r="F221" s="353"/>
      <c r="G221" s="76" t="s">
        <v>305</v>
      </c>
      <c r="H221" s="64"/>
      <c r="I221" s="139" t="s">
        <v>204</v>
      </c>
      <c r="J221" s="64"/>
      <c r="K221" s="64"/>
      <c r="L221" s="64"/>
      <c r="M221" s="64"/>
      <c r="N221" s="64"/>
      <c r="O221" s="64"/>
      <c r="P221" s="64"/>
      <c r="Q221" s="64"/>
      <c r="R221" s="64"/>
      <c r="S221" s="365"/>
      <c r="T221" s="136" t="str">
        <f t="shared" si="30"/>
        <v/>
      </c>
      <c r="U221" s="355"/>
      <c r="V221" s="358"/>
      <c r="W221" s="355"/>
      <c r="X221" s="355"/>
      <c r="Y221" s="369"/>
      <c r="Z221" s="369"/>
      <c r="AA221" s="355"/>
      <c r="AB221" s="355"/>
      <c r="AC221" s="353"/>
      <c r="AD221" s="355"/>
      <c r="AE221" s="369"/>
      <c r="AF221" s="369"/>
      <c r="AG221" s="355"/>
      <c r="AH221" s="362"/>
      <c r="AI221" s="362"/>
      <c r="AJ221" s="362"/>
    </row>
    <row r="222" spans="1:36" ht="14.5" customHeight="1" x14ac:dyDescent="0.35">
      <c r="A222" s="355"/>
      <c r="B222" s="355"/>
      <c r="C222" s="349"/>
      <c r="D222" s="349"/>
      <c r="E222" s="355"/>
      <c r="F222" s="353"/>
      <c r="G222" s="76" t="s">
        <v>306</v>
      </c>
      <c r="H222" s="64"/>
      <c r="I222" s="139" t="s">
        <v>205</v>
      </c>
      <c r="J222" s="64"/>
      <c r="K222" s="64"/>
      <c r="L222" s="64"/>
      <c r="M222" s="64"/>
      <c r="N222" s="64"/>
      <c r="O222" s="64"/>
      <c r="P222" s="64"/>
      <c r="Q222" s="64"/>
      <c r="R222" s="64"/>
      <c r="S222" s="366"/>
      <c r="T222" s="136" t="str">
        <f t="shared" si="30"/>
        <v/>
      </c>
      <c r="U222" s="355"/>
      <c r="V222" s="358"/>
      <c r="W222" s="355"/>
      <c r="X222" s="355"/>
      <c r="Y222" s="369"/>
      <c r="Z222" s="369"/>
      <c r="AA222" s="355"/>
      <c r="AB222" s="355"/>
      <c r="AC222" s="353"/>
      <c r="AD222" s="355"/>
      <c r="AE222" s="369"/>
      <c r="AF222" s="369"/>
      <c r="AG222" s="355"/>
      <c r="AH222" s="362"/>
      <c r="AI222" s="362"/>
      <c r="AJ222" s="362"/>
    </row>
    <row r="223" spans="1:36" ht="14.5" customHeight="1" x14ac:dyDescent="0.35">
      <c r="A223" s="359">
        <v>32</v>
      </c>
      <c r="B223" s="371" t="str">
        <f>IF($E223="","","BIA-"&amp;TEXT(32,"000"))</f>
        <v/>
      </c>
      <c r="C223" s="347" t="str">
        <f>IFERROR(INDEX(BusinessUnits1,MATCH(A223,'04. Products &amp; Services'!$N$6:$N$50,0)),"")</f>
        <v/>
      </c>
      <c r="D223" s="347" t="str">
        <f>IFERROR(INDEX(DivisionSites,MATCH(A223,'04. Products &amp; Services'!$N$6:$N$50,0)),"")</f>
        <v/>
      </c>
      <c r="E223" s="360" t="str">
        <f>IFERROR(INDEX(ScopeNames,MATCH(A223,'04. Products &amp; Services'!$N$6:$N$50,0)),"")</f>
        <v/>
      </c>
      <c r="F223" s="372" t="str">
        <f>_xlfn.XLOOKUP(E223,'04. Products &amp; Services'!$E$5:$E$50,'04. Products &amp; Services'!$B$5:$B$50,"")</f>
        <v/>
      </c>
      <c r="G223" s="76" t="s">
        <v>300</v>
      </c>
      <c r="H223" s="64"/>
      <c r="I223" s="139" t="s">
        <v>197</v>
      </c>
      <c r="J223" s="64"/>
      <c r="K223" s="64"/>
      <c r="L223" s="64"/>
      <c r="M223" s="64"/>
      <c r="N223" s="64"/>
      <c r="O223" s="64"/>
      <c r="P223" s="64"/>
      <c r="Q223" s="64"/>
      <c r="R223" s="64"/>
      <c r="S223" s="364" t="str">
        <f>IF(COUNT(J223:R229)=0,"",MAX(J223:R229))</f>
        <v/>
      </c>
      <c r="T223" s="136" t="str">
        <f t="shared" ref="T223:T229" si="31">IF($S$223="","",IF(COUNT(J223:R223)=0,"",IF(MAX(J223:R223)&gt;3,$I223,"")))</f>
        <v/>
      </c>
      <c r="U223" s="356" t="str" cm="1">
        <f t="array" ref="U223">IF($E223="","",_xlfn.LET(_xlpm.matches,_xlfn._xlws.FILTER('04. Products &amp; Services'!$J$6:$J$50,'04. Products &amp; Services'!$E$6:$E$50=$E223,""),_xlpm.n,COUNTIF($E$6:$E223,$E223),_xlpm.v,IFERROR(INDEX(_xlpm.matches,_xlpm.n),""),IF(OR(_xlpm.v="",_xlpm.v=0),"",_xlpm.v)))</f>
        <v/>
      </c>
      <c r="V223" s="357"/>
      <c r="W223" s="354" t="str">
        <f>IF($E223="","",IF(OR($U223="Yes",$V223="Yes"),"Yes",IF(AND($U223="No",$V223="No"),"No",IF(AND($U223="Under Evaluation",$V223="No"),"Under Evaluation",""))))</f>
        <v/>
      </c>
      <c r="X223" s="377" t="str">
        <f>IF($E223="","",IFERROR(_xlfn.LET(_xlpm.v,INDEX('04. Products &amp; Services'!$K$6:$K$50,MATCH($E223,ScopeNames,0)),IF(_xlpm.v="","",_xlpm.v)),""))</f>
        <v/>
      </c>
      <c r="Y223" s="376"/>
      <c r="Z223" s="376"/>
      <c r="AA223" s="354" t="str">
        <f>IF($E223="","",IF(COUNT(J223:R229)=0,"",IF(MAX(J223:J229)&gt;=4,6,IF(MAX(K223:K229)&gt;=4,18,IF(MAX(L223:L229)&gt;=4,36,IF(MAX(M223:M229)&gt;=4,72,IF(MAX(N223:N229)&gt;=4,168,IF(MAX(O223:O229)&gt;=4,336,IF(MAX(P223:P229)&gt;=4,504,IF(MAX(Q223:Q229)&gt;=4,672,IF(MAX(R223:R229)&gt;=4,"","")))))))))))</f>
        <v/>
      </c>
      <c r="AB223" s="354" t="str">
        <f>IF($F223="","",IFERROR(VLOOKUP($F223,'04. Products &amp; Services'!$B$5:$M$50,12,0),""))</f>
        <v/>
      </c>
      <c r="AC223" s="352"/>
      <c r="AD223" s="367" t="str" cm="1">
        <f t="array" ref="AD223">IF(ISBLANK(AC223),"",_xlfn.LET(
_xlpm.Num,--_xlfn.TEXTBEFORE(AC223," "),
_xlpm.Unit,LOWER(_xlfn.TEXTAFTER(AC223," ")),
_xlfn.SWITCH(_xlpm.Unit,
"hour",_xlpm.Num,
"hours",_xlpm.Num,
"day",_xlpm.Num*24,
"days",_xlpm.Num*24,
"week",_xlpm.Num*24*7,
"weeks",_xlpm.Num*24*7,
"month",_xlpm.Num*24*(365.25/12),
"months",_xlpm.Num*24*(365.25/12),
"")
))</f>
        <v/>
      </c>
      <c r="AE223" s="368"/>
      <c r="AF223" s="370"/>
      <c r="AG223" s="363" t="str">
        <f>IF($AF223="","",DATE(YEAR($AF223)+1,MONTH($AF223),DAY($AF223)))</f>
        <v/>
      </c>
      <c r="AH223" s="361" t="str" cm="1">
        <f t="array" ref="AH223">IF($B223="","",_xlfn.LET(_xlpm.ids,'15. BCM Risk Register'!$A$6:$A$65,_xlpm.links,'15. BCM Risk Register'!$I$6:$I$65,_xlpm.hit,ISNUMBER(SEARCH(","&amp;$B223&amp;",",","&amp;SUBSTITUTE(_xlpm.links," ","")&amp;",")),IFERROR(_xlfn.TEXTJOIN(", ",TRUE,_xlfn.UNIQUE(_xlfn._xlws.FILTER(_xlpm.ids,_xlpm.hit*(_xlpm.ids&lt;&gt;"")))),"Not Created")))</f>
        <v/>
      </c>
      <c r="AI223" s="361" t="str" cm="1">
        <f t="array" ref="AI223">IF($B223="","",_xlfn.LET(_xlpm.ids,'15. BCM Risk Register'!$L$6:$L$65,_xlpm.links,'15. BCM Risk Register'!$I$6:$I$65,_xlpm.hit,ISNUMBER(SEARCH(","&amp;$B223&amp;",",","&amp;SUBSTITUTE(_xlpm.links," ","")&amp;",")),IFERROR(_xlfn.TEXTJOIN(", ",TRUE,_xlfn.UNIQUE(_xlfn._xlws.FILTER(_xlpm.ids,_xlpm.hit*(_xlpm.ids&lt;&gt;"")*(_xlpm.ids&lt;&gt;"Not Created")))),"Not Created")))</f>
        <v/>
      </c>
      <c r="AJ223" s="361" t="str" cm="1">
        <f t="array" ref="AJ223">IF($B223="","",_xlfn.LET(_xlpm.ids,'15. BCM Risk Register'!$K$6:$K$65,_xlpm.links,'15. BCM Risk Register'!$I$6:$I$65,_xlpm.hit,ISNUMBER(SEARCH(","&amp;$B223&amp;",",","&amp;SUBSTITUTE(_xlpm.links," ","")&amp;",")),IFERROR(_xlfn.TEXTJOIN(", ",TRUE,_xlfn.UNIQUE(_xlfn._xlws.FILTER(_xlpm.ids,_xlpm.hit*(_xlpm.ids&lt;&gt;"")*(_xlpm.ids&lt;&gt;"Not Created")))),"Not Created")))</f>
        <v/>
      </c>
    </row>
    <row r="224" spans="1:36" ht="14.5" customHeight="1" x14ac:dyDescent="0.35">
      <c r="A224" s="355"/>
      <c r="B224" s="355"/>
      <c r="C224" s="348"/>
      <c r="D224" s="348"/>
      <c r="E224" s="355"/>
      <c r="F224" s="353"/>
      <c r="G224" s="76" t="s">
        <v>301</v>
      </c>
      <c r="H224" s="64"/>
      <c r="I224" s="139" t="s">
        <v>199</v>
      </c>
      <c r="J224" s="64"/>
      <c r="K224" s="64"/>
      <c r="L224" s="64"/>
      <c r="M224" s="64"/>
      <c r="N224" s="64"/>
      <c r="O224" s="64"/>
      <c r="P224" s="64"/>
      <c r="Q224" s="64"/>
      <c r="R224" s="64"/>
      <c r="S224" s="365"/>
      <c r="T224" s="136" t="str">
        <f t="shared" si="31"/>
        <v/>
      </c>
      <c r="U224" s="355"/>
      <c r="V224" s="358"/>
      <c r="W224" s="355"/>
      <c r="X224" s="355"/>
      <c r="Y224" s="369"/>
      <c r="Z224" s="369"/>
      <c r="AA224" s="355"/>
      <c r="AB224" s="355"/>
      <c r="AC224" s="353"/>
      <c r="AD224" s="355"/>
      <c r="AE224" s="369"/>
      <c r="AF224" s="369"/>
      <c r="AG224" s="355"/>
      <c r="AH224" s="362"/>
      <c r="AI224" s="362"/>
      <c r="AJ224" s="362"/>
    </row>
    <row r="225" spans="1:36" ht="14.5" customHeight="1" x14ac:dyDescent="0.35">
      <c r="A225" s="355"/>
      <c r="B225" s="355"/>
      <c r="C225" s="348"/>
      <c r="D225" s="348"/>
      <c r="E225" s="355"/>
      <c r="F225" s="353"/>
      <c r="G225" s="76" t="s">
        <v>302</v>
      </c>
      <c r="H225" s="64"/>
      <c r="I225" s="139" t="s">
        <v>200</v>
      </c>
      <c r="J225" s="64"/>
      <c r="K225" s="64"/>
      <c r="L225" s="64"/>
      <c r="M225" s="64"/>
      <c r="N225" s="64"/>
      <c r="O225" s="64"/>
      <c r="P225" s="64"/>
      <c r="Q225" s="64"/>
      <c r="R225" s="64"/>
      <c r="S225" s="365"/>
      <c r="T225" s="136" t="str">
        <f t="shared" si="31"/>
        <v/>
      </c>
      <c r="U225" s="355"/>
      <c r="V225" s="358"/>
      <c r="W225" s="355"/>
      <c r="X225" s="355"/>
      <c r="Y225" s="369"/>
      <c r="Z225" s="369"/>
      <c r="AA225" s="355"/>
      <c r="AB225" s="355"/>
      <c r="AC225" s="353"/>
      <c r="AD225" s="355"/>
      <c r="AE225" s="369"/>
      <c r="AF225" s="369"/>
      <c r="AG225" s="355"/>
      <c r="AH225" s="362"/>
      <c r="AI225" s="362"/>
      <c r="AJ225" s="362"/>
    </row>
    <row r="226" spans="1:36" ht="14.5" customHeight="1" x14ac:dyDescent="0.35">
      <c r="A226" s="355"/>
      <c r="B226" s="355"/>
      <c r="C226" s="348"/>
      <c r="D226" s="348"/>
      <c r="E226" s="355"/>
      <c r="F226" s="353"/>
      <c r="G226" s="76" t="s">
        <v>303</v>
      </c>
      <c r="H226" s="64"/>
      <c r="I226" s="139" t="s">
        <v>202</v>
      </c>
      <c r="J226" s="64"/>
      <c r="K226" s="64"/>
      <c r="L226" s="64"/>
      <c r="M226" s="64"/>
      <c r="N226" s="64"/>
      <c r="O226" s="64"/>
      <c r="P226" s="64"/>
      <c r="Q226" s="64"/>
      <c r="R226" s="64"/>
      <c r="S226" s="365"/>
      <c r="T226" s="136" t="str">
        <f t="shared" si="31"/>
        <v/>
      </c>
      <c r="U226" s="355"/>
      <c r="V226" s="358"/>
      <c r="W226" s="355"/>
      <c r="X226" s="355"/>
      <c r="Y226" s="369"/>
      <c r="Z226" s="369"/>
      <c r="AA226" s="355"/>
      <c r="AB226" s="355"/>
      <c r="AC226" s="353"/>
      <c r="AD226" s="355"/>
      <c r="AE226" s="369"/>
      <c r="AF226" s="369"/>
      <c r="AG226" s="355"/>
      <c r="AH226" s="362"/>
      <c r="AI226" s="362"/>
      <c r="AJ226" s="362"/>
    </row>
    <row r="227" spans="1:36" ht="14.5" customHeight="1" x14ac:dyDescent="0.35">
      <c r="A227" s="355"/>
      <c r="B227" s="355"/>
      <c r="C227" s="348"/>
      <c r="D227" s="348"/>
      <c r="E227" s="355"/>
      <c r="F227" s="353"/>
      <c r="G227" s="76" t="s">
        <v>304</v>
      </c>
      <c r="H227" s="64"/>
      <c r="I227" s="139" t="s">
        <v>203</v>
      </c>
      <c r="J227" s="64"/>
      <c r="K227" s="64"/>
      <c r="L227" s="64"/>
      <c r="M227" s="64"/>
      <c r="N227" s="64"/>
      <c r="O227" s="64"/>
      <c r="P227" s="64"/>
      <c r="Q227" s="64"/>
      <c r="R227" s="64"/>
      <c r="S227" s="365"/>
      <c r="T227" s="136" t="str">
        <f t="shared" si="31"/>
        <v/>
      </c>
      <c r="U227" s="355"/>
      <c r="V227" s="358"/>
      <c r="W227" s="355"/>
      <c r="X227" s="355"/>
      <c r="Y227" s="369"/>
      <c r="Z227" s="369"/>
      <c r="AA227" s="355"/>
      <c r="AB227" s="355"/>
      <c r="AC227" s="353"/>
      <c r="AD227" s="355"/>
      <c r="AE227" s="369"/>
      <c r="AF227" s="369"/>
      <c r="AG227" s="355"/>
      <c r="AH227" s="362"/>
      <c r="AI227" s="362"/>
      <c r="AJ227" s="362"/>
    </row>
    <row r="228" spans="1:36" ht="14.5" customHeight="1" x14ac:dyDescent="0.35">
      <c r="A228" s="355"/>
      <c r="B228" s="355"/>
      <c r="C228" s="348"/>
      <c r="D228" s="348"/>
      <c r="E228" s="355"/>
      <c r="F228" s="353"/>
      <c r="G228" s="76" t="s">
        <v>305</v>
      </c>
      <c r="H228" s="64"/>
      <c r="I228" s="139" t="s">
        <v>204</v>
      </c>
      <c r="J228" s="64"/>
      <c r="K228" s="64"/>
      <c r="L228" s="64"/>
      <c r="M228" s="64"/>
      <c r="N228" s="64"/>
      <c r="O228" s="64"/>
      <c r="P228" s="64"/>
      <c r="Q228" s="64"/>
      <c r="R228" s="64"/>
      <c r="S228" s="365"/>
      <c r="T228" s="136" t="str">
        <f t="shared" si="31"/>
        <v/>
      </c>
      <c r="U228" s="355"/>
      <c r="V228" s="358"/>
      <c r="W228" s="355"/>
      <c r="X228" s="355"/>
      <c r="Y228" s="369"/>
      <c r="Z228" s="369"/>
      <c r="AA228" s="355"/>
      <c r="AB228" s="355"/>
      <c r="AC228" s="353"/>
      <c r="AD228" s="355"/>
      <c r="AE228" s="369"/>
      <c r="AF228" s="369"/>
      <c r="AG228" s="355"/>
      <c r="AH228" s="362"/>
      <c r="AI228" s="362"/>
      <c r="AJ228" s="362"/>
    </row>
    <row r="229" spans="1:36" ht="14.5" customHeight="1" x14ac:dyDescent="0.35">
      <c r="A229" s="355"/>
      <c r="B229" s="355"/>
      <c r="C229" s="349"/>
      <c r="D229" s="349"/>
      <c r="E229" s="355"/>
      <c r="F229" s="353"/>
      <c r="G229" s="76" t="s">
        <v>306</v>
      </c>
      <c r="H229" s="64"/>
      <c r="I229" s="139" t="s">
        <v>205</v>
      </c>
      <c r="J229" s="64"/>
      <c r="K229" s="64"/>
      <c r="L229" s="64"/>
      <c r="M229" s="64"/>
      <c r="N229" s="64"/>
      <c r="O229" s="64"/>
      <c r="P229" s="64"/>
      <c r="Q229" s="64"/>
      <c r="R229" s="64"/>
      <c r="S229" s="366"/>
      <c r="T229" s="136" t="str">
        <f t="shared" si="31"/>
        <v/>
      </c>
      <c r="U229" s="355"/>
      <c r="V229" s="358"/>
      <c r="W229" s="355"/>
      <c r="X229" s="355"/>
      <c r="Y229" s="369"/>
      <c r="Z229" s="369"/>
      <c r="AA229" s="355"/>
      <c r="AB229" s="355"/>
      <c r="AC229" s="353"/>
      <c r="AD229" s="355"/>
      <c r="AE229" s="369"/>
      <c r="AF229" s="369"/>
      <c r="AG229" s="355"/>
      <c r="AH229" s="362"/>
      <c r="AI229" s="362"/>
      <c r="AJ229" s="362"/>
    </row>
    <row r="230" spans="1:36" ht="14.5" customHeight="1" x14ac:dyDescent="0.35">
      <c r="A230" s="359">
        <v>33</v>
      </c>
      <c r="B230" s="371" t="str">
        <f>IF($E230="","","BIA-"&amp;TEXT(33,"000"))</f>
        <v/>
      </c>
      <c r="C230" s="347" t="str">
        <f>IFERROR(INDEX(BusinessUnits1,MATCH(A230,'04. Products &amp; Services'!$N$6:$N$50,0)),"")</f>
        <v/>
      </c>
      <c r="D230" s="347" t="str">
        <f>IFERROR(INDEX(DivisionSites,MATCH(A230,'04. Products &amp; Services'!$N$6:$N$50,0)),"")</f>
        <v/>
      </c>
      <c r="E230" s="360" t="str">
        <f>IFERROR(INDEX(ScopeNames,MATCH(A230,'04. Products &amp; Services'!$N$6:$N$50,0)),"")</f>
        <v/>
      </c>
      <c r="F230" s="372" t="str">
        <f>_xlfn.XLOOKUP(E230,'04. Products &amp; Services'!$E$5:$E$50,'04. Products &amp; Services'!$B$5:$B$50,"")</f>
        <v/>
      </c>
      <c r="G230" s="76" t="s">
        <v>300</v>
      </c>
      <c r="H230" s="64"/>
      <c r="I230" s="139" t="s">
        <v>197</v>
      </c>
      <c r="J230" s="64"/>
      <c r="K230" s="64"/>
      <c r="L230" s="64"/>
      <c r="M230" s="64"/>
      <c r="N230" s="64"/>
      <c r="O230" s="64"/>
      <c r="P230" s="64"/>
      <c r="Q230" s="64"/>
      <c r="R230" s="64"/>
      <c r="S230" s="364" t="str">
        <f>IF(COUNT(J230:R236)=0,"",MAX(J230:R236))</f>
        <v/>
      </c>
      <c r="T230" s="136" t="str">
        <f t="shared" ref="T230:T236" si="32">IF($S$230="","",IF(COUNT(J230:R230)=0,"",IF(MAX(J230:R230)&gt;3,$I230,"")))</f>
        <v/>
      </c>
      <c r="U230" s="356" t="str" cm="1">
        <f t="array" ref="U230">IF($E230="","",_xlfn.LET(_xlpm.matches,_xlfn._xlws.FILTER('04. Products &amp; Services'!$J$6:$J$50,'04. Products &amp; Services'!$E$6:$E$50=$E230,""),_xlpm.n,COUNTIF($E$6:$E230,$E230),_xlpm.v,IFERROR(INDEX(_xlpm.matches,_xlpm.n),""),IF(OR(_xlpm.v="",_xlpm.v=0),"",_xlpm.v)))</f>
        <v/>
      </c>
      <c r="V230" s="357"/>
      <c r="W230" s="354" t="str">
        <f>IF($E230="","",IF(OR($U230="Yes",$V230="Yes"),"Yes",IF(AND($U230="No",$V230="No"),"No",IF(AND($U230="Under Evaluation",$V230="No"),"Under Evaluation",""))))</f>
        <v/>
      </c>
      <c r="X230" s="377" t="str">
        <f>IF($E230="","",IFERROR(_xlfn.LET(_xlpm.v,INDEX('04. Products &amp; Services'!$K$6:$K$50,MATCH($E230,ScopeNames,0)),IF(_xlpm.v="","",_xlpm.v)),""))</f>
        <v/>
      </c>
      <c r="Y230" s="376"/>
      <c r="Z230" s="376"/>
      <c r="AA230" s="354" t="str">
        <f>IF($E230="","",IF(COUNT(J230:R236)=0,"",IF(MAX(J230:J236)&gt;=4,6,IF(MAX(K230:K236)&gt;=4,18,IF(MAX(L230:L236)&gt;=4,36,IF(MAX(M230:M236)&gt;=4,72,IF(MAX(N230:N236)&gt;=4,168,IF(MAX(O230:O236)&gt;=4,336,IF(MAX(P230:P236)&gt;=4,504,IF(MAX(Q230:Q236)&gt;=4,672,IF(MAX(R230:R236)&gt;=4,"","")))))))))))</f>
        <v/>
      </c>
      <c r="AB230" s="354" t="str">
        <f>IF($F230="","",IFERROR(VLOOKUP($F230,'04. Products &amp; Services'!$B$5:$M$50,12,0),""))</f>
        <v/>
      </c>
      <c r="AC230" s="352"/>
      <c r="AD230" s="367" t="str" cm="1">
        <f t="array" ref="AD230">IF(ISBLANK(AC230),"",_xlfn.LET(
_xlpm.Num,--_xlfn.TEXTBEFORE(AC230," "),
_xlpm.Unit,LOWER(_xlfn.TEXTAFTER(AC230," ")),
_xlfn.SWITCH(_xlpm.Unit,
"hour",_xlpm.Num,
"hours",_xlpm.Num,
"day",_xlpm.Num*24,
"days",_xlpm.Num*24,
"week",_xlpm.Num*24*7,
"weeks",_xlpm.Num*24*7,
"month",_xlpm.Num*24*(365.25/12),
"months",_xlpm.Num*24*(365.25/12),
"")
))</f>
        <v/>
      </c>
      <c r="AE230" s="368"/>
      <c r="AF230" s="370"/>
      <c r="AG230" s="363" t="str">
        <f>IF($AF230="","",DATE(YEAR($AF230)+1,MONTH($AF230),DAY($AF230)))</f>
        <v/>
      </c>
      <c r="AH230" s="361" t="str" cm="1">
        <f t="array" ref="AH230">IF($B230="","",_xlfn.LET(_xlpm.ids,'15. BCM Risk Register'!$A$6:$A$65,_xlpm.links,'15. BCM Risk Register'!$I$6:$I$65,_xlpm.hit,ISNUMBER(SEARCH(","&amp;$B230&amp;",",","&amp;SUBSTITUTE(_xlpm.links," ","")&amp;",")),IFERROR(_xlfn.TEXTJOIN(", ",TRUE,_xlfn.UNIQUE(_xlfn._xlws.FILTER(_xlpm.ids,_xlpm.hit*(_xlpm.ids&lt;&gt;"")))),"Not Created")))</f>
        <v/>
      </c>
      <c r="AI230" s="361" t="str" cm="1">
        <f t="array" ref="AI230">IF($B230="","",_xlfn.LET(_xlpm.ids,'15. BCM Risk Register'!$L$6:$L$65,_xlpm.links,'15. BCM Risk Register'!$I$6:$I$65,_xlpm.hit,ISNUMBER(SEARCH(","&amp;$B230&amp;",",","&amp;SUBSTITUTE(_xlpm.links," ","")&amp;",")),IFERROR(_xlfn.TEXTJOIN(", ",TRUE,_xlfn.UNIQUE(_xlfn._xlws.FILTER(_xlpm.ids,_xlpm.hit*(_xlpm.ids&lt;&gt;"")*(_xlpm.ids&lt;&gt;"Not Created")))),"Not Created")))</f>
        <v/>
      </c>
      <c r="AJ230" s="361" t="str" cm="1">
        <f t="array" ref="AJ230">IF($B230="","",_xlfn.LET(_xlpm.ids,'15. BCM Risk Register'!$K$6:$K$65,_xlpm.links,'15. BCM Risk Register'!$I$6:$I$65,_xlpm.hit,ISNUMBER(SEARCH(","&amp;$B230&amp;",",","&amp;SUBSTITUTE(_xlpm.links," ","")&amp;",")),IFERROR(_xlfn.TEXTJOIN(", ",TRUE,_xlfn.UNIQUE(_xlfn._xlws.FILTER(_xlpm.ids,_xlpm.hit*(_xlpm.ids&lt;&gt;"")*(_xlpm.ids&lt;&gt;"Not Created")))),"Not Created")))</f>
        <v/>
      </c>
    </row>
    <row r="231" spans="1:36" ht="14.5" customHeight="1" x14ac:dyDescent="0.35">
      <c r="A231" s="355"/>
      <c r="B231" s="355"/>
      <c r="C231" s="348"/>
      <c r="D231" s="348"/>
      <c r="E231" s="355"/>
      <c r="F231" s="353"/>
      <c r="G231" s="76" t="s">
        <v>301</v>
      </c>
      <c r="H231" s="64"/>
      <c r="I231" s="139" t="s">
        <v>199</v>
      </c>
      <c r="J231" s="64"/>
      <c r="K231" s="64"/>
      <c r="L231" s="64"/>
      <c r="M231" s="64"/>
      <c r="N231" s="64"/>
      <c r="O231" s="64"/>
      <c r="P231" s="64"/>
      <c r="Q231" s="64"/>
      <c r="R231" s="64"/>
      <c r="S231" s="365"/>
      <c r="T231" s="136" t="str">
        <f t="shared" si="32"/>
        <v/>
      </c>
      <c r="U231" s="355"/>
      <c r="V231" s="358"/>
      <c r="W231" s="355"/>
      <c r="X231" s="355"/>
      <c r="Y231" s="369"/>
      <c r="Z231" s="369"/>
      <c r="AA231" s="355"/>
      <c r="AB231" s="355"/>
      <c r="AC231" s="353"/>
      <c r="AD231" s="355"/>
      <c r="AE231" s="369"/>
      <c r="AF231" s="369"/>
      <c r="AG231" s="355"/>
      <c r="AH231" s="362"/>
      <c r="AI231" s="362"/>
      <c r="AJ231" s="362"/>
    </row>
    <row r="232" spans="1:36" ht="14.5" customHeight="1" x14ac:dyDescent="0.35">
      <c r="A232" s="355"/>
      <c r="B232" s="355"/>
      <c r="C232" s="348"/>
      <c r="D232" s="348"/>
      <c r="E232" s="355"/>
      <c r="F232" s="353"/>
      <c r="G232" s="76" t="s">
        <v>302</v>
      </c>
      <c r="H232" s="64"/>
      <c r="I232" s="139" t="s">
        <v>200</v>
      </c>
      <c r="J232" s="64"/>
      <c r="K232" s="64"/>
      <c r="L232" s="64"/>
      <c r="M232" s="64"/>
      <c r="N232" s="64"/>
      <c r="O232" s="64"/>
      <c r="P232" s="64"/>
      <c r="Q232" s="64"/>
      <c r="R232" s="64"/>
      <c r="S232" s="365"/>
      <c r="T232" s="136" t="str">
        <f t="shared" si="32"/>
        <v/>
      </c>
      <c r="U232" s="355"/>
      <c r="V232" s="358"/>
      <c r="W232" s="355"/>
      <c r="X232" s="355"/>
      <c r="Y232" s="369"/>
      <c r="Z232" s="369"/>
      <c r="AA232" s="355"/>
      <c r="AB232" s="355"/>
      <c r="AC232" s="353"/>
      <c r="AD232" s="355"/>
      <c r="AE232" s="369"/>
      <c r="AF232" s="369"/>
      <c r="AG232" s="355"/>
      <c r="AH232" s="362"/>
      <c r="AI232" s="362"/>
      <c r="AJ232" s="362"/>
    </row>
    <row r="233" spans="1:36" ht="14.5" customHeight="1" x14ac:dyDescent="0.35">
      <c r="A233" s="355"/>
      <c r="B233" s="355"/>
      <c r="C233" s="348"/>
      <c r="D233" s="348"/>
      <c r="E233" s="355"/>
      <c r="F233" s="353"/>
      <c r="G233" s="76" t="s">
        <v>303</v>
      </c>
      <c r="H233" s="64"/>
      <c r="I233" s="139" t="s">
        <v>202</v>
      </c>
      <c r="J233" s="64"/>
      <c r="K233" s="64"/>
      <c r="L233" s="64"/>
      <c r="M233" s="64"/>
      <c r="N233" s="64"/>
      <c r="O233" s="64"/>
      <c r="P233" s="64"/>
      <c r="Q233" s="64"/>
      <c r="R233" s="64"/>
      <c r="S233" s="365"/>
      <c r="T233" s="136" t="str">
        <f t="shared" si="32"/>
        <v/>
      </c>
      <c r="U233" s="355"/>
      <c r="V233" s="358"/>
      <c r="W233" s="355"/>
      <c r="X233" s="355"/>
      <c r="Y233" s="369"/>
      <c r="Z233" s="369"/>
      <c r="AA233" s="355"/>
      <c r="AB233" s="355"/>
      <c r="AC233" s="353"/>
      <c r="AD233" s="355"/>
      <c r="AE233" s="369"/>
      <c r="AF233" s="369"/>
      <c r="AG233" s="355"/>
      <c r="AH233" s="362"/>
      <c r="AI233" s="362"/>
      <c r="AJ233" s="362"/>
    </row>
    <row r="234" spans="1:36" ht="14.5" customHeight="1" x14ac:dyDescent="0.35">
      <c r="A234" s="355"/>
      <c r="B234" s="355"/>
      <c r="C234" s="348"/>
      <c r="D234" s="348"/>
      <c r="E234" s="355"/>
      <c r="F234" s="353"/>
      <c r="G234" s="76" t="s">
        <v>304</v>
      </c>
      <c r="H234" s="64"/>
      <c r="I234" s="139" t="s">
        <v>203</v>
      </c>
      <c r="J234" s="64"/>
      <c r="K234" s="64"/>
      <c r="L234" s="64"/>
      <c r="M234" s="64"/>
      <c r="N234" s="64"/>
      <c r="O234" s="64"/>
      <c r="P234" s="64"/>
      <c r="Q234" s="64"/>
      <c r="R234" s="64"/>
      <c r="S234" s="365"/>
      <c r="T234" s="136" t="str">
        <f t="shared" si="32"/>
        <v/>
      </c>
      <c r="U234" s="355"/>
      <c r="V234" s="358"/>
      <c r="W234" s="355"/>
      <c r="X234" s="355"/>
      <c r="Y234" s="369"/>
      <c r="Z234" s="369"/>
      <c r="AA234" s="355"/>
      <c r="AB234" s="355"/>
      <c r="AC234" s="353"/>
      <c r="AD234" s="355"/>
      <c r="AE234" s="369"/>
      <c r="AF234" s="369"/>
      <c r="AG234" s="355"/>
      <c r="AH234" s="362"/>
      <c r="AI234" s="362"/>
      <c r="AJ234" s="362"/>
    </row>
    <row r="235" spans="1:36" ht="14.5" customHeight="1" x14ac:dyDescent="0.35">
      <c r="A235" s="355"/>
      <c r="B235" s="355"/>
      <c r="C235" s="348"/>
      <c r="D235" s="348"/>
      <c r="E235" s="355"/>
      <c r="F235" s="353"/>
      <c r="G235" s="76" t="s">
        <v>305</v>
      </c>
      <c r="H235" s="64"/>
      <c r="I235" s="139" t="s">
        <v>204</v>
      </c>
      <c r="J235" s="64"/>
      <c r="K235" s="64"/>
      <c r="L235" s="64"/>
      <c r="M235" s="64"/>
      <c r="N235" s="64"/>
      <c r="O235" s="64"/>
      <c r="P235" s="64"/>
      <c r="Q235" s="64"/>
      <c r="R235" s="64"/>
      <c r="S235" s="365"/>
      <c r="T235" s="136" t="str">
        <f t="shared" si="32"/>
        <v/>
      </c>
      <c r="U235" s="355"/>
      <c r="V235" s="358"/>
      <c r="W235" s="355"/>
      <c r="X235" s="355"/>
      <c r="Y235" s="369"/>
      <c r="Z235" s="369"/>
      <c r="AA235" s="355"/>
      <c r="AB235" s="355"/>
      <c r="AC235" s="353"/>
      <c r="AD235" s="355"/>
      <c r="AE235" s="369"/>
      <c r="AF235" s="369"/>
      <c r="AG235" s="355"/>
      <c r="AH235" s="362"/>
      <c r="AI235" s="362"/>
      <c r="AJ235" s="362"/>
    </row>
    <row r="236" spans="1:36" ht="14.5" customHeight="1" x14ac:dyDescent="0.35">
      <c r="A236" s="355"/>
      <c r="B236" s="355"/>
      <c r="C236" s="349"/>
      <c r="D236" s="349"/>
      <c r="E236" s="355"/>
      <c r="F236" s="353"/>
      <c r="G236" s="76" t="s">
        <v>306</v>
      </c>
      <c r="H236" s="64"/>
      <c r="I236" s="139" t="s">
        <v>205</v>
      </c>
      <c r="J236" s="64"/>
      <c r="K236" s="64"/>
      <c r="L236" s="64"/>
      <c r="M236" s="64"/>
      <c r="N236" s="64"/>
      <c r="O236" s="64"/>
      <c r="P236" s="64"/>
      <c r="Q236" s="64"/>
      <c r="R236" s="64"/>
      <c r="S236" s="366"/>
      <c r="T236" s="136" t="str">
        <f t="shared" si="32"/>
        <v/>
      </c>
      <c r="U236" s="355"/>
      <c r="V236" s="358"/>
      <c r="W236" s="355"/>
      <c r="X236" s="355"/>
      <c r="Y236" s="369"/>
      <c r="Z236" s="369"/>
      <c r="AA236" s="355"/>
      <c r="AB236" s="355"/>
      <c r="AC236" s="353"/>
      <c r="AD236" s="355"/>
      <c r="AE236" s="369"/>
      <c r="AF236" s="369"/>
      <c r="AG236" s="355"/>
      <c r="AH236" s="362"/>
      <c r="AI236" s="362"/>
      <c r="AJ236" s="362"/>
    </row>
    <row r="237" spans="1:36" ht="14.5" customHeight="1" x14ac:dyDescent="0.35">
      <c r="A237" s="359">
        <v>34</v>
      </c>
      <c r="B237" s="371" t="str">
        <f>IF($E237="","","BIA-"&amp;TEXT(34,"000"))</f>
        <v/>
      </c>
      <c r="C237" s="347" t="str">
        <f>IFERROR(INDEX(BusinessUnits1,MATCH(A237,'04. Products &amp; Services'!$N$6:$N$50,0)),"")</f>
        <v/>
      </c>
      <c r="D237" s="347" t="str">
        <f>IFERROR(INDEX(DivisionSites,MATCH(A237,'04. Products &amp; Services'!$N$6:$N$50,0)),"")</f>
        <v/>
      </c>
      <c r="E237" s="360" t="str">
        <f>IFERROR(INDEX(ScopeNames,MATCH(A237,'04. Products &amp; Services'!$N$6:$N$50,0)),"")</f>
        <v/>
      </c>
      <c r="F237" s="372" t="str">
        <f>_xlfn.XLOOKUP(E237,'04. Products &amp; Services'!$E$5:$E$50,'04. Products &amp; Services'!$B$5:$B$50,"")</f>
        <v/>
      </c>
      <c r="G237" s="76" t="s">
        <v>300</v>
      </c>
      <c r="H237" s="64"/>
      <c r="I237" s="139" t="s">
        <v>197</v>
      </c>
      <c r="J237" s="64"/>
      <c r="K237" s="64"/>
      <c r="L237" s="64"/>
      <c r="M237" s="64"/>
      <c r="N237" s="64"/>
      <c r="O237" s="64"/>
      <c r="P237" s="64"/>
      <c r="Q237" s="64"/>
      <c r="R237" s="64"/>
      <c r="S237" s="364" t="str">
        <f>IF(COUNT(J237:R243)=0,"",MAX(J237:R243))</f>
        <v/>
      </c>
      <c r="T237" s="136" t="str">
        <f t="shared" ref="T237:T243" si="33">IF($S$237="","",IF(COUNT(J237:R237)=0,"",IF(MAX(J237:R237)&gt;3,$I237,"")))</f>
        <v/>
      </c>
      <c r="U237" s="356" t="str" cm="1">
        <f t="array" ref="U237">IF($E237="","",_xlfn.LET(_xlpm.matches,_xlfn._xlws.FILTER('04. Products &amp; Services'!$J$6:$J$50,'04. Products &amp; Services'!$E$6:$E$50=$E237,""),_xlpm.n,COUNTIF($E$6:$E237,$E237),_xlpm.v,IFERROR(INDEX(_xlpm.matches,_xlpm.n),""),IF(OR(_xlpm.v="",_xlpm.v=0),"",_xlpm.v)))</f>
        <v/>
      </c>
      <c r="V237" s="357"/>
      <c r="W237" s="354" t="str">
        <f>IF($E237="","",IF(OR($U237="Yes",$V237="Yes"),"Yes",IF(AND($U237="No",$V237="No"),"No",IF(AND($U237="Under Evaluation",$V237="No"),"Under Evaluation",""))))</f>
        <v/>
      </c>
      <c r="X237" s="377" t="str">
        <f>IF($E237="","",IFERROR(_xlfn.LET(_xlpm.v,INDEX('04. Products &amp; Services'!$K$6:$K$50,MATCH($E237,ScopeNames,0)),IF(_xlpm.v="","",_xlpm.v)),""))</f>
        <v/>
      </c>
      <c r="Y237" s="376"/>
      <c r="Z237" s="376"/>
      <c r="AA237" s="354" t="str">
        <f>IF($E237="","",IF(COUNT(J237:R243)=0,"",IF(MAX(J237:J243)&gt;=4,6,IF(MAX(K237:K243)&gt;=4,18,IF(MAX(L237:L243)&gt;=4,36,IF(MAX(M237:M243)&gt;=4,72,IF(MAX(N237:N243)&gt;=4,168,IF(MAX(O237:O243)&gt;=4,336,IF(MAX(P237:P243)&gt;=4,504,IF(MAX(Q237:Q243)&gt;=4,672,IF(MAX(R237:R243)&gt;=4,"","")))))))))))</f>
        <v/>
      </c>
      <c r="AB237" s="354" t="str">
        <f>IF($F237="","",IFERROR(VLOOKUP($F237,'04. Products &amp; Services'!$B$5:$M$50,12,0),""))</f>
        <v/>
      </c>
      <c r="AC237" s="352"/>
      <c r="AD237" s="367" t="str" cm="1">
        <f t="array" ref="AD237">IF(ISBLANK(AC237),"",_xlfn.LET(
_xlpm.Num,--_xlfn.TEXTBEFORE(AC237," "),
_xlpm.Unit,LOWER(_xlfn.TEXTAFTER(AC237," ")),
_xlfn.SWITCH(_xlpm.Unit,
"hour",_xlpm.Num,
"hours",_xlpm.Num,
"day",_xlpm.Num*24,
"days",_xlpm.Num*24,
"week",_xlpm.Num*24*7,
"weeks",_xlpm.Num*24*7,
"month",_xlpm.Num*24*(365.25/12),
"months",_xlpm.Num*24*(365.25/12),
"")
))</f>
        <v/>
      </c>
      <c r="AE237" s="368"/>
      <c r="AF237" s="370"/>
      <c r="AG237" s="363" t="str">
        <f>IF($AF237="","",DATE(YEAR($AF237)+1,MONTH($AF237),DAY($AF237)))</f>
        <v/>
      </c>
      <c r="AH237" s="361" t="str" cm="1">
        <f t="array" ref="AH237">IF($B237="","",_xlfn.LET(_xlpm.ids,'15. BCM Risk Register'!$A$6:$A$65,_xlpm.links,'15. BCM Risk Register'!$I$6:$I$65,_xlpm.hit,ISNUMBER(SEARCH(","&amp;$B237&amp;",",","&amp;SUBSTITUTE(_xlpm.links," ","")&amp;",")),IFERROR(_xlfn.TEXTJOIN(", ",TRUE,_xlfn.UNIQUE(_xlfn._xlws.FILTER(_xlpm.ids,_xlpm.hit*(_xlpm.ids&lt;&gt;"")))),"Not Created")))</f>
        <v/>
      </c>
      <c r="AI237" s="361" t="str" cm="1">
        <f t="array" ref="AI237">IF($B237="","",_xlfn.LET(_xlpm.ids,'15. BCM Risk Register'!$L$6:$L$65,_xlpm.links,'15. BCM Risk Register'!$I$6:$I$65,_xlpm.hit,ISNUMBER(SEARCH(","&amp;$B237&amp;",",","&amp;SUBSTITUTE(_xlpm.links," ","")&amp;",")),IFERROR(_xlfn.TEXTJOIN(", ",TRUE,_xlfn.UNIQUE(_xlfn._xlws.FILTER(_xlpm.ids,_xlpm.hit*(_xlpm.ids&lt;&gt;"")*(_xlpm.ids&lt;&gt;"Not Created")))),"Not Created")))</f>
        <v/>
      </c>
      <c r="AJ237" s="361" t="str" cm="1">
        <f t="array" ref="AJ237">IF($B237="","",_xlfn.LET(_xlpm.ids,'15. BCM Risk Register'!$K$6:$K$65,_xlpm.links,'15. BCM Risk Register'!$I$6:$I$65,_xlpm.hit,ISNUMBER(SEARCH(","&amp;$B237&amp;",",","&amp;SUBSTITUTE(_xlpm.links," ","")&amp;",")),IFERROR(_xlfn.TEXTJOIN(", ",TRUE,_xlfn.UNIQUE(_xlfn._xlws.FILTER(_xlpm.ids,_xlpm.hit*(_xlpm.ids&lt;&gt;"")*(_xlpm.ids&lt;&gt;"Not Created")))),"Not Created")))</f>
        <v/>
      </c>
    </row>
    <row r="238" spans="1:36" ht="14.5" customHeight="1" x14ac:dyDescent="0.35">
      <c r="A238" s="355"/>
      <c r="B238" s="355"/>
      <c r="C238" s="348"/>
      <c r="D238" s="348"/>
      <c r="E238" s="355"/>
      <c r="F238" s="353"/>
      <c r="G238" s="76" t="s">
        <v>301</v>
      </c>
      <c r="H238" s="64"/>
      <c r="I238" s="139" t="s">
        <v>199</v>
      </c>
      <c r="J238" s="64"/>
      <c r="K238" s="64"/>
      <c r="L238" s="64"/>
      <c r="M238" s="64"/>
      <c r="N238" s="64"/>
      <c r="O238" s="64"/>
      <c r="P238" s="64"/>
      <c r="Q238" s="64"/>
      <c r="R238" s="64"/>
      <c r="S238" s="365"/>
      <c r="T238" s="136" t="str">
        <f t="shared" si="33"/>
        <v/>
      </c>
      <c r="U238" s="355"/>
      <c r="V238" s="358"/>
      <c r="W238" s="355"/>
      <c r="X238" s="355"/>
      <c r="Y238" s="369"/>
      <c r="Z238" s="369"/>
      <c r="AA238" s="355"/>
      <c r="AB238" s="355"/>
      <c r="AC238" s="353"/>
      <c r="AD238" s="355"/>
      <c r="AE238" s="369"/>
      <c r="AF238" s="369"/>
      <c r="AG238" s="355"/>
      <c r="AH238" s="362"/>
      <c r="AI238" s="362"/>
      <c r="AJ238" s="362"/>
    </row>
    <row r="239" spans="1:36" ht="14.5" customHeight="1" x14ac:dyDescent="0.35">
      <c r="A239" s="355"/>
      <c r="B239" s="355"/>
      <c r="C239" s="348"/>
      <c r="D239" s="348"/>
      <c r="E239" s="355"/>
      <c r="F239" s="353"/>
      <c r="G239" s="76" t="s">
        <v>302</v>
      </c>
      <c r="H239" s="64"/>
      <c r="I239" s="139" t="s">
        <v>200</v>
      </c>
      <c r="J239" s="64"/>
      <c r="K239" s="64"/>
      <c r="L239" s="64"/>
      <c r="M239" s="64"/>
      <c r="N239" s="64"/>
      <c r="O239" s="64"/>
      <c r="P239" s="64"/>
      <c r="Q239" s="64"/>
      <c r="R239" s="64"/>
      <c r="S239" s="365"/>
      <c r="T239" s="136" t="str">
        <f t="shared" si="33"/>
        <v/>
      </c>
      <c r="U239" s="355"/>
      <c r="V239" s="358"/>
      <c r="W239" s="355"/>
      <c r="X239" s="355"/>
      <c r="Y239" s="369"/>
      <c r="Z239" s="369"/>
      <c r="AA239" s="355"/>
      <c r="AB239" s="355"/>
      <c r="AC239" s="353"/>
      <c r="AD239" s="355"/>
      <c r="AE239" s="369"/>
      <c r="AF239" s="369"/>
      <c r="AG239" s="355"/>
      <c r="AH239" s="362"/>
      <c r="AI239" s="362"/>
      <c r="AJ239" s="362"/>
    </row>
    <row r="240" spans="1:36" ht="14.5" customHeight="1" x14ac:dyDescent="0.35">
      <c r="A240" s="355"/>
      <c r="B240" s="355"/>
      <c r="C240" s="348"/>
      <c r="D240" s="348"/>
      <c r="E240" s="355"/>
      <c r="F240" s="353"/>
      <c r="G240" s="76" t="s">
        <v>303</v>
      </c>
      <c r="H240" s="64"/>
      <c r="I240" s="139" t="s">
        <v>202</v>
      </c>
      <c r="J240" s="64"/>
      <c r="K240" s="64"/>
      <c r="L240" s="64"/>
      <c r="M240" s="64"/>
      <c r="N240" s="64"/>
      <c r="O240" s="64"/>
      <c r="P240" s="64"/>
      <c r="Q240" s="64"/>
      <c r="R240" s="64"/>
      <c r="S240" s="365"/>
      <c r="T240" s="136" t="str">
        <f t="shared" si="33"/>
        <v/>
      </c>
      <c r="U240" s="355"/>
      <c r="V240" s="358"/>
      <c r="W240" s="355"/>
      <c r="X240" s="355"/>
      <c r="Y240" s="369"/>
      <c r="Z240" s="369"/>
      <c r="AA240" s="355"/>
      <c r="AB240" s="355"/>
      <c r="AC240" s="353"/>
      <c r="AD240" s="355"/>
      <c r="AE240" s="369"/>
      <c r="AF240" s="369"/>
      <c r="AG240" s="355"/>
      <c r="AH240" s="362"/>
      <c r="AI240" s="362"/>
      <c r="AJ240" s="362"/>
    </row>
    <row r="241" spans="1:36" ht="14.5" customHeight="1" x14ac:dyDescent="0.35">
      <c r="A241" s="355"/>
      <c r="B241" s="355"/>
      <c r="C241" s="348"/>
      <c r="D241" s="348"/>
      <c r="E241" s="355"/>
      <c r="F241" s="353"/>
      <c r="G241" s="76" t="s">
        <v>304</v>
      </c>
      <c r="H241" s="64"/>
      <c r="I241" s="139" t="s">
        <v>203</v>
      </c>
      <c r="J241" s="64"/>
      <c r="K241" s="64"/>
      <c r="L241" s="64"/>
      <c r="M241" s="64"/>
      <c r="N241" s="64"/>
      <c r="O241" s="64"/>
      <c r="P241" s="64"/>
      <c r="Q241" s="64"/>
      <c r="R241" s="64"/>
      <c r="S241" s="365"/>
      <c r="T241" s="136" t="str">
        <f t="shared" si="33"/>
        <v/>
      </c>
      <c r="U241" s="355"/>
      <c r="V241" s="358"/>
      <c r="W241" s="355"/>
      <c r="X241" s="355"/>
      <c r="Y241" s="369"/>
      <c r="Z241" s="369"/>
      <c r="AA241" s="355"/>
      <c r="AB241" s="355"/>
      <c r="AC241" s="353"/>
      <c r="AD241" s="355"/>
      <c r="AE241" s="369"/>
      <c r="AF241" s="369"/>
      <c r="AG241" s="355"/>
      <c r="AH241" s="362"/>
      <c r="AI241" s="362"/>
      <c r="AJ241" s="362"/>
    </row>
    <row r="242" spans="1:36" ht="14.5" customHeight="1" x14ac:dyDescent="0.35">
      <c r="A242" s="355"/>
      <c r="B242" s="355"/>
      <c r="C242" s="348"/>
      <c r="D242" s="348"/>
      <c r="E242" s="355"/>
      <c r="F242" s="353"/>
      <c r="G242" s="76" t="s">
        <v>305</v>
      </c>
      <c r="H242" s="64"/>
      <c r="I242" s="139" t="s">
        <v>204</v>
      </c>
      <c r="J242" s="64"/>
      <c r="K242" s="64"/>
      <c r="L242" s="64"/>
      <c r="M242" s="64"/>
      <c r="N242" s="64"/>
      <c r="O242" s="64"/>
      <c r="P242" s="64"/>
      <c r="Q242" s="64"/>
      <c r="R242" s="64"/>
      <c r="S242" s="365"/>
      <c r="T242" s="136" t="str">
        <f t="shared" si="33"/>
        <v/>
      </c>
      <c r="U242" s="355"/>
      <c r="V242" s="358"/>
      <c r="W242" s="355"/>
      <c r="X242" s="355"/>
      <c r="Y242" s="369"/>
      <c r="Z242" s="369"/>
      <c r="AA242" s="355"/>
      <c r="AB242" s="355"/>
      <c r="AC242" s="353"/>
      <c r="AD242" s="355"/>
      <c r="AE242" s="369"/>
      <c r="AF242" s="369"/>
      <c r="AG242" s="355"/>
      <c r="AH242" s="362"/>
      <c r="AI242" s="362"/>
      <c r="AJ242" s="362"/>
    </row>
    <row r="243" spans="1:36" ht="14.5" customHeight="1" x14ac:dyDescent="0.35">
      <c r="A243" s="355"/>
      <c r="B243" s="355"/>
      <c r="C243" s="349"/>
      <c r="D243" s="349"/>
      <c r="E243" s="355"/>
      <c r="F243" s="353"/>
      <c r="G243" s="76" t="s">
        <v>306</v>
      </c>
      <c r="H243" s="64"/>
      <c r="I243" s="139" t="s">
        <v>205</v>
      </c>
      <c r="J243" s="64"/>
      <c r="K243" s="64"/>
      <c r="L243" s="64"/>
      <c r="M243" s="64"/>
      <c r="N243" s="64"/>
      <c r="O243" s="64"/>
      <c r="P243" s="64"/>
      <c r="Q243" s="64"/>
      <c r="R243" s="64"/>
      <c r="S243" s="366"/>
      <c r="T243" s="136" t="str">
        <f t="shared" si="33"/>
        <v/>
      </c>
      <c r="U243" s="355"/>
      <c r="V243" s="358"/>
      <c r="W243" s="355"/>
      <c r="X243" s="355"/>
      <c r="Y243" s="369"/>
      <c r="Z243" s="369"/>
      <c r="AA243" s="355"/>
      <c r="AB243" s="355"/>
      <c r="AC243" s="353"/>
      <c r="AD243" s="355"/>
      <c r="AE243" s="369"/>
      <c r="AF243" s="369"/>
      <c r="AG243" s="355"/>
      <c r="AH243" s="362"/>
      <c r="AI243" s="362"/>
      <c r="AJ243" s="362"/>
    </row>
    <row r="244" spans="1:36" ht="14.5" customHeight="1" x14ac:dyDescent="0.35">
      <c r="A244" s="359">
        <v>35</v>
      </c>
      <c r="B244" s="371" t="str">
        <f>IF($E244="","","BIA-"&amp;TEXT(35,"000"))</f>
        <v/>
      </c>
      <c r="C244" s="347" t="str">
        <f>IFERROR(INDEX(BusinessUnits1,MATCH(A244,'04. Products &amp; Services'!$N$6:$N$50,0)),"")</f>
        <v/>
      </c>
      <c r="D244" s="347" t="str">
        <f>IFERROR(INDEX(DivisionSites,MATCH(A244,'04. Products &amp; Services'!$N$6:$N$50,0)),"")</f>
        <v/>
      </c>
      <c r="E244" s="360" t="str">
        <f>IFERROR(INDEX(ScopeNames,MATCH(A244,'04. Products &amp; Services'!$N$6:$N$50,0)),"")</f>
        <v/>
      </c>
      <c r="F244" s="372" t="str">
        <f>_xlfn.XLOOKUP(E244,'04. Products &amp; Services'!$E$5:$E$50,'04. Products &amp; Services'!$B$5:$B$50,"")</f>
        <v/>
      </c>
      <c r="G244" s="76" t="s">
        <v>300</v>
      </c>
      <c r="H244" s="64"/>
      <c r="I244" s="139" t="s">
        <v>197</v>
      </c>
      <c r="J244" s="64"/>
      <c r="K244" s="64"/>
      <c r="L244" s="64"/>
      <c r="M244" s="64"/>
      <c r="N244" s="64"/>
      <c r="O244" s="64"/>
      <c r="P244" s="64"/>
      <c r="Q244" s="64"/>
      <c r="R244" s="64"/>
      <c r="S244" s="364" t="str">
        <f>IF(COUNT(J244:R250)=0,"",MAX(J244:R250))</f>
        <v/>
      </c>
      <c r="T244" s="136" t="str">
        <f t="shared" ref="T244:T250" si="34">IF($S$244="","",IF(COUNT(J244:R244)=0,"",IF(MAX(J244:R244)&gt;3,$I244,"")))</f>
        <v/>
      </c>
      <c r="U244" s="356" t="str" cm="1">
        <f t="array" ref="U244">IF($E244="","",_xlfn.LET(_xlpm.matches,_xlfn._xlws.FILTER('04. Products &amp; Services'!$J$6:$J$50,'04. Products &amp; Services'!$E$6:$E$50=$E244,""),_xlpm.n,COUNTIF($E$6:$E244,$E244),_xlpm.v,IFERROR(INDEX(_xlpm.matches,_xlpm.n),""),IF(OR(_xlpm.v="",_xlpm.v=0),"",_xlpm.v)))</f>
        <v/>
      </c>
      <c r="V244" s="357"/>
      <c r="W244" s="354" t="str">
        <f>IF($E244="","",IF(OR($U244="Yes",$V244="Yes"),"Yes",IF(AND($U244="No",$V244="No"),"No",IF(AND($U244="Under Evaluation",$V244="No"),"Under Evaluation",""))))</f>
        <v/>
      </c>
      <c r="X244" s="377" t="str">
        <f>IF($E244="","",IFERROR(_xlfn.LET(_xlpm.v,INDEX('04. Products &amp; Services'!$K$6:$K$50,MATCH($E244,ScopeNames,0)),IF(_xlpm.v="","",_xlpm.v)),""))</f>
        <v/>
      </c>
      <c r="Y244" s="376"/>
      <c r="Z244" s="376"/>
      <c r="AA244" s="354" t="str">
        <f>IF($E244="","",IF(COUNT(J244:R250)=0,"",IF(MAX(J244:J250)&gt;=4,6,IF(MAX(K244:K250)&gt;=4,18,IF(MAX(L244:L250)&gt;=4,36,IF(MAX(M244:M250)&gt;=4,72,IF(MAX(N244:N250)&gt;=4,168,IF(MAX(O244:O250)&gt;=4,336,IF(MAX(P244:P250)&gt;=4,504,IF(MAX(Q244:Q250)&gt;=4,672,IF(MAX(R244:R250)&gt;=4,"","")))))))))))</f>
        <v/>
      </c>
      <c r="AB244" s="354" t="str">
        <f>IF($F244="","",IFERROR(VLOOKUP($F244,'04. Products &amp; Services'!$B$5:$M$50,12,0),""))</f>
        <v/>
      </c>
      <c r="AC244" s="352"/>
      <c r="AD244" s="367" t="str" cm="1">
        <f t="array" ref="AD244">IF(ISBLANK(AC244),"",_xlfn.LET(
_xlpm.Num,--_xlfn.TEXTBEFORE(AC244," "),
_xlpm.Unit,LOWER(_xlfn.TEXTAFTER(AC244," ")),
_xlfn.SWITCH(_xlpm.Unit,
"hour",_xlpm.Num,
"hours",_xlpm.Num,
"day",_xlpm.Num*24,
"days",_xlpm.Num*24,
"week",_xlpm.Num*24*7,
"weeks",_xlpm.Num*24*7,
"month",_xlpm.Num*24*(365.25/12),
"months",_xlpm.Num*24*(365.25/12),
"")
))</f>
        <v/>
      </c>
      <c r="AE244" s="368"/>
      <c r="AF244" s="370"/>
      <c r="AG244" s="363" t="str">
        <f>IF($AF244="","",DATE(YEAR($AF244)+1,MONTH($AF244),DAY($AF244)))</f>
        <v/>
      </c>
      <c r="AH244" s="361" t="str" cm="1">
        <f t="array" ref="AH244">IF($B244="","",_xlfn.LET(_xlpm.ids,'15. BCM Risk Register'!$A$6:$A$65,_xlpm.links,'15. BCM Risk Register'!$I$6:$I$65,_xlpm.hit,ISNUMBER(SEARCH(","&amp;$B244&amp;",",","&amp;SUBSTITUTE(_xlpm.links," ","")&amp;",")),IFERROR(_xlfn.TEXTJOIN(", ",TRUE,_xlfn.UNIQUE(_xlfn._xlws.FILTER(_xlpm.ids,_xlpm.hit*(_xlpm.ids&lt;&gt;"")))),"Not Created")))</f>
        <v/>
      </c>
      <c r="AI244" s="361" t="str" cm="1">
        <f t="array" ref="AI244">IF($B244="","",_xlfn.LET(_xlpm.ids,'15. BCM Risk Register'!$L$6:$L$65,_xlpm.links,'15. BCM Risk Register'!$I$6:$I$65,_xlpm.hit,ISNUMBER(SEARCH(","&amp;$B244&amp;",",","&amp;SUBSTITUTE(_xlpm.links," ","")&amp;",")),IFERROR(_xlfn.TEXTJOIN(", ",TRUE,_xlfn.UNIQUE(_xlfn._xlws.FILTER(_xlpm.ids,_xlpm.hit*(_xlpm.ids&lt;&gt;"")*(_xlpm.ids&lt;&gt;"Not Created")))),"Not Created")))</f>
        <v/>
      </c>
      <c r="AJ244" s="361" t="str" cm="1">
        <f t="array" ref="AJ244">IF($B244="","",_xlfn.LET(_xlpm.ids,'15. BCM Risk Register'!$K$6:$K$65,_xlpm.links,'15. BCM Risk Register'!$I$6:$I$65,_xlpm.hit,ISNUMBER(SEARCH(","&amp;$B244&amp;",",","&amp;SUBSTITUTE(_xlpm.links," ","")&amp;",")),IFERROR(_xlfn.TEXTJOIN(", ",TRUE,_xlfn.UNIQUE(_xlfn._xlws.FILTER(_xlpm.ids,_xlpm.hit*(_xlpm.ids&lt;&gt;"")*(_xlpm.ids&lt;&gt;"Not Created")))),"Not Created")))</f>
        <v/>
      </c>
    </row>
    <row r="245" spans="1:36" ht="14.5" customHeight="1" x14ac:dyDescent="0.35">
      <c r="A245" s="355"/>
      <c r="B245" s="355"/>
      <c r="C245" s="348"/>
      <c r="D245" s="348"/>
      <c r="E245" s="355"/>
      <c r="F245" s="353"/>
      <c r="G245" s="76" t="s">
        <v>301</v>
      </c>
      <c r="H245" s="64"/>
      <c r="I245" s="139" t="s">
        <v>199</v>
      </c>
      <c r="J245" s="64"/>
      <c r="K245" s="64"/>
      <c r="L245" s="64"/>
      <c r="M245" s="64"/>
      <c r="N245" s="64"/>
      <c r="O245" s="64"/>
      <c r="P245" s="64"/>
      <c r="Q245" s="64"/>
      <c r="R245" s="64"/>
      <c r="S245" s="365"/>
      <c r="T245" s="136" t="str">
        <f t="shared" si="34"/>
        <v/>
      </c>
      <c r="U245" s="355"/>
      <c r="V245" s="358"/>
      <c r="W245" s="355"/>
      <c r="X245" s="355"/>
      <c r="Y245" s="369"/>
      <c r="Z245" s="369"/>
      <c r="AA245" s="355"/>
      <c r="AB245" s="355"/>
      <c r="AC245" s="353"/>
      <c r="AD245" s="355"/>
      <c r="AE245" s="369"/>
      <c r="AF245" s="369"/>
      <c r="AG245" s="355"/>
      <c r="AH245" s="362"/>
      <c r="AI245" s="362"/>
      <c r="AJ245" s="362"/>
    </row>
    <row r="246" spans="1:36" ht="14.5" customHeight="1" x14ac:dyDescent="0.35">
      <c r="A246" s="355"/>
      <c r="B246" s="355"/>
      <c r="C246" s="348"/>
      <c r="D246" s="348"/>
      <c r="E246" s="355"/>
      <c r="F246" s="353"/>
      <c r="G246" s="76" t="s">
        <v>302</v>
      </c>
      <c r="H246" s="64"/>
      <c r="I246" s="139" t="s">
        <v>200</v>
      </c>
      <c r="J246" s="64"/>
      <c r="K246" s="64"/>
      <c r="L246" s="64"/>
      <c r="M246" s="64"/>
      <c r="N246" s="64"/>
      <c r="O246" s="64"/>
      <c r="P246" s="64"/>
      <c r="Q246" s="64"/>
      <c r="R246" s="64"/>
      <c r="S246" s="365"/>
      <c r="T246" s="136" t="str">
        <f t="shared" si="34"/>
        <v/>
      </c>
      <c r="U246" s="355"/>
      <c r="V246" s="358"/>
      <c r="W246" s="355"/>
      <c r="X246" s="355"/>
      <c r="Y246" s="369"/>
      <c r="Z246" s="369"/>
      <c r="AA246" s="355"/>
      <c r="AB246" s="355"/>
      <c r="AC246" s="353"/>
      <c r="AD246" s="355"/>
      <c r="AE246" s="369"/>
      <c r="AF246" s="369"/>
      <c r="AG246" s="355"/>
      <c r="AH246" s="362"/>
      <c r="AI246" s="362"/>
      <c r="AJ246" s="362"/>
    </row>
    <row r="247" spans="1:36" ht="14.5" customHeight="1" x14ac:dyDescent="0.35">
      <c r="A247" s="355"/>
      <c r="B247" s="355"/>
      <c r="C247" s="348"/>
      <c r="D247" s="348"/>
      <c r="E247" s="355"/>
      <c r="F247" s="353"/>
      <c r="G247" s="76" t="s">
        <v>303</v>
      </c>
      <c r="H247" s="64"/>
      <c r="I247" s="139" t="s">
        <v>202</v>
      </c>
      <c r="J247" s="64"/>
      <c r="K247" s="64"/>
      <c r="L247" s="64"/>
      <c r="M247" s="64"/>
      <c r="N247" s="64"/>
      <c r="O247" s="64"/>
      <c r="P247" s="64"/>
      <c r="Q247" s="64"/>
      <c r="R247" s="64"/>
      <c r="S247" s="365"/>
      <c r="T247" s="136" t="str">
        <f t="shared" si="34"/>
        <v/>
      </c>
      <c r="U247" s="355"/>
      <c r="V247" s="358"/>
      <c r="W247" s="355"/>
      <c r="X247" s="355"/>
      <c r="Y247" s="369"/>
      <c r="Z247" s="369"/>
      <c r="AA247" s="355"/>
      <c r="AB247" s="355"/>
      <c r="AC247" s="353"/>
      <c r="AD247" s="355"/>
      <c r="AE247" s="369"/>
      <c r="AF247" s="369"/>
      <c r="AG247" s="355"/>
      <c r="AH247" s="362"/>
      <c r="AI247" s="362"/>
      <c r="AJ247" s="362"/>
    </row>
    <row r="248" spans="1:36" ht="14.5" customHeight="1" x14ac:dyDescent="0.35">
      <c r="A248" s="355"/>
      <c r="B248" s="355"/>
      <c r="C248" s="348"/>
      <c r="D248" s="348"/>
      <c r="E248" s="355"/>
      <c r="F248" s="353"/>
      <c r="G248" s="76" t="s">
        <v>304</v>
      </c>
      <c r="H248" s="64"/>
      <c r="I248" s="139" t="s">
        <v>203</v>
      </c>
      <c r="J248" s="64"/>
      <c r="K248" s="64"/>
      <c r="L248" s="64"/>
      <c r="M248" s="64"/>
      <c r="N248" s="64"/>
      <c r="O248" s="64"/>
      <c r="P248" s="64"/>
      <c r="Q248" s="64"/>
      <c r="R248" s="64"/>
      <c r="S248" s="365"/>
      <c r="T248" s="136" t="str">
        <f t="shared" si="34"/>
        <v/>
      </c>
      <c r="U248" s="355"/>
      <c r="V248" s="358"/>
      <c r="W248" s="355"/>
      <c r="X248" s="355"/>
      <c r="Y248" s="369"/>
      <c r="Z248" s="369"/>
      <c r="AA248" s="355"/>
      <c r="AB248" s="355"/>
      <c r="AC248" s="353"/>
      <c r="AD248" s="355"/>
      <c r="AE248" s="369"/>
      <c r="AF248" s="369"/>
      <c r="AG248" s="355"/>
      <c r="AH248" s="362"/>
      <c r="AI248" s="362"/>
      <c r="AJ248" s="362"/>
    </row>
    <row r="249" spans="1:36" ht="14.5" customHeight="1" x14ac:dyDescent="0.35">
      <c r="A249" s="355"/>
      <c r="B249" s="355"/>
      <c r="C249" s="348"/>
      <c r="D249" s="348"/>
      <c r="E249" s="355"/>
      <c r="F249" s="353"/>
      <c r="G249" s="76" t="s">
        <v>305</v>
      </c>
      <c r="H249" s="64"/>
      <c r="I249" s="139" t="s">
        <v>204</v>
      </c>
      <c r="J249" s="64"/>
      <c r="K249" s="64"/>
      <c r="L249" s="64"/>
      <c r="M249" s="64"/>
      <c r="N249" s="64"/>
      <c r="O249" s="64"/>
      <c r="P249" s="64"/>
      <c r="Q249" s="64"/>
      <c r="R249" s="64"/>
      <c r="S249" s="365"/>
      <c r="T249" s="136" t="str">
        <f t="shared" si="34"/>
        <v/>
      </c>
      <c r="U249" s="355"/>
      <c r="V249" s="358"/>
      <c r="W249" s="355"/>
      <c r="X249" s="355"/>
      <c r="Y249" s="369"/>
      <c r="Z249" s="369"/>
      <c r="AA249" s="355"/>
      <c r="AB249" s="355"/>
      <c r="AC249" s="353"/>
      <c r="AD249" s="355"/>
      <c r="AE249" s="369"/>
      <c r="AF249" s="369"/>
      <c r="AG249" s="355"/>
      <c r="AH249" s="362"/>
      <c r="AI249" s="362"/>
      <c r="AJ249" s="362"/>
    </row>
    <row r="250" spans="1:36" ht="14.5" customHeight="1" x14ac:dyDescent="0.35">
      <c r="A250" s="355"/>
      <c r="B250" s="355"/>
      <c r="C250" s="349"/>
      <c r="D250" s="349"/>
      <c r="E250" s="355"/>
      <c r="F250" s="353"/>
      <c r="G250" s="76" t="s">
        <v>306</v>
      </c>
      <c r="H250" s="64"/>
      <c r="I250" s="139" t="s">
        <v>205</v>
      </c>
      <c r="J250" s="64"/>
      <c r="K250" s="64"/>
      <c r="L250" s="64"/>
      <c r="M250" s="64"/>
      <c r="N250" s="64"/>
      <c r="O250" s="64"/>
      <c r="P250" s="64"/>
      <c r="Q250" s="64"/>
      <c r="R250" s="64"/>
      <c r="S250" s="366"/>
      <c r="T250" s="136" t="str">
        <f t="shared" si="34"/>
        <v/>
      </c>
      <c r="U250" s="355"/>
      <c r="V250" s="358"/>
      <c r="W250" s="355"/>
      <c r="X250" s="355"/>
      <c r="Y250" s="369"/>
      <c r="Z250" s="369"/>
      <c r="AA250" s="355"/>
      <c r="AB250" s="355"/>
      <c r="AC250" s="353"/>
      <c r="AD250" s="355"/>
      <c r="AE250" s="369"/>
      <c r="AF250" s="369"/>
      <c r="AG250" s="355"/>
      <c r="AH250" s="362"/>
      <c r="AI250" s="362"/>
      <c r="AJ250" s="362"/>
    </row>
    <row r="251" spans="1:36" ht="14.5" customHeight="1" x14ac:dyDescent="0.35">
      <c r="A251" s="359">
        <v>36</v>
      </c>
      <c r="B251" s="371" t="str">
        <f>IF($E251="","","BIA-"&amp;TEXT(36,"000"))</f>
        <v/>
      </c>
      <c r="C251" s="347" t="str">
        <f>IFERROR(INDEX(BusinessUnits1,MATCH(A251,'04. Products &amp; Services'!$N$6:$N$50,0)),"")</f>
        <v/>
      </c>
      <c r="D251" s="347" t="str">
        <f>IFERROR(INDEX(DivisionSites,MATCH(A251,'04. Products &amp; Services'!$N$6:$N$50,0)),"")</f>
        <v/>
      </c>
      <c r="E251" s="360" t="str">
        <f>IFERROR(INDEX(ScopeNames,MATCH(A251,'04. Products &amp; Services'!$N$6:$N$50,0)),"")</f>
        <v/>
      </c>
      <c r="F251" s="372" t="str">
        <f>_xlfn.XLOOKUP(E251,'04. Products &amp; Services'!$E$5:$E$50,'04. Products &amp; Services'!$B$5:$B$50,"")</f>
        <v/>
      </c>
      <c r="G251" s="76" t="s">
        <v>300</v>
      </c>
      <c r="H251" s="64"/>
      <c r="I251" s="139" t="s">
        <v>197</v>
      </c>
      <c r="J251" s="64"/>
      <c r="K251" s="64"/>
      <c r="L251" s="64"/>
      <c r="M251" s="64"/>
      <c r="N251" s="64"/>
      <c r="O251" s="64"/>
      <c r="P251" s="64"/>
      <c r="Q251" s="64"/>
      <c r="R251" s="64"/>
      <c r="S251" s="364" t="str">
        <f>IF(COUNT(J251:R257)=0,"",MAX(J251:R257))</f>
        <v/>
      </c>
      <c r="T251" s="136" t="str">
        <f t="shared" ref="T251:T257" si="35">IF($S$251="","",IF(COUNT(J251:R251)=0,"",IF(MAX(J251:R251)&gt;3,$I251,"")))</f>
        <v/>
      </c>
      <c r="U251" s="356" t="str" cm="1">
        <f t="array" ref="U251">IF($E251="","",_xlfn.LET(_xlpm.matches,_xlfn._xlws.FILTER('04. Products &amp; Services'!$J$6:$J$50,'04. Products &amp; Services'!$E$6:$E$50=$E251,""),_xlpm.n,COUNTIF($E$6:$E251,$E251),_xlpm.v,IFERROR(INDEX(_xlpm.matches,_xlpm.n),""),IF(OR(_xlpm.v="",_xlpm.v=0),"",_xlpm.v)))</f>
        <v/>
      </c>
      <c r="V251" s="357"/>
      <c r="W251" s="354" t="str">
        <f>IF($E251="","",IF(OR($U251="Yes",$V251="Yes"),"Yes",IF(AND($U251="No",$V251="No"),"No",IF(AND($U251="Under Evaluation",$V251="No"),"Under Evaluation",""))))</f>
        <v/>
      </c>
      <c r="X251" s="377" t="str">
        <f>IF($E251="","",IFERROR(_xlfn.LET(_xlpm.v,INDEX('04. Products &amp; Services'!$K$6:$K$50,MATCH($E251,ScopeNames,0)),IF(_xlpm.v="","",_xlpm.v)),""))</f>
        <v/>
      </c>
      <c r="Y251" s="376"/>
      <c r="Z251" s="376"/>
      <c r="AA251" s="354" t="str">
        <f>IF($E251="","",IF(COUNT(J251:R257)=0,"",IF(MAX(J251:J257)&gt;=4,6,IF(MAX(K251:K257)&gt;=4,18,IF(MAX(L251:L257)&gt;=4,36,IF(MAX(M251:M257)&gt;=4,72,IF(MAX(N251:N257)&gt;=4,168,IF(MAX(O251:O257)&gt;=4,336,IF(MAX(P251:P257)&gt;=4,504,IF(MAX(Q251:Q257)&gt;=4,672,IF(MAX(R251:R257)&gt;=4,"","")))))))))))</f>
        <v/>
      </c>
      <c r="AB251" s="354" t="str">
        <f>IF($F251="","",IFERROR(VLOOKUP($F251,'04. Products &amp; Services'!$B$5:$M$50,12,0),""))</f>
        <v/>
      </c>
      <c r="AC251" s="352"/>
      <c r="AD251" s="367" t="str" cm="1">
        <f t="array" ref="AD251">IF(ISBLANK(AC251),"",_xlfn.LET(
_xlpm.Num,--_xlfn.TEXTBEFORE(AC251," "),
_xlpm.Unit,LOWER(_xlfn.TEXTAFTER(AC251," ")),
_xlfn.SWITCH(_xlpm.Unit,
"hour",_xlpm.Num,
"hours",_xlpm.Num,
"day",_xlpm.Num*24,
"days",_xlpm.Num*24,
"week",_xlpm.Num*24*7,
"weeks",_xlpm.Num*24*7,
"month",_xlpm.Num*24*(365.25/12),
"months",_xlpm.Num*24*(365.25/12),
"")
))</f>
        <v/>
      </c>
      <c r="AE251" s="368"/>
      <c r="AF251" s="370"/>
      <c r="AG251" s="363" t="str">
        <f>IF($AF251="","",DATE(YEAR($AF251)+1,MONTH($AF251),DAY($AF251)))</f>
        <v/>
      </c>
      <c r="AH251" s="361" t="str" cm="1">
        <f t="array" ref="AH251">IF($B251="","",_xlfn.LET(_xlpm.ids,'15. BCM Risk Register'!$A$6:$A$65,_xlpm.links,'15. BCM Risk Register'!$I$6:$I$65,_xlpm.hit,ISNUMBER(SEARCH(","&amp;$B251&amp;",",","&amp;SUBSTITUTE(_xlpm.links," ","")&amp;",")),IFERROR(_xlfn.TEXTJOIN(", ",TRUE,_xlfn.UNIQUE(_xlfn._xlws.FILTER(_xlpm.ids,_xlpm.hit*(_xlpm.ids&lt;&gt;"")))),"Not Created")))</f>
        <v/>
      </c>
      <c r="AI251" s="361" t="str" cm="1">
        <f t="array" ref="AI251">IF($B251="","",_xlfn.LET(_xlpm.ids,'15. BCM Risk Register'!$L$6:$L$65,_xlpm.links,'15. BCM Risk Register'!$I$6:$I$65,_xlpm.hit,ISNUMBER(SEARCH(","&amp;$B251&amp;",",","&amp;SUBSTITUTE(_xlpm.links," ","")&amp;",")),IFERROR(_xlfn.TEXTJOIN(", ",TRUE,_xlfn.UNIQUE(_xlfn._xlws.FILTER(_xlpm.ids,_xlpm.hit*(_xlpm.ids&lt;&gt;"")*(_xlpm.ids&lt;&gt;"Not Created")))),"Not Created")))</f>
        <v/>
      </c>
      <c r="AJ251" s="361" t="str" cm="1">
        <f t="array" ref="AJ251">IF($B251="","",_xlfn.LET(_xlpm.ids,'15. BCM Risk Register'!$K$6:$K$65,_xlpm.links,'15. BCM Risk Register'!$I$6:$I$65,_xlpm.hit,ISNUMBER(SEARCH(","&amp;$B251&amp;",",","&amp;SUBSTITUTE(_xlpm.links," ","")&amp;",")),IFERROR(_xlfn.TEXTJOIN(", ",TRUE,_xlfn.UNIQUE(_xlfn._xlws.FILTER(_xlpm.ids,_xlpm.hit*(_xlpm.ids&lt;&gt;"")*(_xlpm.ids&lt;&gt;"Not Created")))),"Not Created")))</f>
        <v/>
      </c>
    </row>
    <row r="252" spans="1:36" ht="14.5" customHeight="1" x14ac:dyDescent="0.35">
      <c r="A252" s="355"/>
      <c r="B252" s="355"/>
      <c r="C252" s="348"/>
      <c r="D252" s="348"/>
      <c r="E252" s="355"/>
      <c r="F252" s="353"/>
      <c r="G252" s="76" t="s">
        <v>301</v>
      </c>
      <c r="H252" s="64"/>
      <c r="I252" s="139" t="s">
        <v>199</v>
      </c>
      <c r="J252" s="64"/>
      <c r="K252" s="64"/>
      <c r="L252" s="64"/>
      <c r="M252" s="64"/>
      <c r="N252" s="64"/>
      <c r="O252" s="64"/>
      <c r="P252" s="64"/>
      <c r="Q252" s="64"/>
      <c r="R252" s="64"/>
      <c r="S252" s="365"/>
      <c r="T252" s="136" t="str">
        <f t="shared" si="35"/>
        <v/>
      </c>
      <c r="U252" s="355"/>
      <c r="V252" s="358"/>
      <c r="W252" s="355"/>
      <c r="X252" s="355"/>
      <c r="Y252" s="369"/>
      <c r="Z252" s="369"/>
      <c r="AA252" s="355"/>
      <c r="AB252" s="355"/>
      <c r="AC252" s="353"/>
      <c r="AD252" s="355"/>
      <c r="AE252" s="369"/>
      <c r="AF252" s="369"/>
      <c r="AG252" s="355"/>
      <c r="AH252" s="362"/>
      <c r="AI252" s="362"/>
      <c r="AJ252" s="362"/>
    </row>
    <row r="253" spans="1:36" ht="14.5" customHeight="1" x14ac:dyDescent="0.35">
      <c r="A253" s="355"/>
      <c r="B253" s="355"/>
      <c r="C253" s="348"/>
      <c r="D253" s="348"/>
      <c r="E253" s="355"/>
      <c r="F253" s="353"/>
      <c r="G253" s="76" t="s">
        <v>302</v>
      </c>
      <c r="H253" s="64"/>
      <c r="I253" s="139" t="s">
        <v>200</v>
      </c>
      <c r="J253" s="64"/>
      <c r="K253" s="64"/>
      <c r="L253" s="64"/>
      <c r="M253" s="64"/>
      <c r="N253" s="64"/>
      <c r="O253" s="64"/>
      <c r="P253" s="64"/>
      <c r="Q253" s="64"/>
      <c r="R253" s="64"/>
      <c r="S253" s="365"/>
      <c r="T253" s="136" t="str">
        <f t="shared" si="35"/>
        <v/>
      </c>
      <c r="U253" s="355"/>
      <c r="V253" s="358"/>
      <c r="W253" s="355"/>
      <c r="X253" s="355"/>
      <c r="Y253" s="369"/>
      <c r="Z253" s="369"/>
      <c r="AA253" s="355"/>
      <c r="AB253" s="355"/>
      <c r="AC253" s="353"/>
      <c r="AD253" s="355"/>
      <c r="AE253" s="369"/>
      <c r="AF253" s="369"/>
      <c r="AG253" s="355"/>
      <c r="AH253" s="362"/>
      <c r="AI253" s="362"/>
      <c r="AJ253" s="362"/>
    </row>
    <row r="254" spans="1:36" ht="14.5" customHeight="1" x14ac:dyDescent="0.35">
      <c r="A254" s="355"/>
      <c r="B254" s="355"/>
      <c r="C254" s="348"/>
      <c r="D254" s="348"/>
      <c r="E254" s="355"/>
      <c r="F254" s="353"/>
      <c r="G254" s="76" t="s">
        <v>303</v>
      </c>
      <c r="H254" s="64"/>
      <c r="I254" s="139" t="s">
        <v>202</v>
      </c>
      <c r="J254" s="64"/>
      <c r="K254" s="64"/>
      <c r="L254" s="64"/>
      <c r="M254" s="64"/>
      <c r="N254" s="64"/>
      <c r="O254" s="64"/>
      <c r="P254" s="64"/>
      <c r="Q254" s="64"/>
      <c r="R254" s="64"/>
      <c r="S254" s="365"/>
      <c r="T254" s="136" t="str">
        <f t="shared" si="35"/>
        <v/>
      </c>
      <c r="U254" s="355"/>
      <c r="V254" s="358"/>
      <c r="W254" s="355"/>
      <c r="X254" s="355"/>
      <c r="Y254" s="369"/>
      <c r="Z254" s="369"/>
      <c r="AA254" s="355"/>
      <c r="AB254" s="355"/>
      <c r="AC254" s="353"/>
      <c r="AD254" s="355"/>
      <c r="AE254" s="369"/>
      <c r="AF254" s="369"/>
      <c r="AG254" s="355"/>
      <c r="AH254" s="362"/>
      <c r="AI254" s="362"/>
      <c r="AJ254" s="362"/>
    </row>
    <row r="255" spans="1:36" ht="14.5" customHeight="1" x14ac:dyDescent="0.35">
      <c r="A255" s="355"/>
      <c r="B255" s="355"/>
      <c r="C255" s="348"/>
      <c r="D255" s="348"/>
      <c r="E255" s="355"/>
      <c r="F255" s="353"/>
      <c r="G255" s="76" t="s">
        <v>304</v>
      </c>
      <c r="H255" s="64"/>
      <c r="I255" s="139" t="s">
        <v>203</v>
      </c>
      <c r="J255" s="64"/>
      <c r="K255" s="64"/>
      <c r="L255" s="64"/>
      <c r="M255" s="64"/>
      <c r="N255" s="64"/>
      <c r="O255" s="64"/>
      <c r="P255" s="64"/>
      <c r="Q255" s="64"/>
      <c r="R255" s="64"/>
      <c r="S255" s="365"/>
      <c r="T255" s="136" t="str">
        <f t="shared" si="35"/>
        <v/>
      </c>
      <c r="U255" s="355"/>
      <c r="V255" s="358"/>
      <c r="W255" s="355"/>
      <c r="X255" s="355"/>
      <c r="Y255" s="369"/>
      <c r="Z255" s="369"/>
      <c r="AA255" s="355"/>
      <c r="AB255" s="355"/>
      <c r="AC255" s="353"/>
      <c r="AD255" s="355"/>
      <c r="AE255" s="369"/>
      <c r="AF255" s="369"/>
      <c r="AG255" s="355"/>
      <c r="AH255" s="362"/>
      <c r="AI255" s="362"/>
      <c r="AJ255" s="362"/>
    </row>
    <row r="256" spans="1:36" ht="14.5" customHeight="1" x14ac:dyDescent="0.35">
      <c r="A256" s="355"/>
      <c r="B256" s="355"/>
      <c r="C256" s="348"/>
      <c r="D256" s="348"/>
      <c r="E256" s="355"/>
      <c r="F256" s="353"/>
      <c r="G256" s="76" t="s">
        <v>305</v>
      </c>
      <c r="H256" s="64"/>
      <c r="I256" s="139" t="s">
        <v>204</v>
      </c>
      <c r="J256" s="64"/>
      <c r="K256" s="64"/>
      <c r="L256" s="64"/>
      <c r="M256" s="64"/>
      <c r="N256" s="64"/>
      <c r="O256" s="64"/>
      <c r="P256" s="64"/>
      <c r="Q256" s="64"/>
      <c r="R256" s="64"/>
      <c r="S256" s="365"/>
      <c r="T256" s="136" t="str">
        <f t="shared" si="35"/>
        <v/>
      </c>
      <c r="U256" s="355"/>
      <c r="V256" s="358"/>
      <c r="W256" s="355"/>
      <c r="X256" s="355"/>
      <c r="Y256" s="369"/>
      <c r="Z256" s="369"/>
      <c r="AA256" s="355"/>
      <c r="AB256" s="355"/>
      <c r="AC256" s="353"/>
      <c r="AD256" s="355"/>
      <c r="AE256" s="369"/>
      <c r="AF256" s="369"/>
      <c r="AG256" s="355"/>
      <c r="AH256" s="362"/>
      <c r="AI256" s="362"/>
      <c r="AJ256" s="362"/>
    </row>
    <row r="257" spans="1:36" ht="14.5" customHeight="1" x14ac:dyDescent="0.35">
      <c r="A257" s="355"/>
      <c r="B257" s="355"/>
      <c r="C257" s="349"/>
      <c r="D257" s="349"/>
      <c r="E257" s="355"/>
      <c r="F257" s="353"/>
      <c r="G257" s="76" t="s">
        <v>306</v>
      </c>
      <c r="H257" s="64"/>
      <c r="I257" s="139" t="s">
        <v>205</v>
      </c>
      <c r="J257" s="64"/>
      <c r="K257" s="64"/>
      <c r="L257" s="64"/>
      <c r="M257" s="64"/>
      <c r="N257" s="64"/>
      <c r="O257" s="64"/>
      <c r="P257" s="64"/>
      <c r="Q257" s="64"/>
      <c r="R257" s="64"/>
      <c r="S257" s="366"/>
      <c r="T257" s="136" t="str">
        <f t="shared" si="35"/>
        <v/>
      </c>
      <c r="U257" s="355"/>
      <c r="V257" s="358"/>
      <c r="W257" s="355"/>
      <c r="X257" s="355"/>
      <c r="Y257" s="369"/>
      <c r="Z257" s="369"/>
      <c r="AA257" s="355"/>
      <c r="AB257" s="355"/>
      <c r="AC257" s="353"/>
      <c r="AD257" s="355"/>
      <c r="AE257" s="369"/>
      <c r="AF257" s="369"/>
      <c r="AG257" s="355"/>
      <c r="AH257" s="362"/>
      <c r="AI257" s="362"/>
      <c r="AJ257" s="362"/>
    </row>
    <row r="258" spans="1:36" ht="14.5" customHeight="1" x14ac:dyDescent="0.35">
      <c r="A258" s="359">
        <v>37</v>
      </c>
      <c r="B258" s="371" t="str">
        <f>IF($E258="","","BIA-"&amp;TEXT(37,"000"))</f>
        <v/>
      </c>
      <c r="C258" s="347" t="str">
        <f>IFERROR(INDEX(BusinessUnits1,MATCH(A258,'04. Products &amp; Services'!$N$6:$N$50,0)),"")</f>
        <v/>
      </c>
      <c r="D258" s="347" t="str">
        <f>IFERROR(INDEX(DivisionSites,MATCH(A258,'04. Products &amp; Services'!$N$6:$N$50,0)),"")</f>
        <v/>
      </c>
      <c r="E258" s="360" t="str">
        <f>IFERROR(INDEX(ScopeNames,MATCH(A258,'04. Products &amp; Services'!$N$6:$N$50,0)),"")</f>
        <v/>
      </c>
      <c r="F258" s="372" t="str">
        <f>_xlfn.XLOOKUP(E258,'04. Products &amp; Services'!$E$5:$E$50,'04. Products &amp; Services'!$B$5:$B$50,"")</f>
        <v/>
      </c>
      <c r="G258" s="76" t="s">
        <v>300</v>
      </c>
      <c r="H258" s="64"/>
      <c r="I258" s="139" t="s">
        <v>197</v>
      </c>
      <c r="J258" s="64"/>
      <c r="K258" s="64"/>
      <c r="L258" s="64"/>
      <c r="M258" s="64"/>
      <c r="N258" s="64"/>
      <c r="O258" s="64"/>
      <c r="P258" s="64"/>
      <c r="Q258" s="64"/>
      <c r="R258" s="64"/>
      <c r="S258" s="364" t="str">
        <f>IF(COUNT(J258:R264)=0,"",MAX(J258:R264))</f>
        <v/>
      </c>
      <c r="T258" s="136" t="str">
        <f t="shared" ref="T258:T264" si="36">IF($S$258="","",IF(COUNT(J258:R258)=0,"",IF(MAX(J258:R258)&gt;3,$I258,"")))</f>
        <v/>
      </c>
      <c r="U258" s="356" t="str" cm="1">
        <f t="array" ref="U258">IF($E258="","",_xlfn.LET(_xlpm.matches,_xlfn._xlws.FILTER('04. Products &amp; Services'!$J$6:$J$50,'04. Products &amp; Services'!$E$6:$E$50=$E258,""),_xlpm.n,COUNTIF($E$6:$E258,$E258),_xlpm.v,IFERROR(INDEX(_xlpm.matches,_xlpm.n),""),IF(OR(_xlpm.v="",_xlpm.v=0),"",_xlpm.v)))</f>
        <v/>
      </c>
      <c r="V258" s="357"/>
      <c r="W258" s="354" t="str">
        <f>IF($E258="","",IF(OR($U258="Yes",$V258="Yes"),"Yes",IF(AND($U258="No",$V258="No"),"No",IF(AND($U258="Under Evaluation",$V258="No"),"Under Evaluation",""))))</f>
        <v/>
      </c>
      <c r="X258" s="377" t="str">
        <f>IF($E258="","",IFERROR(_xlfn.LET(_xlpm.v,INDEX('04. Products &amp; Services'!$K$6:$K$50,MATCH($E258,ScopeNames,0)),IF(_xlpm.v="","",_xlpm.v)),""))</f>
        <v/>
      </c>
      <c r="Y258" s="376"/>
      <c r="Z258" s="376"/>
      <c r="AA258" s="354" t="str">
        <f>IF($E258="","",IF(COUNT(J258:R264)=0,"",IF(MAX(J258:J264)&gt;=4,6,IF(MAX(K258:K264)&gt;=4,18,IF(MAX(L258:L264)&gt;=4,36,IF(MAX(M258:M264)&gt;=4,72,IF(MAX(N258:N264)&gt;=4,168,IF(MAX(O258:O264)&gt;=4,336,IF(MAX(P258:P264)&gt;=4,504,IF(MAX(Q258:Q264)&gt;=4,672,IF(MAX(R258:R264)&gt;=4,"","")))))))))))</f>
        <v/>
      </c>
      <c r="AB258" s="354" t="str">
        <f>IF($F258="","",IFERROR(VLOOKUP($F258,'04. Products &amp; Services'!$B$5:$M$50,12,0),""))</f>
        <v/>
      </c>
      <c r="AC258" s="352"/>
      <c r="AD258" s="367" t="str" cm="1">
        <f t="array" ref="AD258">IF(ISBLANK(AC258),"",_xlfn.LET(
_xlpm.Num,--_xlfn.TEXTBEFORE(AC258," "),
_xlpm.Unit,LOWER(_xlfn.TEXTAFTER(AC258," ")),
_xlfn.SWITCH(_xlpm.Unit,
"hour",_xlpm.Num,
"hours",_xlpm.Num,
"day",_xlpm.Num*24,
"days",_xlpm.Num*24,
"week",_xlpm.Num*24*7,
"weeks",_xlpm.Num*24*7,
"month",_xlpm.Num*24*(365.25/12),
"months",_xlpm.Num*24*(365.25/12),
"")
))</f>
        <v/>
      </c>
      <c r="AE258" s="368"/>
      <c r="AF258" s="370"/>
      <c r="AG258" s="363" t="str">
        <f>IF($AF258="","",DATE(YEAR($AF258)+1,MONTH($AF258),DAY($AF258)))</f>
        <v/>
      </c>
      <c r="AH258" s="361" t="str" cm="1">
        <f t="array" ref="AH258">IF($B258="","",_xlfn.LET(_xlpm.ids,'15. BCM Risk Register'!$A$6:$A$65,_xlpm.links,'15. BCM Risk Register'!$I$6:$I$65,_xlpm.hit,ISNUMBER(SEARCH(","&amp;$B258&amp;",",","&amp;SUBSTITUTE(_xlpm.links," ","")&amp;",")),IFERROR(_xlfn.TEXTJOIN(", ",TRUE,_xlfn.UNIQUE(_xlfn._xlws.FILTER(_xlpm.ids,_xlpm.hit*(_xlpm.ids&lt;&gt;"")))),"Not Created")))</f>
        <v/>
      </c>
      <c r="AI258" s="361" t="str" cm="1">
        <f t="array" ref="AI258">IF($B258="","",_xlfn.LET(_xlpm.ids,'15. BCM Risk Register'!$L$6:$L$65,_xlpm.links,'15. BCM Risk Register'!$I$6:$I$65,_xlpm.hit,ISNUMBER(SEARCH(","&amp;$B258&amp;",",","&amp;SUBSTITUTE(_xlpm.links," ","")&amp;",")),IFERROR(_xlfn.TEXTJOIN(", ",TRUE,_xlfn.UNIQUE(_xlfn._xlws.FILTER(_xlpm.ids,_xlpm.hit*(_xlpm.ids&lt;&gt;"")*(_xlpm.ids&lt;&gt;"Not Created")))),"Not Created")))</f>
        <v/>
      </c>
      <c r="AJ258" s="361" t="str" cm="1">
        <f t="array" ref="AJ258">IF($B258="","",_xlfn.LET(_xlpm.ids,'15. BCM Risk Register'!$K$6:$K$65,_xlpm.links,'15. BCM Risk Register'!$I$6:$I$65,_xlpm.hit,ISNUMBER(SEARCH(","&amp;$B258&amp;",",","&amp;SUBSTITUTE(_xlpm.links," ","")&amp;",")),IFERROR(_xlfn.TEXTJOIN(", ",TRUE,_xlfn.UNIQUE(_xlfn._xlws.FILTER(_xlpm.ids,_xlpm.hit*(_xlpm.ids&lt;&gt;"")*(_xlpm.ids&lt;&gt;"Not Created")))),"Not Created")))</f>
        <v/>
      </c>
    </row>
    <row r="259" spans="1:36" ht="14.5" customHeight="1" x14ac:dyDescent="0.35">
      <c r="A259" s="355"/>
      <c r="B259" s="355"/>
      <c r="C259" s="348"/>
      <c r="D259" s="348"/>
      <c r="E259" s="355"/>
      <c r="F259" s="353"/>
      <c r="G259" s="76" t="s">
        <v>301</v>
      </c>
      <c r="H259" s="64"/>
      <c r="I259" s="139" t="s">
        <v>199</v>
      </c>
      <c r="J259" s="64"/>
      <c r="K259" s="64"/>
      <c r="L259" s="64"/>
      <c r="M259" s="64"/>
      <c r="N259" s="64"/>
      <c r="O259" s="64"/>
      <c r="P259" s="64"/>
      <c r="Q259" s="64"/>
      <c r="R259" s="64"/>
      <c r="S259" s="365"/>
      <c r="T259" s="136" t="str">
        <f t="shared" si="36"/>
        <v/>
      </c>
      <c r="U259" s="355"/>
      <c r="V259" s="358"/>
      <c r="W259" s="355"/>
      <c r="X259" s="355"/>
      <c r="Y259" s="369"/>
      <c r="Z259" s="369"/>
      <c r="AA259" s="355"/>
      <c r="AB259" s="355"/>
      <c r="AC259" s="353"/>
      <c r="AD259" s="355"/>
      <c r="AE259" s="369"/>
      <c r="AF259" s="369"/>
      <c r="AG259" s="355"/>
      <c r="AH259" s="362"/>
      <c r="AI259" s="362"/>
      <c r="AJ259" s="362"/>
    </row>
    <row r="260" spans="1:36" ht="14.5" customHeight="1" x14ac:dyDescent="0.35">
      <c r="A260" s="355"/>
      <c r="B260" s="355"/>
      <c r="C260" s="348"/>
      <c r="D260" s="348"/>
      <c r="E260" s="355"/>
      <c r="F260" s="353"/>
      <c r="G260" s="76" t="s">
        <v>302</v>
      </c>
      <c r="H260" s="64"/>
      <c r="I260" s="139" t="s">
        <v>200</v>
      </c>
      <c r="J260" s="64"/>
      <c r="K260" s="64"/>
      <c r="L260" s="64"/>
      <c r="M260" s="64"/>
      <c r="N260" s="64"/>
      <c r="O260" s="64"/>
      <c r="P260" s="64"/>
      <c r="Q260" s="64"/>
      <c r="R260" s="64"/>
      <c r="S260" s="365"/>
      <c r="T260" s="136" t="str">
        <f t="shared" si="36"/>
        <v/>
      </c>
      <c r="U260" s="355"/>
      <c r="V260" s="358"/>
      <c r="W260" s="355"/>
      <c r="X260" s="355"/>
      <c r="Y260" s="369"/>
      <c r="Z260" s="369"/>
      <c r="AA260" s="355"/>
      <c r="AB260" s="355"/>
      <c r="AC260" s="353"/>
      <c r="AD260" s="355"/>
      <c r="AE260" s="369"/>
      <c r="AF260" s="369"/>
      <c r="AG260" s="355"/>
      <c r="AH260" s="362"/>
      <c r="AI260" s="362"/>
      <c r="AJ260" s="362"/>
    </row>
    <row r="261" spans="1:36" ht="14.5" customHeight="1" x14ac:dyDescent="0.35">
      <c r="A261" s="355"/>
      <c r="B261" s="355"/>
      <c r="C261" s="348"/>
      <c r="D261" s="348"/>
      <c r="E261" s="355"/>
      <c r="F261" s="353"/>
      <c r="G261" s="76" t="s">
        <v>303</v>
      </c>
      <c r="H261" s="64"/>
      <c r="I261" s="139" t="s">
        <v>202</v>
      </c>
      <c r="J261" s="64"/>
      <c r="K261" s="64"/>
      <c r="L261" s="64"/>
      <c r="M261" s="64"/>
      <c r="N261" s="64"/>
      <c r="O261" s="64"/>
      <c r="P261" s="64"/>
      <c r="Q261" s="64"/>
      <c r="R261" s="64"/>
      <c r="S261" s="365"/>
      <c r="T261" s="136" t="str">
        <f t="shared" si="36"/>
        <v/>
      </c>
      <c r="U261" s="355"/>
      <c r="V261" s="358"/>
      <c r="W261" s="355"/>
      <c r="X261" s="355"/>
      <c r="Y261" s="369"/>
      <c r="Z261" s="369"/>
      <c r="AA261" s="355"/>
      <c r="AB261" s="355"/>
      <c r="AC261" s="353"/>
      <c r="AD261" s="355"/>
      <c r="AE261" s="369"/>
      <c r="AF261" s="369"/>
      <c r="AG261" s="355"/>
      <c r="AH261" s="362"/>
      <c r="AI261" s="362"/>
      <c r="AJ261" s="362"/>
    </row>
    <row r="262" spans="1:36" ht="14.5" customHeight="1" x14ac:dyDescent="0.35">
      <c r="A262" s="355"/>
      <c r="B262" s="355"/>
      <c r="C262" s="348"/>
      <c r="D262" s="348"/>
      <c r="E262" s="355"/>
      <c r="F262" s="353"/>
      <c r="G262" s="76" t="s">
        <v>304</v>
      </c>
      <c r="H262" s="64"/>
      <c r="I262" s="139" t="s">
        <v>203</v>
      </c>
      <c r="J262" s="64"/>
      <c r="K262" s="64"/>
      <c r="L262" s="64"/>
      <c r="M262" s="64"/>
      <c r="N262" s="64"/>
      <c r="O262" s="64"/>
      <c r="P262" s="64"/>
      <c r="Q262" s="64"/>
      <c r="R262" s="64"/>
      <c r="S262" s="365"/>
      <c r="T262" s="136" t="str">
        <f t="shared" si="36"/>
        <v/>
      </c>
      <c r="U262" s="355"/>
      <c r="V262" s="358"/>
      <c r="W262" s="355"/>
      <c r="X262" s="355"/>
      <c r="Y262" s="369"/>
      <c r="Z262" s="369"/>
      <c r="AA262" s="355"/>
      <c r="AB262" s="355"/>
      <c r="AC262" s="353"/>
      <c r="AD262" s="355"/>
      <c r="AE262" s="369"/>
      <c r="AF262" s="369"/>
      <c r="AG262" s="355"/>
      <c r="AH262" s="362"/>
      <c r="AI262" s="362"/>
      <c r="AJ262" s="362"/>
    </row>
    <row r="263" spans="1:36" ht="14.5" customHeight="1" x14ac:dyDescent="0.35">
      <c r="A263" s="355"/>
      <c r="B263" s="355"/>
      <c r="C263" s="348"/>
      <c r="D263" s="348"/>
      <c r="E263" s="355"/>
      <c r="F263" s="353"/>
      <c r="G263" s="76" t="s">
        <v>305</v>
      </c>
      <c r="H263" s="64"/>
      <c r="I263" s="139" t="s">
        <v>204</v>
      </c>
      <c r="J263" s="64"/>
      <c r="K263" s="64"/>
      <c r="L263" s="64"/>
      <c r="M263" s="64"/>
      <c r="N263" s="64"/>
      <c r="O263" s="64"/>
      <c r="P263" s="64"/>
      <c r="Q263" s="64"/>
      <c r="R263" s="64"/>
      <c r="S263" s="365"/>
      <c r="T263" s="136" t="str">
        <f t="shared" si="36"/>
        <v/>
      </c>
      <c r="U263" s="355"/>
      <c r="V263" s="358"/>
      <c r="W263" s="355"/>
      <c r="X263" s="355"/>
      <c r="Y263" s="369"/>
      <c r="Z263" s="369"/>
      <c r="AA263" s="355"/>
      <c r="AB263" s="355"/>
      <c r="AC263" s="353"/>
      <c r="AD263" s="355"/>
      <c r="AE263" s="369"/>
      <c r="AF263" s="369"/>
      <c r="AG263" s="355"/>
      <c r="AH263" s="362"/>
      <c r="AI263" s="362"/>
      <c r="AJ263" s="362"/>
    </row>
    <row r="264" spans="1:36" ht="14.5" customHeight="1" x14ac:dyDescent="0.35">
      <c r="A264" s="355"/>
      <c r="B264" s="355"/>
      <c r="C264" s="349"/>
      <c r="D264" s="349"/>
      <c r="E264" s="355"/>
      <c r="F264" s="353"/>
      <c r="G264" s="76" t="s">
        <v>306</v>
      </c>
      <c r="H264" s="64"/>
      <c r="I264" s="139" t="s">
        <v>205</v>
      </c>
      <c r="J264" s="64"/>
      <c r="K264" s="64"/>
      <c r="L264" s="64"/>
      <c r="M264" s="64"/>
      <c r="N264" s="64"/>
      <c r="O264" s="64"/>
      <c r="P264" s="64"/>
      <c r="Q264" s="64"/>
      <c r="R264" s="64"/>
      <c r="S264" s="366"/>
      <c r="T264" s="136" t="str">
        <f t="shared" si="36"/>
        <v/>
      </c>
      <c r="U264" s="355"/>
      <c r="V264" s="358"/>
      <c r="W264" s="355"/>
      <c r="X264" s="355"/>
      <c r="Y264" s="369"/>
      <c r="Z264" s="369"/>
      <c r="AA264" s="355"/>
      <c r="AB264" s="355"/>
      <c r="AC264" s="353"/>
      <c r="AD264" s="355"/>
      <c r="AE264" s="369"/>
      <c r="AF264" s="369"/>
      <c r="AG264" s="355"/>
      <c r="AH264" s="362"/>
      <c r="AI264" s="362"/>
      <c r="AJ264" s="362"/>
    </row>
    <row r="265" spans="1:36" ht="14.5" customHeight="1" x14ac:dyDescent="0.35">
      <c r="A265" s="359">
        <v>38</v>
      </c>
      <c r="B265" s="371" t="str">
        <f>IF($E265="","","BIA-"&amp;TEXT(38,"000"))</f>
        <v/>
      </c>
      <c r="C265" s="347" t="str">
        <f>IFERROR(INDEX(BusinessUnits1,MATCH(A265,'04. Products &amp; Services'!$N$6:$N$50,0)),"")</f>
        <v/>
      </c>
      <c r="D265" s="347" t="str">
        <f>IFERROR(INDEX(DivisionSites,MATCH(A265,'04. Products &amp; Services'!$N$6:$N$50,0)),"")</f>
        <v/>
      </c>
      <c r="E265" s="360" t="str">
        <f>IFERROR(INDEX(ScopeNames,MATCH(A265,'04. Products &amp; Services'!$N$6:$N$50,0)),"")</f>
        <v/>
      </c>
      <c r="F265" s="372" t="str">
        <f>_xlfn.XLOOKUP(E265,'04. Products &amp; Services'!$E$5:$E$50,'04. Products &amp; Services'!$B$5:$B$50,"")</f>
        <v/>
      </c>
      <c r="G265" s="76" t="s">
        <v>300</v>
      </c>
      <c r="H265" s="64"/>
      <c r="I265" s="139" t="s">
        <v>197</v>
      </c>
      <c r="J265" s="64"/>
      <c r="K265" s="64"/>
      <c r="L265" s="64"/>
      <c r="M265" s="64"/>
      <c r="N265" s="64"/>
      <c r="O265" s="64"/>
      <c r="P265" s="64"/>
      <c r="Q265" s="64"/>
      <c r="R265" s="64"/>
      <c r="S265" s="364" t="str">
        <f>IF(COUNT(J265:R271)=0,"",MAX(J265:R271))</f>
        <v/>
      </c>
      <c r="T265" s="136" t="str">
        <f t="shared" ref="T265:T271" si="37">IF($S$265="","",IF(COUNT(J265:R265)=0,"",IF(MAX(J265:R265)&gt;3,$I265,"")))</f>
        <v/>
      </c>
      <c r="U265" s="356" t="str" cm="1">
        <f t="array" ref="U265">IF($E265="","",_xlfn.LET(_xlpm.matches,_xlfn._xlws.FILTER('04. Products &amp; Services'!$J$6:$J$50,'04. Products &amp; Services'!$E$6:$E$50=$E265,""),_xlpm.n,COUNTIF($E$6:$E265,$E265),_xlpm.v,IFERROR(INDEX(_xlpm.matches,_xlpm.n),""),IF(OR(_xlpm.v="",_xlpm.v=0),"",_xlpm.v)))</f>
        <v/>
      </c>
      <c r="V265" s="357"/>
      <c r="W265" s="354" t="str">
        <f>IF($E265="","",IF(OR($U265="Yes",$V265="Yes"),"Yes",IF(AND($U265="No",$V265="No"),"No",IF(AND($U265="Under Evaluation",$V265="No"),"Under Evaluation",""))))</f>
        <v/>
      </c>
      <c r="X265" s="377" t="str">
        <f>IF($E265="","",IFERROR(_xlfn.LET(_xlpm.v,INDEX('04. Products &amp; Services'!$K$6:$K$50,MATCH($E265,ScopeNames,0)),IF(_xlpm.v="","",_xlpm.v)),""))</f>
        <v/>
      </c>
      <c r="Y265" s="376"/>
      <c r="Z265" s="376"/>
      <c r="AA265" s="354" t="str">
        <f>IF($E265="","",IF(COUNT(J265:R271)=0,"",IF(MAX(J265:J271)&gt;=4,6,IF(MAX(K265:K271)&gt;=4,18,IF(MAX(L265:L271)&gt;=4,36,IF(MAX(M265:M271)&gt;=4,72,IF(MAX(N265:N271)&gt;=4,168,IF(MAX(O265:O271)&gt;=4,336,IF(MAX(P265:P271)&gt;=4,504,IF(MAX(Q265:Q271)&gt;=4,672,IF(MAX(R265:R271)&gt;=4,"","")))))))))))</f>
        <v/>
      </c>
      <c r="AB265" s="354" t="str">
        <f>IF($F265="","",IFERROR(VLOOKUP($F265,'04. Products &amp; Services'!$B$5:$M$50,12,0),""))</f>
        <v/>
      </c>
      <c r="AC265" s="352"/>
      <c r="AD265" s="367" t="str" cm="1">
        <f t="array" ref="AD265">IF(ISBLANK(AC265),"",_xlfn.LET(
_xlpm.Num,--_xlfn.TEXTBEFORE(AC265," "),
_xlpm.Unit,LOWER(_xlfn.TEXTAFTER(AC265," ")),
_xlfn.SWITCH(_xlpm.Unit,
"hour",_xlpm.Num,
"hours",_xlpm.Num,
"day",_xlpm.Num*24,
"days",_xlpm.Num*24,
"week",_xlpm.Num*24*7,
"weeks",_xlpm.Num*24*7,
"month",_xlpm.Num*24*(365.25/12),
"months",_xlpm.Num*24*(365.25/12),
"")
))</f>
        <v/>
      </c>
      <c r="AE265" s="368"/>
      <c r="AF265" s="370"/>
      <c r="AG265" s="363" t="str">
        <f>IF($AF265="","",DATE(YEAR($AF265)+1,MONTH($AF265),DAY($AF265)))</f>
        <v/>
      </c>
      <c r="AH265" s="361" t="str" cm="1">
        <f t="array" ref="AH265">IF($B265="","",_xlfn.LET(_xlpm.ids,'15. BCM Risk Register'!$A$6:$A$65,_xlpm.links,'15. BCM Risk Register'!$I$6:$I$65,_xlpm.hit,ISNUMBER(SEARCH(","&amp;$B265&amp;",",","&amp;SUBSTITUTE(_xlpm.links," ","")&amp;",")),IFERROR(_xlfn.TEXTJOIN(", ",TRUE,_xlfn.UNIQUE(_xlfn._xlws.FILTER(_xlpm.ids,_xlpm.hit*(_xlpm.ids&lt;&gt;"")))),"Not Created")))</f>
        <v/>
      </c>
      <c r="AI265" s="361" t="str" cm="1">
        <f t="array" ref="AI265">IF($B265="","",_xlfn.LET(_xlpm.ids,'15. BCM Risk Register'!$L$6:$L$65,_xlpm.links,'15. BCM Risk Register'!$I$6:$I$65,_xlpm.hit,ISNUMBER(SEARCH(","&amp;$B265&amp;",",","&amp;SUBSTITUTE(_xlpm.links," ","")&amp;",")),IFERROR(_xlfn.TEXTJOIN(", ",TRUE,_xlfn.UNIQUE(_xlfn._xlws.FILTER(_xlpm.ids,_xlpm.hit*(_xlpm.ids&lt;&gt;"")*(_xlpm.ids&lt;&gt;"Not Created")))),"Not Created")))</f>
        <v/>
      </c>
      <c r="AJ265" s="361" t="str" cm="1">
        <f t="array" ref="AJ265">IF($B265="","",_xlfn.LET(_xlpm.ids,'15. BCM Risk Register'!$K$6:$K$65,_xlpm.links,'15. BCM Risk Register'!$I$6:$I$65,_xlpm.hit,ISNUMBER(SEARCH(","&amp;$B265&amp;",",","&amp;SUBSTITUTE(_xlpm.links," ","")&amp;",")),IFERROR(_xlfn.TEXTJOIN(", ",TRUE,_xlfn.UNIQUE(_xlfn._xlws.FILTER(_xlpm.ids,_xlpm.hit*(_xlpm.ids&lt;&gt;"")*(_xlpm.ids&lt;&gt;"Not Created")))),"Not Created")))</f>
        <v/>
      </c>
    </row>
    <row r="266" spans="1:36" ht="14.5" customHeight="1" x14ac:dyDescent="0.35">
      <c r="A266" s="355"/>
      <c r="B266" s="355"/>
      <c r="C266" s="348"/>
      <c r="D266" s="348"/>
      <c r="E266" s="355"/>
      <c r="F266" s="353"/>
      <c r="G266" s="76" t="s">
        <v>301</v>
      </c>
      <c r="H266" s="64"/>
      <c r="I266" s="139" t="s">
        <v>199</v>
      </c>
      <c r="J266" s="64"/>
      <c r="K266" s="64"/>
      <c r="L266" s="64"/>
      <c r="M266" s="64"/>
      <c r="N266" s="64"/>
      <c r="O266" s="64"/>
      <c r="P266" s="64"/>
      <c r="Q266" s="64"/>
      <c r="R266" s="64"/>
      <c r="S266" s="365"/>
      <c r="T266" s="136" t="str">
        <f t="shared" si="37"/>
        <v/>
      </c>
      <c r="U266" s="355"/>
      <c r="V266" s="358"/>
      <c r="W266" s="355"/>
      <c r="X266" s="355"/>
      <c r="Y266" s="369"/>
      <c r="Z266" s="369"/>
      <c r="AA266" s="355"/>
      <c r="AB266" s="355"/>
      <c r="AC266" s="353"/>
      <c r="AD266" s="355"/>
      <c r="AE266" s="369"/>
      <c r="AF266" s="369"/>
      <c r="AG266" s="355"/>
      <c r="AH266" s="362"/>
      <c r="AI266" s="362"/>
      <c r="AJ266" s="362"/>
    </row>
    <row r="267" spans="1:36" ht="14.5" customHeight="1" x14ac:dyDescent="0.35">
      <c r="A267" s="355"/>
      <c r="B267" s="355"/>
      <c r="C267" s="348"/>
      <c r="D267" s="348"/>
      <c r="E267" s="355"/>
      <c r="F267" s="353"/>
      <c r="G267" s="76" t="s">
        <v>302</v>
      </c>
      <c r="H267" s="64"/>
      <c r="I267" s="139" t="s">
        <v>200</v>
      </c>
      <c r="J267" s="64"/>
      <c r="K267" s="64"/>
      <c r="L267" s="64"/>
      <c r="M267" s="64"/>
      <c r="N267" s="64"/>
      <c r="O267" s="64"/>
      <c r="P267" s="64"/>
      <c r="Q267" s="64"/>
      <c r="R267" s="64"/>
      <c r="S267" s="365"/>
      <c r="T267" s="136" t="str">
        <f t="shared" si="37"/>
        <v/>
      </c>
      <c r="U267" s="355"/>
      <c r="V267" s="358"/>
      <c r="W267" s="355"/>
      <c r="X267" s="355"/>
      <c r="Y267" s="369"/>
      <c r="Z267" s="369"/>
      <c r="AA267" s="355"/>
      <c r="AB267" s="355"/>
      <c r="AC267" s="353"/>
      <c r="AD267" s="355"/>
      <c r="AE267" s="369"/>
      <c r="AF267" s="369"/>
      <c r="AG267" s="355"/>
      <c r="AH267" s="362"/>
      <c r="AI267" s="362"/>
      <c r="AJ267" s="362"/>
    </row>
    <row r="268" spans="1:36" ht="14.5" customHeight="1" x14ac:dyDescent="0.35">
      <c r="A268" s="355"/>
      <c r="B268" s="355"/>
      <c r="C268" s="348"/>
      <c r="D268" s="348"/>
      <c r="E268" s="355"/>
      <c r="F268" s="353"/>
      <c r="G268" s="76" t="s">
        <v>303</v>
      </c>
      <c r="H268" s="64"/>
      <c r="I268" s="139" t="s">
        <v>202</v>
      </c>
      <c r="J268" s="64"/>
      <c r="K268" s="64"/>
      <c r="L268" s="64"/>
      <c r="M268" s="64"/>
      <c r="N268" s="64"/>
      <c r="O268" s="64"/>
      <c r="P268" s="64"/>
      <c r="Q268" s="64"/>
      <c r="R268" s="64"/>
      <c r="S268" s="365"/>
      <c r="T268" s="136" t="str">
        <f t="shared" si="37"/>
        <v/>
      </c>
      <c r="U268" s="355"/>
      <c r="V268" s="358"/>
      <c r="W268" s="355"/>
      <c r="X268" s="355"/>
      <c r="Y268" s="369"/>
      <c r="Z268" s="369"/>
      <c r="AA268" s="355"/>
      <c r="AB268" s="355"/>
      <c r="AC268" s="353"/>
      <c r="AD268" s="355"/>
      <c r="AE268" s="369"/>
      <c r="AF268" s="369"/>
      <c r="AG268" s="355"/>
      <c r="AH268" s="362"/>
      <c r="AI268" s="362"/>
      <c r="AJ268" s="362"/>
    </row>
    <row r="269" spans="1:36" ht="14.5" customHeight="1" x14ac:dyDescent="0.35">
      <c r="A269" s="355"/>
      <c r="B269" s="355"/>
      <c r="C269" s="348"/>
      <c r="D269" s="348"/>
      <c r="E269" s="355"/>
      <c r="F269" s="353"/>
      <c r="G269" s="76" t="s">
        <v>304</v>
      </c>
      <c r="H269" s="64"/>
      <c r="I269" s="139" t="s">
        <v>203</v>
      </c>
      <c r="J269" s="64"/>
      <c r="K269" s="64"/>
      <c r="L269" s="64"/>
      <c r="M269" s="64"/>
      <c r="N269" s="64"/>
      <c r="O269" s="64"/>
      <c r="P269" s="64"/>
      <c r="Q269" s="64"/>
      <c r="R269" s="64"/>
      <c r="S269" s="365"/>
      <c r="T269" s="136" t="str">
        <f t="shared" si="37"/>
        <v/>
      </c>
      <c r="U269" s="355"/>
      <c r="V269" s="358"/>
      <c r="W269" s="355"/>
      <c r="X269" s="355"/>
      <c r="Y269" s="369"/>
      <c r="Z269" s="369"/>
      <c r="AA269" s="355"/>
      <c r="AB269" s="355"/>
      <c r="AC269" s="353"/>
      <c r="AD269" s="355"/>
      <c r="AE269" s="369"/>
      <c r="AF269" s="369"/>
      <c r="AG269" s="355"/>
      <c r="AH269" s="362"/>
      <c r="AI269" s="362"/>
      <c r="AJ269" s="362"/>
    </row>
    <row r="270" spans="1:36" ht="14.5" customHeight="1" x14ac:dyDescent="0.35">
      <c r="A270" s="355"/>
      <c r="B270" s="355"/>
      <c r="C270" s="348"/>
      <c r="D270" s="348"/>
      <c r="E270" s="355"/>
      <c r="F270" s="353"/>
      <c r="G270" s="76" t="s">
        <v>305</v>
      </c>
      <c r="H270" s="64"/>
      <c r="I270" s="139" t="s">
        <v>204</v>
      </c>
      <c r="J270" s="64"/>
      <c r="K270" s="64"/>
      <c r="L270" s="64"/>
      <c r="M270" s="64"/>
      <c r="N270" s="64"/>
      <c r="O270" s="64"/>
      <c r="P270" s="64"/>
      <c r="Q270" s="64"/>
      <c r="R270" s="64"/>
      <c r="S270" s="365"/>
      <c r="T270" s="136" t="str">
        <f t="shared" si="37"/>
        <v/>
      </c>
      <c r="U270" s="355"/>
      <c r="V270" s="358"/>
      <c r="W270" s="355"/>
      <c r="X270" s="355"/>
      <c r="Y270" s="369"/>
      <c r="Z270" s="369"/>
      <c r="AA270" s="355"/>
      <c r="AB270" s="355"/>
      <c r="AC270" s="353"/>
      <c r="AD270" s="355"/>
      <c r="AE270" s="369"/>
      <c r="AF270" s="369"/>
      <c r="AG270" s="355"/>
      <c r="AH270" s="362"/>
      <c r="AI270" s="362"/>
      <c r="AJ270" s="362"/>
    </row>
    <row r="271" spans="1:36" ht="14.5" customHeight="1" x14ac:dyDescent="0.35">
      <c r="A271" s="355"/>
      <c r="B271" s="355"/>
      <c r="C271" s="349"/>
      <c r="D271" s="349"/>
      <c r="E271" s="355"/>
      <c r="F271" s="353"/>
      <c r="G271" s="76" t="s">
        <v>306</v>
      </c>
      <c r="H271" s="64"/>
      <c r="I271" s="139" t="s">
        <v>205</v>
      </c>
      <c r="J271" s="64"/>
      <c r="K271" s="64"/>
      <c r="L271" s="64"/>
      <c r="M271" s="64"/>
      <c r="N271" s="64"/>
      <c r="O271" s="64"/>
      <c r="P271" s="64"/>
      <c r="Q271" s="64"/>
      <c r="R271" s="64"/>
      <c r="S271" s="366"/>
      <c r="T271" s="136" t="str">
        <f t="shared" si="37"/>
        <v/>
      </c>
      <c r="U271" s="355"/>
      <c r="V271" s="358"/>
      <c r="W271" s="355"/>
      <c r="X271" s="355"/>
      <c r="Y271" s="369"/>
      <c r="Z271" s="369"/>
      <c r="AA271" s="355"/>
      <c r="AB271" s="355"/>
      <c r="AC271" s="353"/>
      <c r="AD271" s="355"/>
      <c r="AE271" s="369"/>
      <c r="AF271" s="369"/>
      <c r="AG271" s="355"/>
      <c r="AH271" s="362"/>
      <c r="AI271" s="362"/>
      <c r="AJ271" s="362"/>
    </row>
    <row r="272" spans="1:36" ht="14.5" customHeight="1" x14ac:dyDescent="0.35">
      <c r="A272" s="359">
        <v>39</v>
      </c>
      <c r="B272" s="371" t="str">
        <f>IF($E272="","","BIA-"&amp;TEXT(39,"000"))</f>
        <v/>
      </c>
      <c r="C272" s="347" t="str">
        <f>IFERROR(INDEX(BusinessUnits1,MATCH(A272,'04. Products &amp; Services'!$N$6:$N$50,0)),"")</f>
        <v/>
      </c>
      <c r="D272" s="347" t="str">
        <f>IFERROR(INDEX(DivisionSites,MATCH(A272,'04. Products &amp; Services'!$N$6:$N$50,0)),"")</f>
        <v/>
      </c>
      <c r="E272" s="360" t="str">
        <f>IFERROR(INDEX(ScopeNames,MATCH(A272,'04. Products &amp; Services'!$N$6:$N$50,0)),"")</f>
        <v/>
      </c>
      <c r="F272" s="372" t="str">
        <f>_xlfn.XLOOKUP(E272,'04. Products &amp; Services'!$E$5:$E$50,'04. Products &amp; Services'!$B$5:$B$50,"")</f>
        <v/>
      </c>
      <c r="G272" s="76" t="s">
        <v>300</v>
      </c>
      <c r="H272" s="64"/>
      <c r="I272" s="139" t="s">
        <v>197</v>
      </c>
      <c r="J272" s="64"/>
      <c r="K272" s="64"/>
      <c r="L272" s="64"/>
      <c r="M272" s="64"/>
      <c r="N272" s="64"/>
      <c r="O272" s="64"/>
      <c r="P272" s="64"/>
      <c r="Q272" s="64"/>
      <c r="R272" s="64"/>
      <c r="S272" s="364" t="str">
        <f>IF(COUNT(J272:R278)=0,"",MAX(J272:R278))</f>
        <v/>
      </c>
      <c r="T272" s="136" t="str">
        <f t="shared" ref="T272:T278" si="38">IF($S$272="","",IF(COUNT(J272:R272)=0,"",IF(MAX(J272:R272)&gt;3,$I272,"")))</f>
        <v/>
      </c>
      <c r="U272" s="356" t="str" cm="1">
        <f t="array" ref="U272">IF($E272="","",_xlfn.LET(_xlpm.matches,_xlfn._xlws.FILTER('04. Products &amp; Services'!$J$6:$J$50,'04. Products &amp; Services'!$E$6:$E$50=$E272,""),_xlpm.n,COUNTIF($E$6:$E272,$E272),_xlpm.v,IFERROR(INDEX(_xlpm.matches,_xlpm.n),""),IF(OR(_xlpm.v="",_xlpm.v=0),"",_xlpm.v)))</f>
        <v/>
      </c>
      <c r="V272" s="357"/>
      <c r="W272" s="354" t="str">
        <f>IF($E272="","",IF(OR($U272="Yes",$V272="Yes"),"Yes",IF(AND($U272="No",$V272="No"),"No",IF(AND($U272="Under Evaluation",$V272="No"),"Under Evaluation",""))))</f>
        <v/>
      </c>
      <c r="X272" s="377" t="str">
        <f>IF($E272="","",IFERROR(_xlfn.LET(_xlpm.v,INDEX('04. Products &amp; Services'!$K$6:$K$50,MATCH($E272,ScopeNames,0)),IF(_xlpm.v="","",_xlpm.v)),""))</f>
        <v/>
      </c>
      <c r="Y272" s="376"/>
      <c r="Z272" s="376"/>
      <c r="AA272" s="354" t="str">
        <f>IF($E272="","",IF(COUNT(J272:R278)=0,"",IF(MAX(J272:J278)&gt;=4,6,IF(MAX(K272:K278)&gt;=4,18,IF(MAX(L272:L278)&gt;=4,36,IF(MAX(M272:M278)&gt;=4,72,IF(MAX(N272:N278)&gt;=4,168,IF(MAX(O272:O278)&gt;=4,336,IF(MAX(P272:P278)&gt;=4,504,IF(MAX(Q272:Q278)&gt;=4,672,IF(MAX(R272:R278)&gt;=4,"","")))))))))))</f>
        <v/>
      </c>
      <c r="AB272" s="354" t="str">
        <f>IF($F272="","",IFERROR(VLOOKUP($F272,'04. Products &amp; Services'!$B$5:$M$50,12,0),""))</f>
        <v/>
      </c>
      <c r="AC272" s="352"/>
      <c r="AD272" s="367" t="str" cm="1">
        <f t="array" ref="AD272">IF(ISBLANK(AC272),"",_xlfn.LET(
_xlpm.Num,--_xlfn.TEXTBEFORE(AC272," "),
_xlpm.Unit,LOWER(_xlfn.TEXTAFTER(AC272," ")),
_xlfn.SWITCH(_xlpm.Unit,
"hour",_xlpm.Num,
"hours",_xlpm.Num,
"day",_xlpm.Num*24,
"days",_xlpm.Num*24,
"week",_xlpm.Num*24*7,
"weeks",_xlpm.Num*24*7,
"month",_xlpm.Num*24*(365.25/12),
"months",_xlpm.Num*24*(365.25/12),
"")
))</f>
        <v/>
      </c>
      <c r="AE272" s="368"/>
      <c r="AF272" s="370"/>
      <c r="AG272" s="363" t="str">
        <f>IF($AF272="","",DATE(YEAR($AF272)+1,MONTH($AF272),DAY($AF272)))</f>
        <v/>
      </c>
      <c r="AH272" s="361" t="str" cm="1">
        <f t="array" ref="AH272">IF($B272="","",_xlfn.LET(_xlpm.ids,'15. BCM Risk Register'!$A$6:$A$65,_xlpm.links,'15. BCM Risk Register'!$I$6:$I$65,_xlpm.hit,ISNUMBER(SEARCH(","&amp;$B272&amp;",",","&amp;SUBSTITUTE(_xlpm.links," ","")&amp;",")),IFERROR(_xlfn.TEXTJOIN(", ",TRUE,_xlfn.UNIQUE(_xlfn._xlws.FILTER(_xlpm.ids,_xlpm.hit*(_xlpm.ids&lt;&gt;"")))),"Not Created")))</f>
        <v/>
      </c>
      <c r="AI272" s="361" t="str" cm="1">
        <f t="array" ref="AI272">IF($B272="","",_xlfn.LET(_xlpm.ids,'15. BCM Risk Register'!$L$6:$L$65,_xlpm.links,'15. BCM Risk Register'!$I$6:$I$65,_xlpm.hit,ISNUMBER(SEARCH(","&amp;$B272&amp;",",","&amp;SUBSTITUTE(_xlpm.links," ","")&amp;",")),IFERROR(_xlfn.TEXTJOIN(", ",TRUE,_xlfn.UNIQUE(_xlfn._xlws.FILTER(_xlpm.ids,_xlpm.hit*(_xlpm.ids&lt;&gt;"")*(_xlpm.ids&lt;&gt;"Not Created")))),"Not Created")))</f>
        <v/>
      </c>
      <c r="AJ272" s="361" t="str" cm="1">
        <f t="array" ref="AJ272">IF($B272="","",_xlfn.LET(_xlpm.ids,'15. BCM Risk Register'!$K$6:$K$65,_xlpm.links,'15. BCM Risk Register'!$I$6:$I$65,_xlpm.hit,ISNUMBER(SEARCH(","&amp;$B272&amp;",",","&amp;SUBSTITUTE(_xlpm.links," ","")&amp;",")),IFERROR(_xlfn.TEXTJOIN(", ",TRUE,_xlfn.UNIQUE(_xlfn._xlws.FILTER(_xlpm.ids,_xlpm.hit*(_xlpm.ids&lt;&gt;"")*(_xlpm.ids&lt;&gt;"Not Created")))),"Not Created")))</f>
        <v/>
      </c>
    </row>
    <row r="273" spans="1:36" ht="14.5" customHeight="1" x14ac:dyDescent="0.35">
      <c r="A273" s="355"/>
      <c r="B273" s="355"/>
      <c r="C273" s="348"/>
      <c r="D273" s="348"/>
      <c r="E273" s="355"/>
      <c r="F273" s="353"/>
      <c r="G273" s="76" t="s">
        <v>301</v>
      </c>
      <c r="H273" s="64"/>
      <c r="I273" s="139" t="s">
        <v>199</v>
      </c>
      <c r="J273" s="64"/>
      <c r="K273" s="64"/>
      <c r="L273" s="64"/>
      <c r="M273" s="64"/>
      <c r="N273" s="64"/>
      <c r="O273" s="64"/>
      <c r="P273" s="64"/>
      <c r="Q273" s="64"/>
      <c r="R273" s="64"/>
      <c r="S273" s="365"/>
      <c r="T273" s="136" t="str">
        <f t="shared" si="38"/>
        <v/>
      </c>
      <c r="U273" s="355"/>
      <c r="V273" s="358"/>
      <c r="W273" s="355"/>
      <c r="X273" s="355"/>
      <c r="Y273" s="369"/>
      <c r="Z273" s="369"/>
      <c r="AA273" s="355"/>
      <c r="AB273" s="355"/>
      <c r="AC273" s="353"/>
      <c r="AD273" s="355"/>
      <c r="AE273" s="369"/>
      <c r="AF273" s="369"/>
      <c r="AG273" s="355"/>
      <c r="AH273" s="362"/>
      <c r="AI273" s="362"/>
      <c r="AJ273" s="362"/>
    </row>
    <row r="274" spans="1:36" ht="14.5" customHeight="1" x14ac:dyDescent="0.35">
      <c r="A274" s="355"/>
      <c r="B274" s="355"/>
      <c r="C274" s="348"/>
      <c r="D274" s="348"/>
      <c r="E274" s="355"/>
      <c r="F274" s="353"/>
      <c r="G274" s="76" t="s">
        <v>302</v>
      </c>
      <c r="H274" s="64"/>
      <c r="I274" s="139" t="s">
        <v>200</v>
      </c>
      <c r="J274" s="64"/>
      <c r="K274" s="64"/>
      <c r="L274" s="64"/>
      <c r="M274" s="64"/>
      <c r="N274" s="64"/>
      <c r="O274" s="64"/>
      <c r="P274" s="64"/>
      <c r="Q274" s="64"/>
      <c r="R274" s="64"/>
      <c r="S274" s="365"/>
      <c r="T274" s="136" t="str">
        <f t="shared" si="38"/>
        <v/>
      </c>
      <c r="U274" s="355"/>
      <c r="V274" s="358"/>
      <c r="W274" s="355"/>
      <c r="X274" s="355"/>
      <c r="Y274" s="369"/>
      <c r="Z274" s="369"/>
      <c r="AA274" s="355"/>
      <c r="AB274" s="355"/>
      <c r="AC274" s="353"/>
      <c r="AD274" s="355"/>
      <c r="AE274" s="369"/>
      <c r="AF274" s="369"/>
      <c r="AG274" s="355"/>
      <c r="AH274" s="362"/>
      <c r="AI274" s="362"/>
      <c r="AJ274" s="362"/>
    </row>
    <row r="275" spans="1:36" ht="14.5" customHeight="1" x14ac:dyDescent="0.35">
      <c r="A275" s="355"/>
      <c r="B275" s="355"/>
      <c r="C275" s="348"/>
      <c r="D275" s="348"/>
      <c r="E275" s="355"/>
      <c r="F275" s="353"/>
      <c r="G275" s="76" t="s">
        <v>303</v>
      </c>
      <c r="H275" s="64"/>
      <c r="I275" s="139" t="s">
        <v>202</v>
      </c>
      <c r="J275" s="64"/>
      <c r="K275" s="64"/>
      <c r="L275" s="64"/>
      <c r="M275" s="64"/>
      <c r="N275" s="64"/>
      <c r="O275" s="64"/>
      <c r="P275" s="64"/>
      <c r="Q275" s="64"/>
      <c r="R275" s="64"/>
      <c r="S275" s="365"/>
      <c r="T275" s="136" t="str">
        <f t="shared" si="38"/>
        <v/>
      </c>
      <c r="U275" s="355"/>
      <c r="V275" s="358"/>
      <c r="W275" s="355"/>
      <c r="X275" s="355"/>
      <c r="Y275" s="369"/>
      <c r="Z275" s="369"/>
      <c r="AA275" s="355"/>
      <c r="AB275" s="355"/>
      <c r="AC275" s="353"/>
      <c r="AD275" s="355"/>
      <c r="AE275" s="369"/>
      <c r="AF275" s="369"/>
      <c r="AG275" s="355"/>
      <c r="AH275" s="362"/>
      <c r="AI275" s="362"/>
      <c r="AJ275" s="362"/>
    </row>
    <row r="276" spans="1:36" ht="14.5" customHeight="1" x14ac:dyDescent="0.35">
      <c r="A276" s="355"/>
      <c r="B276" s="355"/>
      <c r="C276" s="348"/>
      <c r="D276" s="348"/>
      <c r="E276" s="355"/>
      <c r="F276" s="353"/>
      <c r="G276" s="76" t="s">
        <v>304</v>
      </c>
      <c r="H276" s="64"/>
      <c r="I276" s="139" t="s">
        <v>203</v>
      </c>
      <c r="J276" s="64"/>
      <c r="K276" s="64"/>
      <c r="L276" s="64"/>
      <c r="M276" s="64"/>
      <c r="N276" s="64"/>
      <c r="O276" s="64"/>
      <c r="P276" s="64"/>
      <c r="Q276" s="64"/>
      <c r="R276" s="64"/>
      <c r="S276" s="365"/>
      <c r="T276" s="136" t="str">
        <f t="shared" si="38"/>
        <v/>
      </c>
      <c r="U276" s="355"/>
      <c r="V276" s="358"/>
      <c r="W276" s="355"/>
      <c r="X276" s="355"/>
      <c r="Y276" s="369"/>
      <c r="Z276" s="369"/>
      <c r="AA276" s="355"/>
      <c r="AB276" s="355"/>
      <c r="AC276" s="353"/>
      <c r="AD276" s="355"/>
      <c r="AE276" s="369"/>
      <c r="AF276" s="369"/>
      <c r="AG276" s="355"/>
      <c r="AH276" s="362"/>
      <c r="AI276" s="362"/>
      <c r="AJ276" s="362"/>
    </row>
    <row r="277" spans="1:36" ht="14.5" customHeight="1" x14ac:dyDescent="0.35">
      <c r="A277" s="355"/>
      <c r="B277" s="355"/>
      <c r="C277" s="348"/>
      <c r="D277" s="348"/>
      <c r="E277" s="355"/>
      <c r="F277" s="353"/>
      <c r="G277" s="76" t="s">
        <v>305</v>
      </c>
      <c r="H277" s="64"/>
      <c r="I277" s="139" t="s">
        <v>204</v>
      </c>
      <c r="J277" s="64"/>
      <c r="K277" s="64"/>
      <c r="L277" s="64"/>
      <c r="M277" s="64"/>
      <c r="N277" s="64"/>
      <c r="O277" s="64"/>
      <c r="P277" s="64"/>
      <c r="Q277" s="64"/>
      <c r="R277" s="64"/>
      <c r="S277" s="365"/>
      <c r="T277" s="136" t="str">
        <f t="shared" si="38"/>
        <v/>
      </c>
      <c r="U277" s="355"/>
      <c r="V277" s="358"/>
      <c r="W277" s="355"/>
      <c r="X277" s="355"/>
      <c r="Y277" s="369"/>
      <c r="Z277" s="369"/>
      <c r="AA277" s="355"/>
      <c r="AB277" s="355"/>
      <c r="AC277" s="353"/>
      <c r="AD277" s="355"/>
      <c r="AE277" s="369"/>
      <c r="AF277" s="369"/>
      <c r="AG277" s="355"/>
      <c r="AH277" s="362"/>
      <c r="AI277" s="362"/>
      <c r="AJ277" s="362"/>
    </row>
    <row r="278" spans="1:36" ht="14.5" customHeight="1" x14ac:dyDescent="0.35">
      <c r="A278" s="355"/>
      <c r="B278" s="355"/>
      <c r="C278" s="349"/>
      <c r="D278" s="349"/>
      <c r="E278" s="355"/>
      <c r="F278" s="353"/>
      <c r="G278" s="76" t="s">
        <v>306</v>
      </c>
      <c r="H278" s="64"/>
      <c r="I278" s="139" t="s">
        <v>205</v>
      </c>
      <c r="J278" s="64"/>
      <c r="K278" s="64"/>
      <c r="L278" s="64"/>
      <c r="M278" s="64"/>
      <c r="N278" s="64"/>
      <c r="O278" s="64"/>
      <c r="P278" s="64"/>
      <c r="Q278" s="64"/>
      <c r="R278" s="64"/>
      <c r="S278" s="366"/>
      <c r="T278" s="136" t="str">
        <f t="shared" si="38"/>
        <v/>
      </c>
      <c r="U278" s="355"/>
      <c r="V278" s="358"/>
      <c r="W278" s="355"/>
      <c r="X278" s="355"/>
      <c r="Y278" s="369"/>
      <c r="Z278" s="369"/>
      <c r="AA278" s="355"/>
      <c r="AB278" s="355"/>
      <c r="AC278" s="353"/>
      <c r="AD278" s="355"/>
      <c r="AE278" s="369"/>
      <c r="AF278" s="369"/>
      <c r="AG278" s="355"/>
      <c r="AH278" s="362"/>
      <c r="AI278" s="362"/>
      <c r="AJ278" s="362"/>
    </row>
    <row r="279" spans="1:36" ht="14.5" customHeight="1" x14ac:dyDescent="0.35">
      <c r="A279" s="359">
        <v>40</v>
      </c>
      <c r="B279" s="371" t="str">
        <f>IF($E279="","","BIA-"&amp;TEXT(40,"000"))</f>
        <v/>
      </c>
      <c r="C279" s="347" t="str">
        <f>IFERROR(INDEX(BusinessUnits1,MATCH(A279,'04. Products &amp; Services'!$N$6:$N$50,0)),"")</f>
        <v/>
      </c>
      <c r="D279" s="347" t="str">
        <f>IFERROR(INDEX(DivisionSites,MATCH(A279,'04. Products &amp; Services'!$N$6:$N$50,0)),"")</f>
        <v/>
      </c>
      <c r="E279" s="360" t="str">
        <f>IFERROR(INDEX(ScopeNames,MATCH(A279,'04. Products &amp; Services'!$N$6:$N$50,0)),"")</f>
        <v/>
      </c>
      <c r="F279" s="372" t="str">
        <f>_xlfn.XLOOKUP(E279,'04. Products &amp; Services'!$E$5:$E$50,'04. Products &amp; Services'!$B$5:$B$50,"")</f>
        <v/>
      </c>
      <c r="G279" s="76" t="s">
        <v>300</v>
      </c>
      <c r="H279" s="64"/>
      <c r="I279" s="139" t="s">
        <v>197</v>
      </c>
      <c r="J279" s="64"/>
      <c r="K279" s="64"/>
      <c r="L279" s="64"/>
      <c r="M279" s="64"/>
      <c r="N279" s="64"/>
      <c r="O279" s="64"/>
      <c r="P279" s="64"/>
      <c r="Q279" s="64"/>
      <c r="R279" s="64"/>
      <c r="S279" s="364" t="str">
        <f>IF(COUNT(J279:R285)=0,"",MAX(J279:R285))</f>
        <v/>
      </c>
      <c r="T279" s="136" t="str">
        <f t="shared" ref="T279:T285" si="39">IF($S$279="","",IF(COUNT(J279:R279)=0,"",IF(MAX(J279:R279)&gt;3,$I279,"")))</f>
        <v/>
      </c>
      <c r="U279" s="356" t="str" cm="1">
        <f t="array" ref="U279">IF($E279="","",_xlfn.LET(_xlpm.matches,_xlfn._xlws.FILTER('04. Products &amp; Services'!$J$6:$J$50,'04. Products &amp; Services'!$E$6:$E$50=$E279,""),_xlpm.n,COUNTIF($E$6:$E279,$E279),_xlpm.v,IFERROR(INDEX(_xlpm.matches,_xlpm.n),""),IF(OR(_xlpm.v="",_xlpm.v=0),"",_xlpm.v)))</f>
        <v/>
      </c>
      <c r="V279" s="357"/>
      <c r="W279" s="354" t="str">
        <f>IF($E279="","",IF(OR($U279="Yes",$V279="Yes"),"Yes",IF(AND($U279="No",$V279="No"),"No",IF(AND($U279="Under Evaluation",$V279="No"),"Under Evaluation",""))))</f>
        <v/>
      </c>
      <c r="X279" s="377" t="str">
        <f>IF($E279="","",IFERROR(_xlfn.LET(_xlpm.v,INDEX('04. Products &amp; Services'!$K$6:$K$50,MATCH($E279,ScopeNames,0)),IF(_xlpm.v="","",_xlpm.v)),""))</f>
        <v/>
      </c>
      <c r="Y279" s="376"/>
      <c r="Z279" s="376"/>
      <c r="AA279" s="354" t="str">
        <f>IF($E279="","",IF(COUNT(J279:R285)=0,"",IF(MAX(J279:J285)&gt;=4,6,IF(MAX(K279:K285)&gt;=4,18,IF(MAX(L279:L285)&gt;=4,36,IF(MAX(M279:M285)&gt;=4,72,IF(MAX(N279:N285)&gt;=4,168,IF(MAX(O279:O285)&gt;=4,336,IF(MAX(P279:P285)&gt;=4,504,IF(MAX(Q279:Q285)&gt;=4,672,IF(MAX(R279:R285)&gt;=4,"","")))))))))))</f>
        <v/>
      </c>
      <c r="AB279" s="354" t="str">
        <f>IF($F279="","",IFERROR(VLOOKUP($F279,'04. Products &amp; Services'!$B$5:$M$50,12,0),""))</f>
        <v/>
      </c>
      <c r="AC279" s="352"/>
      <c r="AD279" s="367" t="str" cm="1">
        <f t="array" ref="AD279">IF(ISBLANK(AC279),"",_xlfn.LET(
_xlpm.Num,--_xlfn.TEXTBEFORE(AC279," "),
_xlpm.Unit,LOWER(_xlfn.TEXTAFTER(AC279," ")),
_xlfn.SWITCH(_xlpm.Unit,
"hour",_xlpm.Num,
"hours",_xlpm.Num,
"day",_xlpm.Num*24,
"days",_xlpm.Num*24,
"week",_xlpm.Num*24*7,
"weeks",_xlpm.Num*24*7,
"month",_xlpm.Num*24*(365.25/12),
"months",_xlpm.Num*24*(365.25/12),
"")
))</f>
        <v/>
      </c>
      <c r="AE279" s="368"/>
      <c r="AF279" s="370"/>
      <c r="AG279" s="363" t="str">
        <f>IF($AF279="","",DATE(YEAR($AF279)+1,MONTH($AF279),DAY($AF279)))</f>
        <v/>
      </c>
      <c r="AH279" s="361" t="str" cm="1">
        <f t="array" ref="AH279">IF($B279="","",_xlfn.LET(_xlpm.ids,'15. BCM Risk Register'!$A$6:$A$65,_xlpm.links,'15. BCM Risk Register'!$I$6:$I$65,_xlpm.hit,ISNUMBER(SEARCH(","&amp;$B279&amp;",",","&amp;SUBSTITUTE(_xlpm.links," ","")&amp;",")),IFERROR(_xlfn.TEXTJOIN(", ",TRUE,_xlfn.UNIQUE(_xlfn._xlws.FILTER(_xlpm.ids,_xlpm.hit*(_xlpm.ids&lt;&gt;"")))),"Not Created")))</f>
        <v/>
      </c>
      <c r="AI279" s="361" t="str" cm="1">
        <f t="array" ref="AI279">IF($B279="","",_xlfn.LET(_xlpm.ids,'15. BCM Risk Register'!$L$6:$L$65,_xlpm.links,'15. BCM Risk Register'!$I$6:$I$65,_xlpm.hit,ISNUMBER(SEARCH(","&amp;$B279&amp;",",","&amp;SUBSTITUTE(_xlpm.links," ","")&amp;",")),IFERROR(_xlfn.TEXTJOIN(", ",TRUE,_xlfn.UNIQUE(_xlfn._xlws.FILTER(_xlpm.ids,_xlpm.hit*(_xlpm.ids&lt;&gt;"")*(_xlpm.ids&lt;&gt;"Not Created")))),"Not Created")))</f>
        <v/>
      </c>
      <c r="AJ279" s="361" t="str" cm="1">
        <f t="array" ref="AJ279">IF($B279="","",_xlfn.LET(_xlpm.ids,'15. BCM Risk Register'!$K$6:$K$65,_xlpm.links,'15. BCM Risk Register'!$I$6:$I$65,_xlpm.hit,ISNUMBER(SEARCH(","&amp;$B279&amp;",",","&amp;SUBSTITUTE(_xlpm.links," ","")&amp;",")),IFERROR(_xlfn.TEXTJOIN(", ",TRUE,_xlfn.UNIQUE(_xlfn._xlws.FILTER(_xlpm.ids,_xlpm.hit*(_xlpm.ids&lt;&gt;"")*(_xlpm.ids&lt;&gt;"Not Created")))),"Not Created")))</f>
        <v/>
      </c>
    </row>
    <row r="280" spans="1:36" ht="14.5" customHeight="1" x14ac:dyDescent="0.35">
      <c r="A280" s="355"/>
      <c r="B280" s="355"/>
      <c r="C280" s="348"/>
      <c r="D280" s="348"/>
      <c r="E280" s="355"/>
      <c r="F280" s="353"/>
      <c r="G280" s="76" t="s">
        <v>301</v>
      </c>
      <c r="H280" s="64"/>
      <c r="I280" s="139" t="s">
        <v>199</v>
      </c>
      <c r="J280" s="64"/>
      <c r="K280" s="64"/>
      <c r="L280" s="64"/>
      <c r="M280" s="64"/>
      <c r="N280" s="64"/>
      <c r="O280" s="64"/>
      <c r="P280" s="64"/>
      <c r="Q280" s="64"/>
      <c r="R280" s="64"/>
      <c r="S280" s="365"/>
      <c r="T280" s="136" t="str">
        <f t="shared" si="39"/>
        <v/>
      </c>
      <c r="U280" s="355"/>
      <c r="V280" s="358"/>
      <c r="W280" s="355"/>
      <c r="X280" s="355"/>
      <c r="Y280" s="369"/>
      <c r="Z280" s="369"/>
      <c r="AA280" s="355"/>
      <c r="AB280" s="355"/>
      <c r="AC280" s="353"/>
      <c r="AD280" s="355"/>
      <c r="AE280" s="369"/>
      <c r="AF280" s="369"/>
      <c r="AG280" s="355"/>
      <c r="AH280" s="362"/>
      <c r="AI280" s="362"/>
      <c r="AJ280" s="362"/>
    </row>
    <row r="281" spans="1:36" ht="14.5" customHeight="1" x14ac:dyDescent="0.35">
      <c r="A281" s="355"/>
      <c r="B281" s="355"/>
      <c r="C281" s="348"/>
      <c r="D281" s="348"/>
      <c r="E281" s="355"/>
      <c r="F281" s="353"/>
      <c r="G281" s="76" t="s">
        <v>302</v>
      </c>
      <c r="H281" s="64"/>
      <c r="I281" s="139" t="s">
        <v>200</v>
      </c>
      <c r="J281" s="64"/>
      <c r="K281" s="64"/>
      <c r="L281" s="64"/>
      <c r="M281" s="64"/>
      <c r="N281" s="64"/>
      <c r="O281" s="64"/>
      <c r="P281" s="64"/>
      <c r="Q281" s="64"/>
      <c r="R281" s="64"/>
      <c r="S281" s="365"/>
      <c r="T281" s="136" t="str">
        <f t="shared" si="39"/>
        <v/>
      </c>
      <c r="U281" s="355"/>
      <c r="V281" s="358"/>
      <c r="W281" s="355"/>
      <c r="X281" s="355"/>
      <c r="Y281" s="369"/>
      <c r="Z281" s="369"/>
      <c r="AA281" s="355"/>
      <c r="AB281" s="355"/>
      <c r="AC281" s="353"/>
      <c r="AD281" s="355"/>
      <c r="AE281" s="369"/>
      <c r="AF281" s="369"/>
      <c r="AG281" s="355"/>
      <c r="AH281" s="362"/>
      <c r="AI281" s="362"/>
      <c r="AJ281" s="362"/>
    </row>
    <row r="282" spans="1:36" ht="14.5" customHeight="1" x14ac:dyDescent="0.35">
      <c r="A282" s="355"/>
      <c r="B282" s="355"/>
      <c r="C282" s="348"/>
      <c r="D282" s="348"/>
      <c r="E282" s="355"/>
      <c r="F282" s="353"/>
      <c r="G282" s="76" t="s">
        <v>303</v>
      </c>
      <c r="H282" s="64"/>
      <c r="I282" s="139" t="s">
        <v>202</v>
      </c>
      <c r="J282" s="64"/>
      <c r="K282" s="64"/>
      <c r="L282" s="64"/>
      <c r="M282" s="64"/>
      <c r="N282" s="64"/>
      <c r="O282" s="64"/>
      <c r="P282" s="64"/>
      <c r="Q282" s="64"/>
      <c r="R282" s="64"/>
      <c r="S282" s="365"/>
      <c r="T282" s="136" t="str">
        <f t="shared" si="39"/>
        <v/>
      </c>
      <c r="U282" s="355"/>
      <c r="V282" s="358"/>
      <c r="W282" s="355"/>
      <c r="X282" s="355"/>
      <c r="Y282" s="369"/>
      <c r="Z282" s="369"/>
      <c r="AA282" s="355"/>
      <c r="AB282" s="355"/>
      <c r="AC282" s="353"/>
      <c r="AD282" s="355"/>
      <c r="AE282" s="369"/>
      <c r="AF282" s="369"/>
      <c r="AG282" s="355"/>
      <c r="AH282" s="362"/>
      <c r="AI282" s="362"/>
      <c r="AJ282" s="362"/>
    </row>
    <row r="283" spans="1:36" ht="14.5" customHeight="1" x14ac:dyDescent="0.35">
      <c r="A283" s="355"/>
      <c r="B283" s="355"/>
      <c r="C283" s="348"/>
      <c r="D283" s="348"/>
      <c r="E283" s="355"/>
      <c r="F283" s="353"/>
      <c r="G283" s="76" t="s">
        <v>304</v>
      </c>
      <c r="H283" s="64"/>
      <c r="I283" s="139" t="s">
        <v>203</v>
      </c>
      <c r="J283" s="64"/>
      <c r="K283" s="64"/>
      <c r="L283" s="64"/>
      <c r="M283" s="64"/>
      <c r="N283" s="64"/>
      <c r="O283" s="64"/>
      <c r="P283" s="64"/>
      <c r="Q283" s="64"/>
      <c r="R283" s="64"/>
      <c r="S283" s="365"/>
      <c r="T283" s="136" t="str">
        <f t="shared" si="39"/>
        <v/>
      </c>
      <c r="U283" s="355"/>
      <c r="V283" s="358"/>
      <c r="W283" s="355"/>
      <c r="X283" s="355"/>
      <c r="Y283" s="369"/>
      <c r="Z283" s="369"/>
      <c r="AA283" s="355"/>
      <c r="AB283" s="355"/>
      <c r="AC283" s="353"/>
      <c r="AD283" s="355"/>
      <c r="AE283" s="369"/>
      <c r="AF283" s="369"/>
      <c r="AG283" s="355"/>
      <c r="AH283" s="362"/>
      <c r="AI283" s="362"/>
      <c r="AJ283" s="362"/>
    </row>
    <row r="284" spans="1:36" ht="14.5" customHeight="1" x14ac:dyDescent="0.35">
      <c r="A284" s="355"/>
      <c r="B284" s="355"/>
      <c r="C284" s="348"/>
      <c r="D284" s="348"/>
      <c r="E284" s="355"/>
      <c r="F284" s="353"/>
      <c r="G284" s="76" t="s">
        <v>305</v>
      </c>
      <c r="H284" s="64"/>
      <c r="I284" s="139" t="s">
        <v>204</v>
      </c>
      <c r="J284" s="64"/>
      <c r="K284" s="64"/>
      <c r="L284" s="64"/>
      <c r="M284" s="64"/>
      <c r="N284" s="64"/>
      <c r="O284" s="64"/>
      <c r="P284" s="64"/>
      <c r="Q284" s="64"/>
      <c r="R284" s="64"/>
      <c r="S284" s="365"/>
      <c r="T284" s="136" t="str">
        <f t="shared" si="39"/>
        <v/>
      </c>
      <c r="U284" s="355"/>
      <c r="V284" s="358"/>
      <c r="W284" s="355"/>
      <c r="X284" s="355"/>
      <c r="Y284" s="369"/>
      <c r="Z284" s="369"/>
      <c r="AA284" s="355"/>
      <c r="AB284" s="355"/>
      <c r="AC284" s="353"/>
      <c r="AD284" s="355"/>
      <c r="AE284" s="369"/>
      <c r="AF284" s="369"/>
      <c r="AG284" s="355"/>
      <c r="AH284" s="362"/>
      <c r="AI284" s="362"/>
      <c r="AJ284" s="362"/>
    </row>
    <row r="285" spans="1:36" ht="14.5" customHeight="1" x14ac:dyDescent="0.35">
      <c r="A285" s="355"/>
      <c r="B285" s="355"/>
      <c r="C285" s="349"/>
      <c r="D285" s="349"/>
      <c r="E285" s="355"/>
      <c r="F285" s="353"/>
      <c r="G285" s="76" t="s">
        <v>306</v>
      </c>
      <c r="H285" s="64"/>
      <c r="I285" s="139" t="s">
        <v>205</v>
      </c>
      <c r="J285" s="64"/>
      <c r="K285" s="64"/>
      <c r="L285" s="64"/>
      <c r="M285" s="64"/>
      <c r="N285" s="64"/>
      <c r="O285" s="64"/>
      <c r="P285" s="64"/>
      <c r="Q285" s="64"/>
      <c r="R285" s="64"/>
      <c r="S285" s="365"/>
      <c r="T285" s="136" t="str">
        <f t="shared" si="39"/>
        <v/>
      </c>
      <c r="U285" s="355"/>
      <c r="V285" s="358"/>
      <c r="W285" s="355"/>
      <c r="X285" s="355"/>
      <c r="Y285" s="369"/>
      <c r="Z285" s="369"/>
      <c r="AA285" s="355"/>
      <c r="AB285" s="355"/>
      <c r="AC285" s="353"/>
      <c r="AD285" s="355"/>
      <c r="AE285" s="369"/>
      <c r="AF285" s="369"/>
      <c r="AG285" s="355"/>
      <c r="AH285" s="362"/>
      <c r="AI285" s="362"/>
      <c r="AJ285" s="362"/>
    </row>
  </sheetData>
  <mergeCells count="934">
    <mergeCell ref="AJ27:AJ33"/>
    <mergeCell ref="AA146:AA152"/>
    <mergeCell ref="B118:B124"/>
    <mergeCell ref="W153:W159"/>
    <mergeCell ref="Y153:Y159"/>
    <mergeCell ref="Y202:Y208"/>
    <mergeCell ref="AH83:AH89"/>
    <mergeCell ref="F34:F40"/>
    <mergeCell ref="A209:A215"/>
    <mergeCell ref="A111:A117"/>
    <mergeCell ref="A167:A173"/>
    <mergeCell ref="A132:A138"/>
    <mergeCell ref="A48:A54"/>
    <mergeCell ref="AI27:AI33"/>
    <mergeCell ref="AJ181:AJ187"/>
    <mergeCell ref="AG139:AG145"/>
    <mergeCell ref="E160:E166"/>
    <mergeCell ref="F188:F194"/>
    <mergeCell ref="E167:E173"/>
    <mergeCell ref="U132:U138"/>
    <mergeCell ref="E195:E201"/>
    <mergeCell ref="A27:A33"/>
    <mergeCell ref="E27:E33"/>
    <mergeCell ref="AB146:AB152"/>
    <mergeCell ref="AJ258:AJ264"/>
    <mergeCell ref="AH188:AH194"/>
    <mergeCell ref="AJ237:AJ243"/>
    <mergeCell ref="A90:A96"/>
    <mergeCell ref="U97:U103"/>
    <mergeCell ref="E90:E96"/>
    <mergeCell ref="E139:E145"/>
    <mergeCell ref="W97:W103"/>
    <mergeCell ref="AE216:AE222"/>
    <mergeCell ref="AD244:AD250"/>
    <mergeCell ref="Y146:Y152"/>
    <mergeCell ref="A244:A250"/>
    <mergeCell ref="AI216:AI222"/>
    <mergeCell ref="AH90:AH96"/>
    <mergeCell ref="AF132:AF138"/>
    <mergeCell ref="AH132:AH138"/>
    <mergeCell ref="AG90:AG96"/>
    <mergeCell ref="X209:X215"/>
    <mergeCell ref="AI90:AI96"/>
    <mergeCell ref="AI139:AI145"/>
    <mergeCell ref="AA202:AA208"/>
    <mergeCell ref="A104:A110"/>
    <mergeCell ref="W111:W117"/>
    <mergeCell ref="E202:E208"/>
    <mergeCell ref="S13:S19"/>
    <mergeCell ref="U13:U19"/>
    <mergeCell ref="U62:U68"/>
    <mergeCell ref="W62:W68"/>
    <mergeCell ref="X90:X96"/>
    <mergeCell ref="S69:S75"/>
    <mergeCell ref="AD55:AD61"/>
    <mergeCell ref="V27:V33"/>
    <mergeCell ref="Z41:Z47"/>
    <mergeCell ref="S27:S33"/>
    <mergeCell ref="U27:U33"/>
    <mergeCell ref="AD13:AD19"/>
    <mergeCell ref="U83:U89"/>
    <mergeCell ref="W83:W89"/>
    <mergeCell ref="W20:W26"/>
    <mergeCell ref="X41:X47"/>
    <mergeCell ref="AC69:AC75"/>
    <mergeCell ref="AC76:AC82"/>
    <mergeCell ref="AC83:AC89"/>
    <mergeCell ref="AC90:AC96"/>
    <mergeCell ref="AJ6:AJ12"/>
    <mergeCell ref="AG195:AG201"/>
    <mergeCell ref="Y160:Y166"/>
    <mergeCell ref="AI195:AI201"/>
    <mergeCell ref="AH62:AH68"/>
    <mergeCell ref="AJ167:AJ173"/>
    <mergeCell ref="X6:X12"/>
    <mergeCell ref="Z6:Z12"/>
    <mergeCell ref="AH104:AH110"/>
    <mergeCell ref="AJ104:AJ110"/>
    <mergeCell ref="AJ160:AJ166"/>
    <mergeCell ref="AJ34:AJ40"/>
    <mergeCell ref="AJ83:AJ89"/>
    <mergeCell ref="Y104:Y110"/>
    <mergeCell ref="AA104:AA110"/>
    <mergeCell ref="AJ139:AJ145"/>
    <mergeCell ref="Z55:Z61"/>
    <mergeCell ref="Y111:Y117"/>
    <mergeCell ref="Z97:Z103"/>
    <mergeCell ref="AG13:AG19"/>
    <mergeCell ref="AE20:AE26"/>
    <mergeCell ref="AJ188:AJ194"/>
    <mergeCell ref="Z34:Z40"/>
    <mergeCell ref="AE34:AE40"/>
    <mergeCell ref="AI272:AI278"/>
    <mergeCell ref="W118:W124"/>
    <mergeCell ref="X146:X152"/>
    <mergeCell ref="Z272:Z278"/>
    <mergeCell ref="Y118:Y124"/>
    <mergeCell ref="Z146:Z152"/>
    <mergeCell ref="U258:U264"/>
    <mergeCell ref="V230:V236"/>
    <mergeCell ref="W258:W264"/>
    <mergeCell ref="Y258:Y264"/>
    <mergeCell ref="AG132:AG138"/>
    <mergeCell ref="AI132:AI138"/>
    <mergeCell ref="AF244:AF250"/>
    <mergeCell ref="AI251:AI257"/>
    <mergeCell ref="Z209:Z215"/>
    <mergeCell ref="AI202:AI208"/>
    <mergeCell ref="AH258:AH264"/>
    <mergeCell ref="AG209:AG215"/>
    <mergeCell ref="AH181:AH187"/>
    <mergeCell ref="AA160:AA166"/>
    <mergeCell ref="AD195:AD201"/>
    <mergeCell ref="U230:U236"/>
    <mergeCell ref="Y209:Y215"/>
    <mergeCell ref="X244:X250"/>
    <mergeCell ref="B272:B278"/>
    <mergeCell ref="A118:A124"/>
    <mergeCell ref="AG272:AG278"/>
    <mergeCell ref="U69:U75"/>
    <mergeCell ref="X272:X278"/>
    <mergeCell ref="AF76:AF82"/>
    <mergeCell ref="B251:B257"/>
    <mergeCell ref="F251:F257"/>
    <mergeCell ref="S223:S229"/>
    <mergeCell ref="B258:B264"/>
    <mergeCell ref="B153:B159"/>
    <mergeCell ref="F104:F110"/>
    <mergeCell ref="B111:B117"/>
    <mergeCell ref="F160:F166"/>
    <mergeCell ref="A272:A278"/>
    <mergeCell ref="A97:A103"/>
    <mergeCell ref="A146:A152"/>
    <mergeCell ref="S174:S180"/>
    <mergeCell ref="E272:E278"/>
    <mergeCell ref="E146:E152"/>
    <mergeCell ref="U174:U180"/>
    <mergeCell ref="AD76:AD82"/>
    <mergeCell ref="A153:A159"/>
    <mergeCell ref="AA195:AA201"/>
    <mergeCell ref="S279:S285"/>
    <mergeCell ref="AD160:AD166"/>
    <mergeCell ref="AE188:AE194"/>
    <mergeCell ref="U279:U285"/>
    <mergeCell ref="AJ146:AJ152"/>
    <mergeCell ref="Y167:Y173"/>
    <mergeCell ref="Y41:Y47"/>
    <mergeCell ref="S20:S26"/>
    <mergeCell ref="AA167:AA173"/>
    <mergeCell ref="AA41:AA47"/>
    <mergeCell ref="AA216:AA222"/>
    <mergeCell ref="V97:V103"/>
    <mergeCell ref="AD216:AD222"/>
    <mergeCell ref="AE244:AE250"/>
    <mergeCell ref="X97:X103"/>
    <mergeCell ref="S76:S82"/>
    <mergeCell ref="U125:U131"/>
    <mergeCell ref="V153:V159"/>
    <mergeCell ref="W125:W131"/>
    <mergeCell ref="X153:X159"/>
    <mergeCell ref="AI83:AI89"/>
    <mergeCell ref="Z202:Z208"/>
    <mergeCell ref="X104:X110"/>
    <mergeCell ref="AF62:AF68"/>
    <mergeCell ref="Y216:Y222"/>
    <mergeCell ref="V272:V278"/>
    <mergeCell ref="F272:F278"/>
    <mergeCell ref="U265:U271"/>
    <mergeCell ref="AD265:AD271"/>
    <mergeCell ref="Z160:Z166"/>
    <mergeCell ref="AF118:AF124"/>
    <mergeCell ref="B132:B138"/>
    <mergeCell ref="AE174:AE180"/>
    <mergeCell ref="B167:B173"/>
    <mergeCell ref="F167:F173"/>
    <mergeCell ref="AE153:AE159"/>
    <mergeCell ref="AA223:AA229"/>
    <mergeCell ref="Z195:Z201"/>
    <mergeCell ref="AF258:AF264"/>
    <mergeCell ref="AF265:AF271"/>
    <mergeCell ref="AF230:AF236"/>
    <mergeCell ref="Z244:Z250"/>
    <mergeCell ref="AE139:AE145"/>
    <mergeCell ref="S265:S271"/>
    <mergeCell ref="F216:F222"/>
    <mergeCell ref="S237:S243"/>
    <mergeCell ref="E209:E215"/>
    <mergeCell ref="U237:U243"/>
    <mergeCell ref="E13:E19"/>
    <mergeCell ref="AA55:AA61"/>
    <mergeCell ref="V111:V117"/>
    <mergeCell ref="X111:X117"/>
    <mergeCell ref="B209:B215"/>
    <mergeCell ref="AE97:AE103"/>
    <mergeCell ref="Z223:Z229"/>
    <mergeCell ref="B139:B145"/>
    <mergeCell ref="W209:W215"/>
    <mergeCell ref="E132:E138"/>
    <mergeCell ref="Y181:Y187"/>
    <mergeCell ref="AA181:AA187"/>
    <mergeCell ref="E223:E229"/>
    <mergeCell ref="Y139:Y145"/>
    <mergeCell ref="B20:B26"/>
    <mergeCell ref="B76:B82"/>
    <mergeCell ref="B216:B222"/>
    <mergeCell ref="V69:V75"/>
    <mergeCell ref="V118:V124"/>
    <mergeCell ref="E104:E110"/>
    <mergeCell ref="X83:X89"/>
    <mergeCell ref="F223:F229"/>
    <mergeCell ref="V125:V131"/>
    <mergeCell ref="S181:S187"/>
    <mergeCell ref="F4:F5"/>
    <mergeCell ref="AF69:AF75"/>
    <mergeCell ref="AG97:AG103"/>
    <mergeCell ref="AG146:AG152"/>
    <mergeCell ref="AH118:AH124"/>
    <mergeCell ref="AI146:AI152"/>
    <mergeCell ref="X167:X173"/>
    <mergeCell ref="Z167:Z173"/>
    <mergeCell ref="F174:F180"/>
    <mergeCell ref="AG104:AG110"/>
    <mergeCell ref="AI104:AI110"/>
    <mergeCell ref="X125:X131"/>
    <mergeCell ref="Z13:Z19"/>
    <mergeCell ref="AE62:AE68"/>
    <mergeCell ref="AF90:AF96"/>
    <mergeCell ref="AG62:AG68"/>
    <mergeCell ref="AH146:AH152"/>
    <mergeCell ref="AG118:AG124"/>
    <mergeCell ref="AD174:AD180"/>
    <mergeCell ref="AA174:AA180"/>
    <mergeCell ref="AI118:AI124"/>
    <mergeCell ref="S90:S96"/>
    <mergeCell ref="U90:U96"/>
    <mergeCell ref="W139:W145"/>
    <mergeCell ref="E279:E285"/>
    <mergeCell ref="AH41:AH47"/>
    <mergeCell ref="AJ41:AJ47"/>
    <mergeCell ref="S48:S54"/>
    <mergeCell ref="E20:E26"/>
    <mergeCell ref="V251:V257"/>
    <mergeCell ref="AG153:AG159"/>
    <mergeCell ref="E118:E124"/>
    <mergeCell ref="Z279:Z285"/>
    <mergeCell ref="AJ202:AJ208"/>
    <mergeCell ref="AJ55:AJ61"/>
    <mergeCell ref="F279:F285"/>
    <mergeCell ref="AE272:AE278"/>
    <mergeCell ref="U118:U124"/>
    <mergeCell ref="V146:V152"/>
    <mergeCell ref="F20:F26"/>
    <mergeCell ref="AI223:AI229"/>
    <mergeCell ref="AA258:AA264"/>
    <mergeCell ref="S258:S264"/>
    <mergeCell ref="F76:F82"/>
    <mergeCell ref="AI279:AI285"/>
    <mergeCell ref="E237:E243"/>
    <mergeCell ref="AJ216:AJ222"/>
    <mergeCell ref="AA279:AA285"/>
    <mergeCell ref="B6:B12"/>
    <mergeCell ref="F181:F187"/>
    <mergeCell ref="F55:F61"/>
    <mergeCell ref="V83:V89"/>
    <mergeCell ref="AI209:AI215"/>
    <mergeCell ref="B223:B229"/>
    <mergeCell ref="AE111:AE117"/>
    <mergeCell ref="AG111:AG117"/>
    <mergeCell ref="AI111:AI117"/>
    <mergeCell ref="AI160:AI166"/>
    <mergeCell ref="V139:V145"/>
    <mergeCell ref="V6:V12"/>
    <mergeCell ref="S195:S201"/>
    <mergeCell ref="U195:U201"/>
    <mergeCell ref="F13:F19"/>
    <mergeCell ref="X20:X26"/>
    <mergeCell ref="AG167:AG173"/>
    <mergeCell ref="Z20:Z26"/>
    <mergeCell ref="AI41:AI47"/>
    <mergeCell ref="AD97:AD103"/>
    <mergeCell ref="X139:X145"/>
    <mergeCell ref="S118:S124"/>
    <mergeCell ref="AI167:AI173"/>
    <mergeCell ref="AE27:AE33"/>
    <mergeCell ref="E4:E5"/>
    <mergeCell ref="AE69:AE75"/>
    <mergeCell ref="AF97:AF103"/>
    <mergeCell ref="S251:S257"/>
    <mergeCell ref="U251:U257"/>
    <mergeCell ref="AH272:AH278"/>
    <mergeCell ref="W251:W257"/>
    <mergeCell ref="Z76:Z82"/>
    <mergeCell ref="W167:W173"/>
    <mergeCell ref="AE125:AE131"/>
    <mergeCell ref="AF153:AF159"/>
    <mergeCell ref="Y6:Y12"/>
    <mergeCell ref="AG125:AG131"/>
    <mergeCell ref="AH153:AH159"/>
    <mergeCell ref="E181:E187"/>
    <mergeCell ref="Y223:Y229"/>
    <mergeCell ref="V34:V40"/>
    <mergeCell ref="AE230:AE236"/>
    <mergeCell ref="AF6:AF12"/>
    <mergeCell ref="AH6:AH12"/>
    <mergeCell ref="W34:W40"/>
    <mergeCell ref="Z237:Z243"/>
    <mergeCell ref="S62:S68"/>
    <mergeCell ref="V90:V96"/>
    <mergeCell ref="A2:AJ2"/>
    <mergeCell ref="X34:X40"/>
    <mergeCell ref="AA237:AA243"/>
    <mergeCell ref="A83:A89"/>
    <mergeCell ref="AD237:AD243"/>
    <mergeCell ref="AE265:AE271"/>
    <mergeCell ref="AA13:AA19"/>
    <mergeCell ref="S132:S138"/>
    <mergeCell ref="AJ174:AJ180"/>
    <mergeCell ref="A139:A145"/>
    <mergeCell ref="AD27:AD33"/>
    <mergeCell ref="U146:U152"/>
    <mergeCell ref="W146:W152"/>
    <mergeCell ref="AF27:AF33"/>
    <mergeCell ref="AA69:AA75"/>
    <mergeCell ref="A41:A47"/>
    <mergeCell ref="AD69:AD75"/>
    <mergeCell ref="E41:E47"/>
    <mergeCell ref="AF83:AF89"/>
    <mergeCell ref="W202:W208"/>
    <mergeCell ref="U104:U110"/>
    <mergeCell ref="W104:W110"/>
    <mergeCell ref="Z181:Z187"/>
    <mergeCell ref="AH139:AH145"/>
    <mergeCell ref="A6:A12"/>
    <mergeCell ref="AJ195:AJ201"/>
    <mergeCell ref="AE132:AE138"/>
    <mergeCell ref="AF209:AF215"/>
    <mergeCell ref="AH209:AH215"/>
    <mergeCell ref="AI55:AI61"/>
    <mergeCell ref="AJ209:AJ215"/>
    <mergeCell ref="A188:A194"/>
    <mergeCell ref="AF111:AF117"/>
    <mergeCell ref="B160:B166"/>
    <mergeCell ref="AH111:AH117"/>
    <mergeCell ref="E188:E194"/>
    <mergeCell ref="Y20:Y26"/>
    <mergeCell ref="AH167:AH173"/>
    <mergeCell ref="AA20:AA26"/>
    <mergeCell ref="AJ13:AJ19"/>
    <mergeCell ref="AE83:AE89"/>
    <mergeCell ref="V202:V208"/>
    <mergeCell ref="AG83:AG89"/>
    <mergeCell ref="X202:X208"/>
    <mergeCell ref="Y48:Y54"/>
    <mergeCell ref="V104:V110"/>
    <mergeCell ref="AD62:AD68"/>
    <mergeCell ref="AE90:AE96"/>
    <mergeCell ref="B4:B5"/>
    <mergeCell ref="X48:X54"/>
    <mergeCell ref="Y76:Y82"/>
    <mergeCell ref="Z48:Z54"/>
    <mergeCell ref="AA76:AA82"/>
    <mergeCell ref="AD125:AD131"/>
    <mergeCell ref="AI34:AI40"/>
    <mergeCell ref="AF125:AF131"/>
    <mergeCell ref="A202:A208"/>
    <mergeCell ref="AA132:AA138"/>
    <mergeCell ref="B181:B187"/>
    <mergeCell ref="AD132:AD138"/>
    <mergeCell ref="W160:W166"/>
    <mergeCell ref="X188:X194"/>
    <mergeCell ref="Z188:Z194"/>
    <mergeCell ref="F195:F201"/>
    <mergeCell ref="Y34:Y40"/>
    <mergeCell ref="E6:E12"/>
    <mergeCell ref="E55:E61"/>
    <mergeCell ref="U41:U47"/>
    <mergeCell ref="W41:W47"/>
    <mergeCell ref="B41:B47"/>
    <mergeCell ref="S125:S131"/>
    <mergeCell ref="F41:F47"/>
    <mergeCell ref="AD251:AD257"/>
    <mergeCell ref="AF251:AF257"/>
    <mergeCell ref="AA272:AA278"/>
    <mergeCell ref="S97:S103"/>
    <mergeCell ref="S272:S278"/>
    <mergeCell ref="E244:E250"/>
    <mergeCell ref="U272:U278"/>
    <mergeCell ref="Y244:Y250"/>
    <mergeCell ref="AA244:AA250"/>
    <mergeCell ref="AD258:AD264"/>
    <mergeCell ref="E258:E264"/>
    <mergeCell ref="AE160:AE166"/>
    <mergeCell ref="AF188:AF194"/>
    <mergeCell ref="E265:E271"/>
    <mergeCell ref="W195:W201"/>
    <mergeCell ref="AE195:AE201"/>
    <mergeCell ref="V265:V271"/>
    <mergeCell ref="S244:S250"/>
    <mergeCell ref="AD230:AD236"/>
    <mergeCell ref="F237:F243"/>
    <mergeCell ref="W272:W278"/>
    <mergeCell ref="Y272:Y278"/>
    <mergeCell ref="W230:W236"/>
    <mergeCell ref="AF167:AF173"/>
    <mergeCell ref="A20:A26"/>
    <mergeCell ref="A1:AJ1"/>
    <mergeCell ref="AH223:AH229"/>
    <mergeCell ref="AD83:AD89"/>
    <mergeCell ref="U202:U208"/>
    <mergeCell ref="AJ223:AJ229"/>
    <mergeCell ref="S230:S236"/>
    <mergeCell ref="E76:E82"/>
    <mergeCell ref="X55:X61"/>
    <mergeCell ref="AI6:AI12"/>
    <mergeCell ref="AI13:AI19"/>
    <mergeCell ref="X216:X222"/>
    <mergeCell ref="B48:B54"/>
    <mergeCell ref="AE202:AE208"/>
    <mergeCell ref="F48:F54"/>
    <mergeCell ref="AG202:AG208"/>
    <mergeCell ref="AE104:AE110"/>
    <mergeCell ref="V223:V229"/>
    <mergeCell ref="F230:F236"/>
    <mergeCell ref="S153:S159"/>
    <mergeCell ref="S6:S12"/>
    <mergeCell ref="U6:U12"/>
    <mergeCell ref="B55:B61"/>
    <mergeCell ref="U111:U117"/>
    <mergeCell ref="AJ279:AJ285"/>
    <mergeCell ref="A125:A131"/>
    <mergeCell ref="AH20:AH26"/>
    <mergeCell ref="AF174:AF180"/>
    <mergeCell ref="AJ20:AJ26"/>
    <mergeCell ref="B188:B194"/>
    <mergeCell ref="AI48:AI54"/>
    <mergeCell ref="A216:A222"/>
    <mergeCell ref="B244:B250"/>
    <mergeCell ref="F244:F250"/>
    <mergeCell ref="AI181:AI187"/>
    <mergeCell ref="AG188:AG194"/>
    <mergeCell ref="AF34:AF40"/>
    <mergeCell ref="AI188:AI194"/>
    <mergeCell ref="AH34:AH40"/>
    <mergeCell ref="V209:V215"/>
    <mergeCell ref="W55:W61"/>
    <mergeCell ref="F90:F96"/>
    <mergeCell ref="E62:E68"/>
    <mergeCell ref="Y188:Y194"/>
    <mergeCell ref="AE146:AE152"/>
    <mergeCell ref="V167:V173"/>
    <mergeCell ref="V41:V47"/>
    <mergeCell ref="B174:B180"/>
    <mergeCell ref="AJ265:AJ271"/>
    <mergeCell ref="U153:U159"/>
    <mergeCell ref="A160:A166"/>
    <mergeCell ref="V13:V19"/>
    <mergeCell ref="X13:X19"/>
    <mergeCell ref="Z62:Z68"/>
    <mergeCell ref="AA90:AA96"/>
    <mergeCell ref="S209:S215"/>
    <mergeCell ref="AD90:AD96"/>
    <mergeCell ref="U209:U215"/>
    <mergeCell ref="AF139:AF145"/>
    <mergeCell ref="E216:E222"/>
    <mergeCell ref="S111:S117"/>
    <mergeCell ref="S83:S89"/>
    <mergeCell ref="AD41:AD47"/>
    <mergeCell ref="A34:A40"/>
    <mergeCell ref="AF41:AF47"/>
    <mergeCell ref="E34:E40"/>
    <mergeCell ref="B97:B103"/>
    <mergeCell ref="AG20:AG26"/>
    <mergeCell ref="F97:F103"/>
    <mergeCell ref="AI20:AI26"/>
    <mergeCell ref="AI76:AI82"/>
    <mergeCell ref="X223:X229"/>
    <mergeCell ref="AJ272:AJ278"/>
    <mergeCell ref="U160:U166"/>
    <mergeCell ref="AD146:AD152"/>
    <mergeCell ref="W174:W180"/>
    <mergeCell ref="AE118:AE124"/>
    <mergeCell ref="Y174:Y180"/>
    <mergeCell ref="AA48:AA54"/>
    <mergeCell ref="AE251:AE257"/>
    <mergeCell ref="W216:W222"/>
    <mergeCell ref="AJ76:AJ82"/>
    <mergeCell ref="AI258:AI264"/>
    <mergeCell ref="Y230:Y236"/>
    <mergeCell ref="Y55:Y61"/>
    <mergeCell ref="Z258:Z264"/>
    <mergeCell ref="AA230:AA236"/>
    <mergeCell ref="AJ132:AJ138"/>
    <mergeCell ref="U139:U145"/>
    <mergeCell ref="Y62:Y68"/>
    <mergeCell ref="Z216:Z222"/>
    <mergeCell ref="AI244:AI250"/>
    <mergeCell ref="X265:X271"/>
    <mergeCell ref="X174:X180"/>
    <mergeCell ref="Z174:Z180"/>
    <mergeCell ref="AH48:AH54"/>
    <mergeCell ref="B13:B19"/>
    <mergeCell ref="B62:B68"/>
    <mergeCell ref="F62:F68"/>
    <mergeCell ref="AE41:AE47"/>
    <mergeCell ref="X69:X75"/>
    <mergeCell ref="Y97:Y103"/>
    <mergeCell ref="Z69:Z75"/>
    <mergeCell ref="AA97:AA103"/>
    <mergeCell ref="F258:F264"/>
    <mergeCell ref="F153:F159"/>
    <mergeCell ref="V181:V187"/>
    <mergeCell ref="S34:S40"/>
    <mergeCell ref="E48:E54"/>
    <mergeCell ref="F209:F215"/>
    <mergeCell ref="V237:V243"/>
    <mergeCell ref="F111:F117"/>
    <mergeCell ref="AE167:AE173"/>
    <mergeCell ref="Z27:Z33"/>
    <mergeCell ref="B34:B40"/>
    <mergeCell ref="U20:U26"/>
    <mergeCell ref="F132:F138"/>
    <mergeCell ref="V160:V166"/>
    <mergeCell ref="W188:W194"/>
    <mergeCell ref="X160:X166"/>
    <mergeCell ref="A4:A5"/>
    <mergeCell ref="AH244:AH250"/>
    <mergeCell ref="Y251:Y257"/>
    <mergeCell ref="AD272:AD278"/>
    <mergeCell ref="AF146:AF152"/>
    <mergeCell ref="S167:S173"/>
    <mergeCell ref="F118:F124"/>
    <mergeCell ref="U167:U173"/>
    <mergeCell ref="AH4:AJ4"/>
    <mergeCell ref="Z125:Z131"/>
    <mergeCell ref="AA153:AA159"/>
    <mergeCell ref="A174:A180"/>
    <mergeCell ref="AD153:AD159"/>
    <mergeCell ref="E174:E180"/>
    <mergeCell ref="AD202:AD208"/>
    <mergeCell ref="AF202:AF208"/>
    <mergeCell ref="AH202:AH208"/>
    <mergeCell ref="AD104:AD110"/>
    <mergeCell ref="U223:U229"/>
    <mergeCell ref="AF104:AF110"/>
    <mergeCell ref="A55:A61"/>
    <mergeCell ref="W223:W229"/>
    <mergeCell ref="A230:A236"/>
    <mergeCell ref="E230:E236"/>
    <mergeCell ref="X4:AG4"/>
    <mergeCell ref="W13:W19"/>
    <mergeCell ref="AF160:AF166"/>
    <mergeCell ref="Y13:Y19"/>
    <mergeCell ref="AA62:AA68"/>
    <mergeCell ref="AJ48:AJ54"/>
    <mergeCell ref="AA209:AA215"/>
    <mergeCell ref="W69:W75"/>
    <mergeCell ref="Y69:Y75"/>
    <mergeCell ref="AA118:AA124"/>
    <mergeCell ref="AD118:AD124"/>
    <mergeCell ref="AE181:AE187"/>
    <mergeCell ref="X181:X187"/>
    <mergeCell ref="AD6:AD12"/>
    <mergeCell ref="AF55:AF61"/>
    <mergeCell ref="AH55:AH61"/>
    <mergeCell ref="AG27:AG33"/>
    <mergeCell ref="X27:X33"/>
    <mergeCell ref="AG6:AG12"/>
    <mergeCell ref="AG160:AG166"/>
    <mergeCell ref="AG34:AG40"/>
    <mergeCell ref="W6:W12"/>
    <mergeCell ref="AE48:AE54"/>
    <mergeCell ref="AD20:AD26"/>
    <mergeCell ref="AI230:AI236"/>
    <mergeCell ref="AI62:AI68"/>
    <mergeCell ref="AJ230:AJ236"/>
    <mergeCell ref="AJ153:AJ159"/>
    <mergeCell ref="AG41:AG47"/>
    <mergeCell ref="AJ244:AJ250"/>
    <mergeCell ref="W265:W271"/>
    <mergeCell ref="B69:B75"/>
    <mergeCell ref="E97:E103"/>
    <mergeCell ref="F69:F75"/>
    <mergeCell ref="AG223:AG229"/>
    <mergeCell ref="B125:B131"/>
    <mergeCell ref="AG48:AG54"/>
    <mergeCell ref="E153:E159"/>
    <mergeCell ref="F125:F131"/>
    <mergeCell ref="AF195:AF201"/>
    <mergeCell ref="B265:B271"/>
    <mergeCell ref="F265:F271"/>
    <mergeCell ref="AG265:AG271"/>
    <mergeCell ref="AI265:AI271"/>
    <mergeCell ref="Z265:Z271"/>
    <mergeCell ref="X230:X236"/>
    <mergeCell ref="Z230:Z236"/>
    <mergeCell ref="AE237:AE243"/>
    <mergeCell ref="AF216:AF222"/>
    <mergeCell ref="AH216:AH222"/>
    <mergeCell ref="AG244:AG250"/>
    <mergeCell ref="A69:A75"/>
    <mergeCell ref="U76:U82"/>
    <mergeCell ref="V48:V54"/>
    <mergeCell ref="W76:W82"/>
    <mergeCell ref="E83:E89"/>
    <mergeCell ref="Y125:Y131"/>
    <mergeCell ref="Z153:Z159"/>
    <mergeCell ref="AA125:AA131"/>
    <mergeCell ref="AH160:AH166"/>
    <mergeCell ref="A76:A82"/>
    <mergeCell ref="B237:B243"/>
    <mergeCell ref="S188:S194"/>
    <mergeCell ref="F139:F145"/>
    <mergeCell ref="A181:A187"/>
    <mergeCell ref="AH195:AH201"/>
    <mergeCell ref="AD209:AD215"/>
    <mergeCell ref="X132:X138"/>
    <mergeCell ref="X118:X124"/>
    <mergeCell ref="Z118:Z124"/>
    <mergeCell ref="B195:B201"/>
    <mergeCell ref="U216:U222"/>
    <mergeCell ref="S4:W4"/>
    <mergeCell ref="B279:B285"/>
    <mergeCell ref="AF13:AF19"/>
    <mergeCell ref="W132:W138"/>
    <mergeCell ref="AH13:AH19"/>
    <mergeCell ref="AJ62:AJ68"/>
    <mergeCell ref="V188:V194"/>
    <mergeCell ref="B230:B236"/>
    <mergeCell ref="U34:U40"/>
    <mergeCell ref="AE209:AE215"/>
    <mergeCell ref="X237:X243"/>
    <mergeCell ref="Y265:Y271"/>
    <mergeCell ref="AA265:AA271"/>
    <mergeCell ref="S41:S47"/>
    <mergeCell ref="AJ118:AJ124"/>
    <mergeCell ref="V244:V250"/>
    <mergeCell ref="AG174:AG180"/>
    <mergeCell ref="AI174:AI180"/>
    <mergeCell ref="V195:V201"/>
    <mergeCell ref="V20:V26"/>
    <mergeCell ref="B27:B33"/>
    <mergeCell ref="F27:F33"/>
    <mergeCell ref="AG230:AG236"/>
    <mergeCell ref="Z83:Z89"/>
    <mergeCell ref="Y279:Y285"/>
    <mergeCell ref="U181:U187"/>
    <mergeCell ref="Z139:Z145"/>
    <mergeCell ref="W181:W187"/>
    <mergeCell ref="Y195:Y201"/>
    <mergeCell ref="AG55:AG61"/>
    <mergeCell ref="W237:W243"/>
    <mergeCell ref="Y237:Y243"/>
    <mergeCell ref="AH251:AH257"/>
    <mergeCell ref="AF279:AF285"/>
    <mergeCell ref="AH279:AH285"/>
    <mergeCell ref="Z132:Z138"/>
    <mergeCell ref="U188:U194"/>
    <mergeCell ref="AF272:AF278"/>
    <mergeCell ref="AE55:AE61"/>
    <mergeCell ref="AA111:AA117"/>
    <mergeCell ref="AD111:AD117"/>
    <mergeCell ref="AD167:AD173"/>
    <mergeCell ref="V279:V285"/>
    <mergeCell ref="X279:X285"/>
    <mergeCell ref="V55:V61"/>
    <mergeCell ref="W279:W285"/>
    <mergeCell ref="AG216:AG222"/>
    <mergeCell ref="AD279:AD285"/>
    <mergeCell ref="G4:H4"/>
    <mergeCell ref="E111:E117"/>
    <mergeCell ref="AJ251:AJ257"/>
    <mergeCell ref="AA251:AA257"/>
    <mergeCell ref="AH265:AH271"/>
    <mergeCell ref="W27:W33"/>
    <mergeCell ref="Y27:Y33"/>
    <mergeCell ref="AA27:AA33"/>
    <mergeCell ref="S146:S152"/>
    <mergeCell ref="AD223:AD229"/>
    <mergeCell ref="Y83:Y89"/>
    <mergeCell ref="AF223:AF229"/>
    <mergeCell ref="AA83:AA89"/>
    <mergeCell ref="S202:S208"/>
    <mergeCell ref="AJ111:AJ117"/>
    <mergeCell ref="E125:E131"/>
    <mergeCell ref="Y132:Y138"/>
    <mergeCell ref="X195:X201"/>
    <mergeCell ref="Z111:Z117"/>
    <mergeCell ref="AF20:AF26"/>
    <mergeCell ref="AH69:AH75"/>
    <mergeCell ref="AI97:AI103"/>
    <mergeCell ref="AA6:AA12"/>
    <mergeCell ref="F146:F152"/>
    <mergeCell ref="A265:A271"/>
    <mergeCell ref="AH125:AH131"/>
    <mergeCell ref="AI153:AI159"/>
    <mergeCell ref="AJ125:AJ131"/>
    <mergeCell ref="AE6:AE12"/>
    <mergeCell ref="AG181:AG187"/>
    <mergeCell ref="U48:U54"/>
    <mergeCell ref="V76:V82"/>
    <mergeCell ref="AE223:AE229"/>
    <mergeCell ref="AA34:AA40"/>
    <mergeCell ref="X76:X82"/>
    <mergeCell ref="B83:B89"/>
    <mergeCell ref="F83:F89"/>
    <mergeCell ref="AD34:AD40"/>
    <mergeCell ref="AG237:AG243"/>
    <mergeCell ref="Z90:Z96"/>
    <mergeCell ref="AI237:AI243"/>
    <mergeCell ref="S55:S61"/>
    <mergeCell ref="V258:V264"/>
    <mergeCell ref="AE13:AE19"/>
    <mergeCell ref="V132:V138"/>
    <mergeCell ref="A62:A68"/>
    <mergeCell ref="A13:A19"/>
    <mergeCell ref="AH27:AH33"/>
    <mergeCell ref="A279:A285"/>
    <mergeCell ref="X251:X257"/>
    <mergeCell ref="W48:W54"/>
    <mergeCell ref="Z251:Z257"/>
    <mergeCell ref="S216:S222"/>
    <mergeCell ref="AE258:AE264"/>
    <mergeCell ref="E69:E75"/>
    <mergeCell ref="AH76:AH82"/>
    <mergeCell ref="U55:U61"/>
    <mergeCell ref="AG258:AG264"/>
    <mergeCell ref="X258:X264"/>
    <mergeCell ref="AE279:AE285"/>
    <mergeCell ref="B90:B96"/>
    <mergeCell ref="AG279:AG285"/>
    <mergeCell ref="B146:B152"/>
    <mergeCell ref="AH97:AH103"/>
    <mergeCell ref="A195:A201"/>
    <mergeCell ref="AG69:AG75"/>
    <mergeCell ref="A258:A264"/>
    <mergeCell ref="B104:B110"/>
    <mergeCell ref="AA188:AA194"/>
    <mergeCell ref="AD188:AD194"/>
    <mergeCell ref="AF237:AF243"/>
    <mergeCell ref="AH237:AH243"/>
    <mergeCell ref="I4:I5"/>
    <mergeCell ref="AI69:AI75"/>
    <mergeCell ref="V174:V180"/>
    <mergeCell ref="S104:S110"/>
    <mergeCell ref="AD48:AD54"/>
    <mergeCell ref="AE76:AE82"/>
    <mergeCell ref="AF48:AF54"/>
    <mergeCell ref="AG76:AG82"/>
    <mergeCell ref="B202:B208"/>
    <mergeCell ref="F202:F208"/>
    <mergeCell ref="AI125:AI131"/>
    <mergeCell ref="J4:R4"/>
    <mergeCell ref="S160:S166"/>
    <mergeCell ref="F6:F12"/>
    <mergeCell ref="AH174:AH180"/>
    <mergeCell ref="Z104:Z110"/>
    <mergeCell ref="AD181:AD187"/>
    <mergeCell ref="AF181:AF187"/>
    <mergeCell ref="V62:V68"/>
    <mergeCell ref="W90:W96"/>
    <mergeCell ref="X62:X68"/>
    <mergeCell ref="Y90:Y96"/>
    <mergeCell ref="AA139:AA145"/>
    <mergeCell ref="AD139:AD145"/>
    <mergeCell ref="U244:U250"/>
    <mergeCell ref="V216:V222"/>
    <mergeCell ref="W244:W250"/>
    <mergeCell ref="A251:A257"/>
    <mergeCell ref="E251:E257"/>
    <mergeCell ref="AH230:AH236"/>
    <mergeCell ref="A223:A229"/>
    <mergeCell ref="AG251:AG257"/>
    <mergeCell ref="AJ69:AJ75"/>
    <mergeCell ref="AJ90:AJ96"/>
    <mergeCell ref="AJ97:AJ103"/>
    <mergeCell ref="A237:A243"/>
    <mergeCell ref="S139:S145"/>
    <mergeCell ref="AB69:AB75"/>
    <mergeCell ref="AB76:AB82"/>
    <mergeCell ref="AB83:AB89"/>
    <mergeCell ref="AB90:AB96"/>
    <mergeCell ref="AB97:AB103"/>
    <mergeCell ref="AB104:AB110"/>
    <mergeCell ref="AB111:AB117"/>
    <mergeCell ref="AB118:AB124"/>
    <mergeCell ref="AB125:AB131"/>
    <mergeCell ref="AB132:AB138"/>
    <mergeCell ref="AB139:AB145"/>
    <mergeCell ref="AB6:AB12"/>
    <mergeCell ref="AB13:AB19"/>
    <mergeCell ref="AB20:AB26"/>
    <mergeCell ref="AB27:AB33"/>
    <mergeCell ref="AB34:AB40"/>
    <mergeCell ref="AB41:AB47"/>
    <mergeCell ref="AB48:AB54"/>
    <mergeCell ref="AB55:AB61"/>
    <mergeCell ref="AB62:AB68"/>
    <mergeCell ref="AB153:AB159"/>
    <mergeCell ref="AB160:AB166"/>
    <mergeCell ref="AB167:AB173"/>
    <mergeCell ref="AB174:AB180"/>
    <mergeCell ref="AB181:AB187"/>
    <mergeCell ref="AB188:AB194"/>
    <mergeCell ref="AB195:AB201"/>
    <mergeCell ref="AB202:AB208"/>
    <mergeCell ref="AB209:AB215"/>
    <mergeCell ref="AB279:AB285"/>
    <mergeCell ref="AB216:AB222"/>
    <mergeCell ref="AB223:AB229"/>
    <mergeCell ref="AB230:AB236"/>
    <mergeCell ref="AB237:AB243"/>
    <mergeCell ref="AB244:AB250"/>
    <mergeCell ref="AB251:AB257"/>
    <mergeCell ref="AB258:AB264"/>
    <mergeCell ref="AB265:AB271"/>
    <mergeCell ref="AB272:AB278"/>
    <mergeCell ref="AC6:AC12"/>
    <mergeCell ref="AC13:AC19"/>
    <mergeCell ref="AC20:AC26"/>
    <mergeCell ref="AC27:AC33"/>
    <mergeCell ref="AC34:AC40"/>
    <mergeCell ref="AC41:AC47"/>
    <mergeCell ref="AC48:AC54"/>
    <mergeCell ref="AC55:AC61"/>
    <mergeCell ref="AC62:AC68"/>
    <mergeCell ref="AC97:AC103"/>
    <mergeCell ref="AC104:AC110"/>
    <mergeCell ref="AC111:AC117"/>
    <mergeCell ref="AC118:AC124"/>
    <mergeCell ref="AC125:AC131"/>
    <mergeCell ref="AC132:AC138"/>
    <mergeCell ref="AC139:AC145"/>
    <mergeCell ref="AC146:AC152"/>
    <mergeCell ref="AC153:AC159"/>
    <mergeCell ref="AC160:AC166"/>
    <mergeCell ref="AC167:AC173"/>
    <mergeCell ref="AC174:AC180"/>
    <mergeCell ref="AC181:AC187"/>
    <mergeCell ref="AC188:AC194"/>
    <mergeCell ref="AC195:AC201"/>
    <mergeCell ref="AC202:AC208"/>
    <mergeCell ref="AC209:AC215"/>
    <mergeCell ref="AC216:AC222"/>
    <mergeCell ref="AC223:AC229"/>
    <mergeCell ref="AC230:AC236"/>
    <mergeCell ref="AC237:AC243"/>
    <mergeCell ref="AC244:AC250"/>
    <mergeCell ref="AC251:AC257"/>
    <mergeCell ref="AC258:AC264"/>
    <mergeCell ref="AC265:AC271"/>
    <mergeCell ref="AC272:AC278"/>
    <mergeCell ref="AC279:AC285"/>
    <mergeCell ref="C6:C12"/>
    <mergeCell ref="C13:C19"/>
    <mergeCell ref="C20:C26"/>
    <mergeCell ref="C27:C33"/>
    <mergeCell ref="C34:C40"/>
    <mergeCell ref="C41:C47"/>
    <mergeCell ref="C48:C54"/>
    <mergeCell ref="C55:C61"/>
    <mergeCell ref="C62:C68"/>
    <mergeCell ref="C69:C75"/>
    <mergeCell ref="C76:C82"/>
    <mergeCell ref="C83:C89"/>
    <mergeCell ref="C90:C96"/>
    <mergeCell ref="C97:C103"/>
    <mergeCell ref="C104:C110"/>
    <mergeCell ref="C111:C117"/>
    <mergeCell ref="C118:C124"/>
    <mergeCell ref="C125:C131"/>
    <mergeCell ref="C132:C138"/>
    <mergeCell ref="C139:C145"/>
    <mergeCell ref="C146:C152"/>
    <mergeCell ref="C153:C159"/>
    <mergeCell ref="C160:C166"/>
    <mergeCell ref="C167:C173"/>
    <mergeCell ref="C174:C180"/>
    <mergeCell ref="C181:C187"/>
    <mergeCell ref="C188:C194"/>
    <mergeCell ref="C195:C201"/>
    <mergeCell ref="C202:C208"/>
    <mergeCell ref="C209:C215"/>
    <mergeCell ref="C216:C222"/>
    <mergeCell ref="C223:C229"/>
    <mergeCell ref="C230:C236"/>
    <mergeCell ref="C237:C243"/>
    <mergeCell ref="C244:C250"/>
    <mergeCell ref="C251:C257"/>
    <mergeCell ref="C258:C264"/>
    <mergeCell ref="C265:C271"/>
    <mergeCell ref="C272:C278"/>
    <mergeCell ref="C279:C285"/>
    <mergeCell ref="C4:C5"/>
    <mergeCell ref="D4:D5"/>
    <mergeCell ref="D6:D12"/>
    <mergeCell ref="D13:D19"/>
    <mergeCell ref="D20:D26"/>
    <mergeCell ref="D27:D33"/>
    <mergeCell ref="D34:D40"/>
    <mergeCell ref="D41:D47"/>
    <mergeCell ref="D48:D54"/>
    <mergeCell ref="D55:D61"/>
    <mergeCell ref="D62:D68"/>
    <mergeCell ref="D69:D75"/>
    <mergeCell ref="D76:D82"/>
    <mergeCell ref="D83:D89"/>
    <mergeCell ref="D90:D96"/>
    <mergeCell ref="D97:D103"/>
    <mergeCell ref="D104:D110"/>
    <mergeCell ref="D111:D117"/>
    <mergeCell ref="D118:D124"/>
    <mergeCell ref="D125:D131"/>
    <mergeCell ref="D132:D138"/>
    <mergeCell ref="D139:D145"/>
    <mergeCell ref="D146:D152"/>
    <mergeCell ref="D153:D159"/>
    <mergeCell ref="D160:D166"/>
    <mergeCell ref="D167:D173"/>
    <mergeCell ref="D174:D180"/>
    <mergeCell ref="D181:D187"/>
    <mergeCell ref="D188:D194"/>
    <mergeCell ref="D258:D264"/>
    <mergeCell ref="D265:D271"/>
    <mergeCell ref="D272:D278"/>
    <mergeCell ref="D279:D285"/>
    <mergeCell ref="D195:D201"/>
    <mergeCell ref="D202:D208"/>
    <mergeCell ref="D209:D215"/>
    <mergeCell ref="D216:D222"/>
    <mergeCell ref="D223:D229"/>
    <mergeCell ref="D230:D236"/>
    <mergeCell ref="D237:D243"/>
    <mergeCell ref="D244:D250"/>
    <mergeCell ref="D251:D257"/>
  </mergeCells>
  <conditionalFormatting sqref="B6:F285">
    <cfRule type="expression" dxfId="123" priority="4">
      <formula>AND($B6&lt;&gt;"",COUNTIF(DependencyBIAIDs,$B6)=0)</formula>
    </cfRule>
  </conditionalFormatting>
  <conditionalFormatting sqref="U6:U285">
    <cfRule type="containsText" dxfId="122" priority="1" operator="containsText" text="&quot;No&quot;">
      <formula>NOT(ISERROR(SEARCH("""No""",U6)))</formula>
    </cfRule>
    <cfRule type="containsText" dxfId="121" priority="2" operator="containsText" text="&quot;Yes&quot;">
      <formula>NOT(ISERROR(SEARCH("""Yes""",U6)))</formula>
    </cfRule>
  </conditionalFormatting>
  <conditionalFormatting sqref="AG6:AG285">
    <cfRule type="expression" dxfId="120" priority="3">
      <formula>AND($B6&lt;&gt;"",ISNUMBER($AG6),$AG6&lt;TODAY())</formula>
    </cfRule>
  </conditionalFormatting>
  <dataValidations count="3">
    <dataValidation type="list" allowBlank="1" sqref="V279 V6 V13 V20 V27 V34 V41 V48 V55 V62 V69 V76 V83 V90 V97 V104 V111 V118 V125 V132 V139 V146 V153 V160 V167 V174 V181 V188 V195 V202 V209 V216 V223 V230 V237 V244 V251 V258 V265 V272 H6:H285" xr:uid="{00000000-0002-0000-0700-000001000000}">
      <formula1>lstYN</formula1>
      <formula2>0</formula2>
    </dataValidation>
    <dataValidation type="list" allowBlank="1" showInputMessage="1" showErrorMessage="1" sqref="J6:R285" xr:uid="{ED1AE205-6FCF-40AF-9409-DBB5A7F2D3BF}">
      <formula1>lstScore</formula1>
    </dataValidation>
    <dataValidation type="custom" allowBlank="1" showInputMessage="1" showErrorMessage="1" sqref="AF6:AF285" xr:uid="{062AA2CC-62C4-463B-B1A8-1BD6F2BE875F}">
      <formula1>OR($B6="",AF6="",AND(ISNUMBER(AF6),AF6&lt;=TODAY()))</formula1>
    </dataValidation>
  </dataValidations>
  <pageMargins left="0.75" right="0.75" top="1" bottom="1" header="0.511811023622047" footer="0.51180555555555596"/>
  <pageSetup paperSize="9" orientation="portrait" horizontalDpi="300" verticalDpi="300"/>
  <ignoredErrors>
    <ignoredError sqref="A4:AJ5 A7:G12 A6:G6 X6 A14:G19 A13:G13 X13 A21:G26 A20:G20 X20 A28:G33 A27:G27 X27 A35:G40 A34:G34 X34 A42:G47 A41:G41 X41 A49:G54 A48:G48 X48 A56:G61 A55:G55 X55 A63:G68 A62:G62 X62 A70:G75 A69:G69 X69 A77:G82 A76:G76 X76 A84:G89 A83:G83 X83 A91:G96 A90:G90 X90 A98:G103 A97:G97 X97 A105:G110 A104:G104 X104 A112:G117 A111:G111 X111 A119:G124 A118:G118 X118 A126:G131 A125:G125 X125 A133:G138 A132:G132 X132 A140:G145 A139:G139 X139 A147:G152 A146:G146 X146 A154:G159 A153:G153 X153 A161:G166 A160:G160 X160 A168:G173 A167:G167 X167 A175:G180 A174:G174 X174 A182:G187 A181:G181 X181 A189:G194 A188:G188 X188 A196:G201 A195:G195 X195 A203:G208 A202:G202 X202 A210:G215 A209:G209 X209 A217:G222 A216:G216 X216 A224:G229 A223:G223 X223 A231:G236 A230:G230 X230 A238:G243 A237:G237 X237 A245:G250 A244:G244 X244 A252:G257 A251:G251 X251 A259:G264 A258:G258 X258 A266:G271 A265:G265 X265 A273:G278 A272:G272 X272 A280:G285 A279:G279 X279 I7:I12 I6 I14:I19 I13 I21:I26 I20 I28:I33 I27 I35:I40 I34 I42:I47 I41 I49:I54 I48 I56:I61 I55 I63:I68 I62 I70:I75 I69 I77:I82 I76 I84:I89 I83 I91:I96 I90 I98:I103 I97 I105:I110 I104 I112:I117 I111 I119:I124 I118 I126:I131 I125 I133:I138 I132 I140:I145 I139 I147:I152 I146 I154:I159 I153 I161:I166 I160 I168:I173 I167 I175:I180 I174 I182:I187 I181 I189:I194 I188 I196:I201 I195 I203:I208 I202 I210:I215 I209 I217:I222 I216 I224:I229 I223 I231:I236 I230 I238:I243 I237 I245:I250 I244 I252:I257 I251 I259:I264 I258 I266:I271 I265 I273:I278 I272 I280:I285 I279 U7:U12 U6 U14:U19 U13 U21:U26 U20 U28:U33 U27 U35:U40 U34 U42:U47 U41 U49:U54 U48 U56:U61 U55 U63:U68 U62 U70:U75 U69 U77:U82 U76 U84:U89 U83 U91:U96 U90 U98:U103 U97 U105:U110 U104 U112:U117 U111 U119:U124 U118 U126:U131 U125 U133:U138 U132 U140:U145 U139 U147:U152 U146 U154:U159 U153 U161:U166 U160 U168:U173 U167 U175:U180 U174 U182:U187 U181 U189:U194 U188 U196:U201 U195 U203:U208 U202 U210:U215 U209 U217:U222 U216 U224:U229 U223 U231:U236 U230 U238:U243 U237 U245:U250 U244 U252:U257 U251 U259:U264 U258 U266:U271 U265 U273:U278 U272 U280:U285 U279 W7:X12 W14:X19 W21:X26 W28:X33 W35:X40 W42:X47 W49:X54 W56:X61 W63:X68 W70:X75 W77:X82 W84:X89 W91:X96 W98:X103 W105:X110 W112:X117 W119:X124 W126:X131 W133:X138 W140:X145 W147:X152 W154:X159 W161:X166 W168:X173 W175:X180 W182:X187 W189:X194 W196:X201 W203:X208 W210:X215 W217:X222 W224:X229 W231:X236 W238:X243 W245:X250 W252:X257 W259:X264 W266:X271 W273:X278 W280:X285 AA6 AA13 AA20 AA27 AA34 AA41 AA48 AA55 AA62 AA69 AA76 AA83 AA90 AA97 AA104 AA111 AA118 AA125 AA132 AA139 AA146 AA153 AA160 AA167 AA174 AA181 AA188 AA195 AA202 AA209 AA216 AA223 AA230 AA237 AA244 AA251 AA258 AA265 AA272 AA279 AA7:AA12 AA14:AA19 AA21:AA26 AA28:AA33 AA35:AA40 AA42:AA47 AA49:AA54 AA56:AA61 AA63:AA68 AA70:AA75 AA77:AA82 AA84:AA89 AA91:AA96 AA98:AA103 AA105:AA110 AA112:AA117 AA119:AA124 AA126:AA131 AA133:AA138 AA140:AA145 AA147:AA152 AA154:AA159 AA161:AA166 AA168:AA173 AA175:AA180 AA182:AA187 AA189:AA194 AA196:AA201 AA203:AA208 AA210:AA215 AA217:AA222 AA224:AA229 AA231:AA236 AA238:AA243 AA245:AA250 AA252:AA257 AA259:AA264 AA266:AA271 AA273:AA278 AA280:AA285 AD6 AD13 AD20 AD27 AD34 AD41 AD48 AD55 AD62 AD69 AD76 AD83 AD90 AD97 AD104 AD111 AD118 AD125 AD132 AD139 AD146 AD153 AD160 AD167 AD174 AD181 AD188 AD195 AD202 AD209 AD216 AD223 AD230 AD237 AD244 AD251 AD258 AD265 AD272 AD279 AD7:AD12 AD14:AD19 AD21:AD26 AD28:AD33 AD35:AD40 AD42:AD47 AD49:AD54 AD56:AD61 AD63:AD68 AD70:AD75 AD77:AD82 AD84:AD89 AD91:AD96 AD98:AD103 AD105:AD110 AD112:AD117 AD119:AD124 AD126:AD131 AD133:AD138 AD140:AD145 AD147:AD152 AD154:AD159 AD161:AD166 AD168:AD173 AD175:AD180 AD182:AD187 AD189:AD194 AD196:AD201 AD203:AD208 AD210:AD215 AD217:AD222 AD224:AD229 AD231:AD236 AD238:AD243 AD245:AD250 AD252:AD257 AD259:AD264 AD266:AD271 AD273:AD278 AD280:AD285 AG6:AJ6 AG13:AJ13 AG20:AJ20 AG27:AJ27 AG34:AJ34 AG41:AJ41 AG48:AJ48 AG55:AJ55 AG62:AJ62 AG69:AJ69 AG76:AJ76 AG83:AJ83 AG90:AJ90 AG97:AJ97 AG104:AJ104 AG111:AJ111 AG118:AJ118 AG125:AJ125 AG132:AJ132 AG139:AJ139 AG146:AJ146 AG153:AJ153 AG160:AJ160 AG167:AJ167 AG174:AJ174 AG181:AJ181 AG188:AJ188 AG195:AJ195 AG202:AJ202 AG209:AJ209 AG216:AJ216 AG223:AJ223 AG230:AJ230 AG237:AJ237 AG244:AJ244 AG251:AJ251 AG258:AJ258 AG265:AJ265 AG272:AJ272 AG279:AJ279 AG7:AJ12 AG14:AJ19 AG21:AJ26 AG28:AJ33 AG35:AJ40 AG42:AJ47 AG49:AJ54 AG56:AJ61 AG63:AJ68 AG70:AJ75 AG77:AJ82 AG84:AJ89 AG91:AJ96 AG98:AJ103 AG105:AJ110 AG112:AJ117 AG119:AJ124 AG126:AJ131 AG133:AJ138 AG140:AJ145 AG147:AJ152 AG154:AJ159 AG161:AJ166 AG168:AJ173 AG175:AJ180 AG182:AJ187 AG189:AJ194 AG196:AJ201 AG203:AJ208 AG210:AJ215 AG217:AJ222 AG224:AJ229 AG231:AJ236 AG238:AJ243 AG245:AJ250 AG252:AJ257 AG259:AJ264 AG266:AJ271 AG273:AJ278 AG280:AJ285" formulaRange="1"/>
  </ignoredErrors>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4687"/>
  </sheetPr>
  <dimension ref="A1:O204"/>
  <sheetViews>
    <sheetView showGridLines="0" zoomScale="49" zoomScaleNormal="70" workbookViewId="0">
      <pane ySplit="4" topLeftCell="A5" activePane="bottomLeft" state="frozen"/>
      <selection pane="bottomLeft" activeCell="G5" sqref="G5"/>
    </sheetView>
  </sheetViews>
  <sheetFormatPr defaultColWidth="8.54296875" defaultRowHeight="15" customHeight="1" x14ac:dyDescent="0.35"/>
  <cols>
    <col min="1" max="1" width="10.6328125" bestFit="1" customWidth="1"/>
    <col min="2" max="2" width="13.36328125" bestFit="1" customWidth="1"/>
    <col min="3" max="3" width="14.26953125" bestFit="1" customWidth="1"/>
    <col min="4" max="4" width="28.1796875" bestFit="1" customWidth="1"/>
    <col min="5" max="5" width="24.81640625" bestFit="1" customWidth="1"/>
    <col min="6" max="6" width="22.453125" bestFit="1" customWidth="1"/>
    <col min="7" max="7" width="40.453125" bestFit="1" customWidth="1"/>
    <col min="8" max="8" width="27.26953125" bestFit="1" customWidth="1"/>
    <col min="9" max="9" width="23.26953125" bestFit="1" customWidth="1"/>
    <col min="10" max="10" width="24.54296875" bestFit="1" customWidth="1"/>
    <col min="11" max="11" width="18.81640625" bestFit="1" customWidth="1"/>
    <col min="12" max="12" width="13.1796875" bestFit="1" customWidth="1"/>
    <col min="13" max="13" width="15.26953125" bestFit="1" customWidth="1"/>
  </cols>
  <sheetData>
    <row r="1" spans="1:15" ht="27.75" customHeight="1" x14ac:dyDescent="0.35">
      <c r="A1" s="314" t="s">
        <v>307</v>
      </c>
      <c r="B1" s="315"/>
      <c r="C1" s="315"/>
      <c r="D1" s="315"/>
      <c r="E1" s="315"/>
      <c r="F1" s="315"/>
      <c r="G1" s="315"/>
      <c r="H1" s="315"/>
      <c r="I1" s="315"/>
      <c r="J1" s="315"/>
      <c r="K1" s="315"/>
      <c r="L1" s="315"/>
      <c r="M1" s="315"/>
    </row>
    <row r="2" spans="1:15" ht="18" customHeight="1" x14ac:dyDescent="0.35">
      <c r="A2" s="316" t="s">
        <v>308</v>
      </c>
      <c r="B2" s="315"/>
      <c r="C2" s="315"/>
      <c r="D2" s="315"/>
      <c r="E2" s="315"/>
      <c r="F2" s="315"/>
      <c r="G2" s="315"/>
      <c r="H2" s="315"/>
      <c r="I2" s="315"/>
      <c r="J2" s="315"/>
      <c r="K2" s="315"/>
      <c r="L2" s="315"/>
      <c r="M2" s="315"/>
    </row>
    <row r="3" spans="1:15" ht="15" customHeight="1" x14ac:dyDescent="0.35">
      <c r="G3" s="77"/>
    </row>
    <row r="4" spans="1:15" ht="36" customHeight="1" x14ac:dyDescent="0.35">
      <c r="A4" s="233" t="s">
        <v>237</v>
      </c>
      <c r="B4" s="234" t="s">
        <v>309</v>
      </c>
      <c r="C4" s="234" t="s">
        <v>310</v>
      </c>
      <c r="D4" s="234" t="s">
        <v>311</v>
      </c>
      <c r="E4" s="234" t="s">
        <v>270</v>
      </c>
      <c r="F4" s="234" t="s">
        <v>312</v>
      </c>
      <c r="G4" s="234" t="s">
        <v>313</v>
      </c>
      <c r="H4" s="234" t="s">
        <v>314</v>
      </c>
      <c r="I4" s="235" t="s">
        <v>315</v>
      </c>
      <c r="J4" s="234" t="s">
        <v>316</v>
      </c>
      <c r="K4" s="234" t="s">
        <v>317</v>
      </c>
      <c r="L4" s="234" t="s">
        <v>6</v>
      </c>
      <c r="M4" s="236" t="s">
        <v>318</v>
      </c>
    </row>
    <row r="5" spans="1:15" ht="23.25" customHeight="1" x14ac:dyDescent="0.35">
      <c r="A5" s="231">
        <v>1</v>
      </c>
      <c r="B5" s="135" t="str">
        <f t="shared" ref="B5:B36" si="0">IF($I5="","","DEP-"&amp;TEXT($A5,"000"))</f>
        <v/>
      </c>
      <c r="C5" s="64" t="s">
        <v>959</v>
      </c>
      <c r="D5" s="136" t="str">
        <f>IF($C5="","",IFERROR(_xlfn.XLOOKUP($C5,'07. BIA'!$B$6:$B$285,'07. BIA'!$E$6:$E$285,""),""))</f>
        <v>cb</v>
      </c>
      <c r="E5" s="136" t="str">
        <f>IF($C5="","",IFERROR(_xlfn.XLOOKUP($C5,'07. BIA'!$B$6:$B$285,'07. BIA'!$F$6:$F$285,""),""))</f>
        <v>PS-001</v>
      </c>
      <c r="F5" s="79" t="s">
        <v>300</v>
      </c>
      <c r="G5" s="79"/>
      <c r="H5" s="80"/>
      <c r="I5" s="49"/>
      <c r="J5" s="49"/>
      <c r="K5" s="64"/>
      <c r="L5" s="49"/>
      <c r="M5" s="232"/>
    </row>
    <row r="6" spans="1:15" ht="23.25" customHeight="1" x14ac:dyDescent="0.35">
      <c r="A6" s="231">
        <v>2</v>
      </c>
      <c r="B6" s="135" t="str">
        <f t="shared" si="0"/>
        <v/>
      </c>
      <c r="C6" s="64"/>
      <c r="D6" s="136" t="str">
        <f>IF($C6="","",IFERROR(_xlfn.XLOOKUP($C6,'07. BIA'!$B$6:$B$285,'07. BIA'!$E$6:$E$285,""),""))</f>
        <v/>
      </c>
      <c r="E6" s="136" t="str">
        <f>IF($C6="","",IFERROR(_xlfn.XLOOKUP($C6,'07. BIA'!$B$6:$B$285,'07. BIA'!$F$6:$F$285,""),""))</f>
        <v/>
      </c>
      <c r="F6" s="79"/>
      <c r="G6" s="79"/>
      <c r="H6" s="80"/>
      <c r="I6" s="49"/>
      <c r="J6" s="49"/>
      <c r="K6" s="64"/>
      <c r="L6" s="49"/>
      <c r="M6" s="232"/>
    </row>
    <row r="7" spans="1:15" ht="23.25" customHeight="1" x14ac:dyDescent="0.35">
      <c r="A7" s="231">
        <v>3</v>
      </c>
      <c r="B7" s="135" t="str">
        <f t="shared" si="0"/>
        <v/>
      </c>
      <c r="C7" s="64"/>
      <c r="D7" s="136" t="str">
        <f>IF($C7="","",IFERROR(_xlfn.XLOOKUP($C7,'07. BIA'!$B$6:$B$285,'07. BIA'!$E$6:$E$285,""),""))</f>
        <v/>
      </c>
      <c r="E7" s="136" t="str">
        <f>IF($C7="","",IFERROR(_xlfn.XLOOKUP($C7,'07. BIA'!$B$6:$B$285,'07. BIA'!$F$6:$F$285,""),""))</f>
        <v/>
      </c>
      <c r="F7" s="79"/>
      <c r="G7" s="79"/>
      <c r="H7" s="80"/>
      <c r="I7" s="132"/>
      <c r="J7" s="49"/>
      <c r="K7" s="64"/>
      <c r="L7" s="49"/>
      <c r="M7" s="232"/>
    </row>
    <row r="8" spans="1:15" ht="23.25" customHeight="1" x14ac:dyDescent="0.35">
      <c r="A8" s="231">
        <v>4</v>
      </c>
      <c r="B8" s="135" t="str">
        <f t="shared" si="0"/>
        <v/>
      </c>
      <c r="C8" s="64"/>
      <c r="D8" s="136" t="str">
        <f>IF($C8="","",IFERROR(_xlfn.XLOOKUP($C8,'07. BIA'!$B$6:$B$285,'07. BIA'!$E$6:$E$285,""),""))</f>
        <v/>
      </c>
      <c r="E8" s="136" t="str">
        <f>IF($C8="","",IFERROR(_xlfn.XLOOKUP($C8,'07. BIA'!$B$6:$B$285,'07. BIA'!$F$6:$F$285,""),""))</f>
        <v/>
      </c>
      <c r="F8" s="79"/>
      <c r="G8" s="79"/>
      <c r="H8" s="80"/>
      <c r="I8" s="49"/>
      <c r="J8" s="49"/>
      <c r="K8" s="64"/>
      <c r="L8" s="49"/>
      <c r="M8" s="232"/>
      <c r="O8" s="77"/>
    </row>
    <row r="9" spans="1:15" ht="23.25" customHeight="1" x14ac:dyDescent="0.35">
      <c r="A9" s="231">
        <v>5</v>
      </c>
      <c r="B9" s="135" t="str">
        <f t="shared" si="0"/>
        <v/>
      </c>
      <c r="C9" s="64"/>
      <c r="D9" s="136" t="str">
        <f>IF($C9="","",IFERROR(_xlfn.XLOOKUP($C9,'07. BIA'!$B$6:$B$285,'07. BIA'!$E$6:$E$285,""),""))</f>
        <v/>
      </c>
      <c r="E9" s="136" t="str">
        <f>IF($C9="","",IFERROR(_xlfn.XLOOKUP($C9,'07. BIA'!$B$6:$B$285,'07. BIA'!$F$6:$F$285,""),""))</f>
        <v/>
      </c>
      <c r="F9" s="79"/>
      <c r="G9" s="79"/>
      <c r="H9" s="80"/>
      <c r="I9" s="49"/>
      <c r="J9" s="49"/>
      <c r="K9" s="64"/>
      <c r="L9" s="49"/>
      <c r="M9" s="232"/>
    </row>
    <row r="10" spans="1:15" ht="23.25" customHeight="1" x14ac:dyDescent="0.35">
      <c r="A10" s="231">
        <v>6</v>
      </c>
      <c r="B10" s="135" t="str">
        <f t="shared" si="0"/>
        <v/>
      </c>
      <c r="C10" s="64"/>
      <c r="D10" s="136" t="str">
        <f>IF($C10="","",IFERROR(_xlfn.XLOOKUP($C10,'07. BIA'!$B$6:$B$285,'07. BIA'!$E$6:$E$285,""),""))</f>
        <v/>
      </c>
      <c r="E10" s="136" t="str">
        <f>IF($C10="","",IFERROR(_xlfn.XLOOKUP($C10,'07. BIA'!$B$6:$B$285,'07. BIA'!$F$6:$F$285,""),""))</f>
        <v/>
      </c>
      <c r="F10" s="79"/>
      <c r="G10" s="79"/>
      <c r="H10" s="80"/>
      <c r="I10" s="49"/>
      <c r="J10" s="49"/>
      <c r="K10" s="64"/>
      <c r="L10" s="49"/>
      <c r="M10" s="232"/>
    </row>
    <row r="11" spans="1:15" ht="23.25" customHeight="1" x14ac:dyDescent="0.35">
      <c r="A11" s="231">
        <v>7</v>
      </c>
      <c r="B11" s="135" t="str">
        <f t="shared" si="0"/>
        <v/>
      </c>
      <c r="C11" s="64"/>
      <c r="D11" s="136" t="str">
        <f>IF($C11="","",IFERROR(_xlfn.XLOOKUP($C11,'07. BIA'!$B$6:$B$285,'07. BIA'!$E$6:$E$285,""),""))</f>
        <v/>
      </c>
      <c r="E11" s="136" t="str">
        <f>IF($C11="","",IFERROR(_xlfn.XLOOKUP($C11,'07. BIA'!$B$6:$B$285,'07. BIA'!$F$6:$F$285,""),""))</f>
        <v/>
      </c>
      <c r="F11" s="79"/>
      <c r="G11" s="79"/>
      <c r="H11" s="80"/>
      <c r="I11" s="49"/>
      <c r="J11" s="49"/>
      <c r="K11" s="64"/>
      <c r="L11" s="49"/>
      <c r="M11" s="232"/>
    </row>
    <row r="12" spans="1:15" ht="23.25" customHeight="1" x14ac:dyDescent="0.35">
      <c r="A12" s="231">
        <v>8</v>
      </c>
      <c r="B12" s="135" t="str">
        <f t="shared" si="0"/>
        <v/>
      </c>
      <c r="C12" s="64"/>
      <c r="D12" s="136" t="str">
        <f>IF($C12="","",IFERROR(_xlfn.XLOOKUP($C12,'07. BIA'!$B$6:$B$285,'07. BIA'!$E$6:$E$285,""),""))</f>
        <v/>
      </c>
      <c r="E12" s="136" t="str">
        <f>IF($C12="","",IFERROR(_xlfn.XLOOKUP($C12,'07. BIA'!$B$6:$B$285,'07. BIA'!$F$6:$F$285,""),""))</f>
        <v/>
      </c>
      <c r="F12" s="79"/>
      <c r="G12" s="79"/>
      <c r="H12" s="80"/>
      <c r="I12" s="49"/>
      <c r="J12" s="49"/>
      <c r="K12" s="64"/>
      <c r="L12" s="49"/>
      <c r="M12" s="232"/>
    </row>
    <row r="13" spans="1:15" ht="23.25" customHeight="1" x14ac:dyDescent="0.35">
      <c r="A13" s="231">
        <v>9</v>
      </c>
      <c r="B13" s="135" t="str">
        <f t="shared" si="0"/>
        <v/>
      </c>
      <c r="C13" s="64"/>
      <c r="D13" s="136" t="str">
        <f>IF($C13="","",IFERROR(_xlfn.XLOOKUP($C13,'07. BIA'!$B$6:$B$285,'07. BIA'!$E$6:$E$285,""),""))</f>
        <v/>
      </c>
      <c r="E13" s="136" t="str">
        <f>IF($C13="","",IFERROR(_xlfn.XLOOKUP($C13,'07. BIA'!$B$6:$B$285,'07. BIA'!$F$6:$F$285,""),""))</f>
        <v/>
      </c>
      <c r="F13" s="79"/>
      <c r="G13" s="79"/>
      <c r="H13" s="80"/>
      <c r="I13" s="49"/>
      <c r="J13" s="49"/>
      <c r="K13" s="64"/>
      <c r="L13" s="49"/>
      <c r="M13" s="232"/>
    </row>
    <row r="14" spans="1:15" ht="21.75" customHeight="1" x14ac:dyDescent="0.35">
      <c r="A14" s="231">
        <v>10</v>
      </c>
      <c r="B14" s="135" t="str">
        <f t="shared" si="0"/>
        <v/>
      </c>
      <c r="C14" s="64"/>
      <c r="D14" s="136" t="str">
        <f>IF($C14="","",IFERROR(_xlfn.XLOOKUP($C14,'07. BIA'!$B$6:$B$285,'07. BIA'!$E$6:$E$285,""),""))</f>
        <v/>
      </c>
      <c r="E14" s="136" t="str">
        <f>IF($C14="","",IFERROR(_xlfn.XLOOKUP($C14,'07. BIA'!$B$6:$B$285,'07. BIA'!$F$6:$F$285,""),""))</f>
        <v/>
      </c>
      <c r="F14" s="79"/>
      <c r="G14" s="79"/>
      <c r="H14" s="80"/>
      <c r="I14" s="49"/>
      <c r="J14" s="49"/>
      <c r="K14" s="64"/>
      <c r="L14" s="49"/>
      <c r="M14" s="232"/>
    </row>
    <row r="15" spans="1:15" ht="21.75" customHeight="1" x14ac:dyDescent="0.35">
      <c r="A15" s="231">
        <v>11</v>
      </c>
      <c r="B15" s="135" t="str">
        <f t="shared" si="0"/>
        <v/>
      </c>
      <c r="C15" s="64"/>
      <c r="D15" s="136" t="str">
        <f>IF($C15="","",IFERROR(_xlfn.XLOOKUP($C15,'07. BIA'!$B$6:$B$285,'07. BIA'!$E$6:$E$285,""),""))</f>
        <v/>
      </c>
      <c r="E15" s="136" t="str">
        <f>IF($C15="","",IFERROR(_xlfn.XLOOKUP($C15,'07. BIA'!$B$6:$B$285,'07. BIA'!$F$6:$F$285,""),""))</f>
        <v/>
      </c>
      <c r="F15" s="79"/>
      <c r="G15" s="79"/>
      <c r="H15" s="80"/>
      <c r="I15" s="49"/>
      <c r="J15" s="49"/>
      <c r="K15" s="64"/>
      <c r="L15" s="49"/>
      <c r="M15" s="232"/>
    </row>
    <row r="16" spans="1:15" ht="15" customHeight="1" x14ac:dyDescent="0.35">
      <c r="A16" s="231">
        <v>12</v>
      </c>
      <c r="B16" s="135" t="str">
        <f t="shared" si="0"/>
        <v/>
      </c>
      <c r="C16" s="64"/>
      <c r="D16" s="136" t="str">
        <f>IF($C16="","",IFERROR(_xlfn.XLOOKUP($C16,'07. BIA'!$B$6:$B$285,'07. BIA'!$E$6:$E$285,""),""))</f>
        <v/>
      </c>
      <c r="E16" s="136" t="str">
        <f>IF($C16="","",IFERROR(_xlfn.XLOOKUP($C16,'07. BIA'!$B$6:$B$285,'07. BIA'!$F$6:$F$285,""),""))</f>
        <v/>
      </c>
      <c r="F16" s="79"/>
      <c r="G16" s="79"/>
      <c r="H16" s="80"/>
      <c r="I16" s="49"/>
      <c r="J16" s="49"/>
      <c r="K16" s="64"/>
      <c r="L16" s="49"/>
      <c r="M16" s="232"/>
    </row>
    <row r="17" spans="1:13" ht="21.75" customHeight="1" x14ac:dyDescent="0.35">
      <c r="A17" s="231">
        <v>13</v>
      </c>
      <c r="B17" s="135" t="str">
        <f t="shared" si="0"/>
        <v/>
      </c>
      <c r="C17" s="64"/>
      <c r="D17" s="136" t="str">
        <f>IF($C17="","",IFERROR(_xlfn.XLOOKUP($C17,'07. BIA'!$B$6:$B$285,'07. BIA'!$E$6:$E$285,""),""))</f>
        <v/>
      </c>
      <c r="E17" s="136" t="str">
        <f>IF($C17="","",IFERROR(_xlfn.XLOOKUP($C17,'07. BIA'!$B$6:$B$285,'07. BIA'!$F$6:$F$285,""),""))</f>
        <v/>
      </c>
      <c r="F17" s="79"/>
      <c r="G17" s="79"/>
      <c r="H17" s="80"/>
      <c r="I17" s="83"/>
      <c r="J17" s="49"/>
      <c r="K17" s="64"/>
      <c r="L17" s="49"/>
      <c r="M17" s="232"/>
    </row>
    <row r="18" spans="1:13" ht="21.75" customHeight="1" x14ac:dyDescent="0.35">
      <c r="A18" s="231">
        <v>14</v>
      </c>
      <c r="B18" s="135" t="str">
        <f t="shared" si="0"/>
        <v/>
      </c>
      <c r="C18" s="64"/>
      <c r="D18" s="136" t="str">
        <f>IF($C18="","",IFERROR(_xlfn.XLOOKUP($C18,'07. BIA'!$B$6:$B$285,'07. BIA'!$E$6:$E$285,""),""))</f>
        <v/>
      </c>
      <c r="E18" s="136" t="str">
        <f>IF($C18="","",IFERROR(_xlfn.XLOOKUP($C18,'07. BIA'!$B$6:$B$285,'07. BIA'!$F$6:$F$285,""),""))</f>
        <v/>
      </c>
      <c r="F18" s="79"/>
      <c r="G18" s="79"/>
      <c r="H18" s="80"/>
      <c r="I18" s="83"/>
      <c r="J18" s="49"/>
      <c r="K18" s="64"/>
      <c r="L18" s="49"/>
      <c r="M18" s="232"/>
    </row>
    <row r="19" spans="1:13" ht="21.75" customHeight="1" x14ac:dyDescent="0.35">
      <c r="A19" s="231">
        <v>15</v>
      </c>
      <c r="B19" s="135" t="str">
        <f t="shared" si="0"/>
        <v/>
      </c>
      <c r="C19" s="64"/>
      <c r="D19" s="136" t="str">
        <f>IF($C19="","",IFERROR(_xlfn.XLOOKUP($C19,'07. BIA'!$B$6:$B$285,'07. BIA'!$E$6:$E$285,""),""))</f>
        <v/>
      </c>
      <c r="E19" s="136" t="str">
        <f>IF($C19="","",IFERROR(_xlfn.XLOOKUP($C19,'07. BIA'!$B$6:$B$285,'07. BIA'!$F$6:$F$285,""),""))</f>
        <v/>
      </c>
      <c r="F19" s="79"/>
      <c r="G19" s="79"/>
      <c r="H19" s="81"/>
      <c r="I19" s="84"/>
      <c r="J19" s="49"/>
      <c r="K19" s="64"/>
      <c r="L19" s="49"/>
      <c r="M19" s="232"/>
    </row>
    <row r="20" spans="1:13" ht="21.75" customHeight="1" x14ac:dyDescent="0.35">
      <c r="A20" s="231">
        <v>16</v>
      </c>
      <c r="B20" s="135" t="str">
        <f t="shared" si="0"/>
        <v/>
      </c>
      <c r="C20" s="64"/>
      <c r="D20" s="136" t="str">
        <f>IF($C20="","",IFERROR(_xlfn.XLOOKUP($C20,'07. BIA'!$B$6:$B$285,'07. BIA'!$E$6:$E$285,""),""))</f>
        <v/>
      </c>
      <c r="E20" s="136" t="str">
        <f>IF($C20="","",IFERROR(_xlfn.XLOOKUP($C20,'07. BIA'!$B$6:$B$285,'07. BIA'!$F$6:$F$285,""),""))</f>
        <v/>
      </c>
      <c r="F20" s="79"/>
      <c r="G20" s="79"/>
      <c r="H20" s="81"/>
      <c r="I20" s="84"/>
      <c r="J20" s="49"/>
      <c r="K20" s="64"/>
      <c r="L20" s="49"/>
      <c r="M20" s="232"/>
    </row>
    <row r="21" spans="1:13" ht="21.75" customHeight="1" x14ac:dyDescent="0.35">
      <c r="A21" s="231">
        <v>17</v>
      </c>
      <c r="B21" s="135" t="str">
        <f t="shared" si="0"/>
        <v/>
      </c>
      <c r="C21" s="64"/>
      <c r="D21" s="136" t="str">
        <f>IF($C21="","",IFERROR(_xlfn.XLOOKUP($C21,'07. BIA'!$B$6:$B$285,'07. BIA'!$E$6:$E$285,""),""))</f>
        <v/>
      </c>
      <c r="E21" s="136" t="str">
        <f>IF($C21="","",IFERROR(_xlfn.XLOOKUP($C21,'07. BIA'!$B$6:$B$285,'07. BIA'!$F$6:$F$285,""),""))</f>
        <v/>
      </c>
      <c r="F21" s="79"/>
      <c r="G21" s="79"/>
      <c r="H21" s="81"/>
      <c r="I21" s="84"/>
      <c r="J21" s="49"/>
      <c r="K21" s="64"/>
      <c r="L21" s="49"/>
      <c r="M21" s="232"/>
    </row>
    <row r="22" spans="1:13" ht="21.75" customHeight="1" x14ac:dyDescent="0.35">
      <c r="A22" s="231">
        <v>18</v>
      </c>
      <c r="B22" s="135" t="str">
        <f t="shared" si="0"/>
        <v/>
      </c>
      <c r="C22" s="64"/>
      <c r="D22" s="136" t="str">
        <f>IF($C22="","",IFERROR(_xlfn.XLOOKUP($C22,'07. BIA'!$B$6:$B$285,'07. BIA'!$E$6:$E$285,""),""))</f>
        <v/>
      </c>
      <c r="E22" s="136" t="str">
        <f>IF($C22="","",IFERROR(_xlfn.XLOOKUP($C22,'07. BIA'!$B$6:$B$285,'07. BIA'!$F$6:$F$285,""),""))</f>
        <v/>
      </c>
      <c r="F22" s="79"/>
      <c r="G22" s="79"/>
      <c r="H22" s="81"/>
      <c r="I22" s="84"/>
      <c r="J22" s="49"/>
      <c r="K22" s="64"/>
      <c r="L22" s="49"/>
      <c r="M22" s="232"/>
    </row>
    <row r="23" spans="1:13" ht="21.75" customHeight="1" x14ac:dyDescent="0.35">
      <c r="A23" s="231">
        <v>19</v>
      </c>
      <c r="B23" s="135" t="str">
        <f t="shared" si="0"/>
        <v/>
      </c>
      <c r="C23" s="64"/>
      <c r="D23" s="136" t="str">
        <f>IF($C23="","",IFERROR(_xlfn.XLOOKUP($C23,'07. BIA'!$B$6:$B$285,'07. BIA'!$E$6:$E$285,""),""))</f>
        <v/>
      </c>
      <c r="E23" s="136" t="str">
        <f>IF($C23="","",IFERROR(_xlfn.XLOOKUP($C23,'07. BIA'!$B$6:$B$285,'07. BIA'!$F$6:$F$285,""),""))</f>
        <v/>
      </c>
      <c r="F23" s="79"/>
      <c r="G23" s="79"/>
      <c r="H23" s="81"/>
      <c r="I23" s="84"/>
      <c r="J23" s="49"/>
      <c r="K23" s="64"/>
      <c r="L23" s="49"/>
      <c r="M23" s="232"/>
    </row>
    <row r="24" spans="1:13" ht="15" customHeight="1" x14ac:dyDescent="0.35">
      <c r="A24" s="231">
        <v>20</v>
      </c>
      <c r="B24" s="135" t="str">
        <f t="shared" si="0"/>
        <v/>
      </c>
      <c r="C24" s="64"/>
      <c r="D24" s="136" t="str">
        <f>IF($C24="","",IFERROR(_xlfn.XLOOKUP($C24,'07. BIA'!$B$6:$B$285,'07. BIA'!$E$6:$E$285,""),""))</f>
        <v/>
      </c>
      <c r="E24" s="136" t="str">
        <f>IF($C24="","",IFERROR(_xlfn.XLOOKUP($C24,'07. BIA'!$B$6:$B$285,'07. BIA'!$F$6:$F$285,""),""))</f>
        <v/>
      </c>
      <c r="F24" s="79"/>
      <c r="G24" s="79"/>
      <c r="H24" s="81"/>
      <c r="I24" s="84"/>
      <c r="J24" s="49"/>
      <c r="K24" s="64"/>
      <c r="L24" s="49"/>
      <c r="M24" s="232"/>
    </row>
    <row r="25" spans="1:13" ht="21.75" customHeight="1" x14ac:dyDescent="0.35">
      <c r="A25" s="231">
        <v>21</v>
      </c>
      <c r="B25" s="135" t="str">
        <f t="shared" si="0"/>
        <v/>
      </c>
      <c r="C25" s="64"/>
      <c r="D25" s="136" t="str">
        <f>IF($C25="","",IFERROR(_xlfn.XLOOKUP($C25,'07. BIA'!$B$6:$B$285,'07. BIA'!$E$6:$E$285,""),""))</f>
        <v/>
      </c>
      <c r="E25" s="136" t="str">
        <f>IF($C25="","",IFERROR(_xlfn.XLOOKUP($C25,'07. BIA'!$B$6:$B$285,'07. BIA'!$F$6:$F$285,""),""))</f>
        <v/>
      </c>
      <c r="F25" s="79"/>
      <c r="G25" s="79"/>
      <c r="H25" s="81"/>
      <c r="I25" s="84"/>
      <c r="J25" s="49"/>
      <c r="K25" s="64"/>
      <c r="L25" s="49"/>
      <c r="M25" s="232"/>
    </row>
    <row r="26" spans="1:13" ht="21.75" customHeight="1" x14ac:dyDescent="0.35">
      <c r="A26" s="231">
        <v>22</v>
      </c>
      <c r="B26" s="135" t="str">
        <f t="shared" si="0"/>
        <v/>
      </c>
      <c r="C26" s="64"/>
      <c r="D26" s="136" t="str">
        <f>IF($C26="","",IFERROR(_xlfn.XLOOKUP($C26,'07. BIA'!$B$6:$B$285,'07. BIA'!$E$6:$E$285,""),""))</f>
        <v/>
      </c>
      <c r="E26" s="136" t="str">
        <f>IF($C26="","",IFERROR(_xlfn.XLOOKUP($C26,'07. BIA'!$B$6:$B$285,'07. BIA'!$F$6:$F$285,""),""))</f>
        <v/>
      </c>
      <c r="F26" s="79"/>
      <c r="G26" s="79"/>
      <c r="H26" s="81"/>
      <c r="I26" s="84"/>
      <c r="J26" s="49"/>
      <c r="K26" s="64"/>
      <c r="L26" s="49"/>
      <c r="M26" s="232"/>
    </row>
    <row r="27" spans="1:13" ht="15" customHeight="1" x14ac:dyDescent="0.35">
      <c r="A27" s="231">
        <v>23</v>
      </c>
      <c r="B27" s="135" t="str">
        <f t="shared" si="0"/>
        <v/>
      </c>
      <c r="C27" s="64"/>
      <c r="D27" s="136" t="str">
        <f>IF($C27="","",IFERROR(_xlfn.XLOOKUP($C27,'07. BIA'!$B$6:$B$285,'07. BIA'!$E$6:$E$285,""),""))</f>
        <v/>
      </c>
      <c r="E27" s="136" t="str">
        <f>IF($C27="","",IFERROR(_xlfn.XLOOKUP($C27,'07. BIA'!$B$6:$B$285,'07. BIA'!$F$6:$F$285,""),""))</f>
        <v/>
      </c>
      <c r="F27" s="79"/>
      <c r="G27" s="79"/>
      <c r="H27" s="81"/>
      <c r="I27" s="84"/>
      <c r="J27" s="49"/>
      <c r="K27" s="64"/>
      <c r="L27" s="49"/>
      <c r="M27" s="232"/>
    </row>
    <row r="28" spans="1:13" ht="15" customHeight="1" x14ac:dyDescent="0.35">
      <c r="A28" s="231">
        <v>24</v>
      </c>
      <c r="B28" s="135" t="str">
        <f t="shared" si="0"/>
        <v/>
      </c>
      <c r="C28" s="64"/>
      <c r="D28" s="136" t="str">
        <f>IF($C28="","",IFERROR(_xlfn.XLOOKUP($C28,'07. BIA'!$B$6:$B$285,'07. BIA'!$E$6:$E$285,""),""))</f>
        <v/>
      </c>
      <c r="E28" s="136" t="str">
        <f>IF($C28="","",IFERROR(_xlfn.XLOOKUP($C28,'07. BIA'!$B$6:$B$285,'07. BIA'!$F$6:$F$285,""),""))</f>
        <v/>
      </c>
      <c r="F28" s="79"/>
      <c r="G28" s="79"/>
      <c r="H28" s="81"/>
      <c r="I28" s="84"/>
      <c r="J28" s="49"/>
      <c r="K28" s="64"/>
      <c r="L28" s="49"/>
      <c r="M28" s="232"/>
    </row>
    <row r="29" spans="1:13" ht="15" customHeight="1" x14ac:dyDescent="0.35">
      <c r="A29" s="231">
        <v>25</v>
      </c>
      <c r="B29" s="135" t="str">
        <f t="shared" si="0"/>
        <v/>
      </c>
      <c r="C29" s="64"/>
      <c r="D29" s="136" t="str">
        <f>IF($C29="","",IFERROR(_xlfn.XLOOKUP($C29,'07. BIA'!$B$6:$B$285,'07. BIA'!$E$6:$E$285,""),""))</f>
        <v/>
      </c>
      <c r="E29" s="136" t="str">
        <f>IF($C29="","",IFERROR(_xlfn.XLOOKUP($C29,'07. BIA'!$B$6:$B$285,'07. BIA'!$F$6:$F$285,""),""))</f>
        <v/>
      </c>
      <c r="F29" s="79"/>
      <c r="G29" s="79"/>
      <c r="H29" s="81"/>
      <c r="I29" s="84"/>
      <c r="J29" s="49"/>
      <c r="K29" s="64"/>
      <c r="L29" s="49"/>
      <c r="M29" s="232"/>
    </row>
    <row r="30" spans="1:13" ht="15" customHeight="1" x14ac:dyDescent="0.35">
      <c r="A30" s="231">
        <v>26</v>
      </c>
      <c r="B30" s="135" t="str">
        <f t="shared" si="0"/>
        <v/>
      </c>
      <c r="C30" s="64"/>
      <c r="D30" s="136" t="str">
        <f>IF($C30="","",IFERROR(_xlfn.XLOOKUP($C30,'07. BIA'!$B$6:$B$285,'07. BIA'!$E$6:$E$285,""),""))</f>
        <v/>
      </c>
      <c r="E30" s="136" t="str">
        <f>IF($C30="","",IFERROR(_xlfn.XLOOKUP($C30,'07. BIA'!$B$6:$B$285,'07. BIA'!$F$6:$F$285,""),""))</f>
        <v/>
      </c>
      <c r="F30" s="79"/>
      <c r="G30" s="79"/>
      <c r="H30" s="81"/>
      <c r="I30" s="84"/>
      <c r="J30" s="49"/>
      <c r="K30" s="64"/>
      <c r="L30" s="49"/>
      <c r="M30" s="232"/>
    </row>
    <row r="31" spans="1:13" ht="15" customHeight="1" x14ac:dyDescent="0.35">
      <c r="A31" s="231">
        <v>27</v>
      </c>
      <c r="B31" s="135" t="str">
        <f t="shared" si="0"/>
        <v/>
      </c>
      <c r="C31" s="64"/>
      <c r="D31" s="136" t="str">
        <f>IF($C31="","",IFERROR(_xlfn.XLOOKUP($C31,'07. BIA'!$B$6:$B$285,'07. BIA'!$E$6:$E$285,""),""))</f>
        <v/>
      </c>
      <c r="E31" s="136" t="str">
        <f>IF($C31="","",IFERROR(_xlfn.XLOOKUP($C31,'07. BIA'!$B$6:$B$285,'07. BIA'!$F$6:$F$285,""),""))</f>
        <v/>
      </c>
      <c r="F31" s="79"/>
      <c r="G31" s="79"/>
      <c r="H31" s="81"/>
      <c r="I31" s="84"/>
      <c r="J31" s="49"/>
      <c r="K31" s="64"/>
      <c r="L31" s="49"/>
      <c r="M31" s="232"/>
    </row>
    <row r="32" spans="1:13" ht="15" customHeight="1" x14ac:dyDescent="0.35">
      <c r="A32" s="231">
        <v>28</v>
      </c>
      <c r="B32" s="135" t="str">
        <f t="shared" si="0"/>
        <v/>
      </c>
      <c r="C32" s="64"/>
      <c r="D32" s="136" t="str">
        <f>IF($C32="","",IFERROR(_xlfn.XLOOKUP($C32,'07. BIA'!$B$6:$B$285,'07. BIA'!$E$6:$E$285,""),""))</f>
        <v/>
      </c>
      <c r="E32" s="136" t="str">
        <f>IF($C32="","",IFERROR(_xlfn.XLOOKUP($C32,'07. BIA'!$B$6:$B$285,'07. BIA'!$F$6:$F$285,""),""))</f>
        <v/>
      </c>
      <c r="F32" s="79"/>
      <c r="G32" s="79"/>
      <c r="H32" s="81"/>
      <c r="I32" s="84"/>
      <c r="J32" s="49"/>
      <c r="K32" s="64"/>
      <c r="L32" s="49"/>
      <c r="M32" s="232"/>
    </row>
    <row r="33" spans="1:13" ht="15" customHeight="1" x14ac:dyDescent="0.35">
      <c r="A33" s="231">
        <v>29</v>
      </c>
      <c r="B33" s="135" t="str">
        <f t="shared" si="0"/>
        <v/>
      </c>
      <c r="C33" s="64"/>
      <c r="D33" s="136" t="str">
        <f>IF($C33="","",IFERROR(_xlfn.XLOOKUP($C33,'07. BIA'!$B$6:$B$285,'07. BIA'!$E$6:$E$285,""),""))</f>
        <v/>
      </c>
      <c r="E33" s="136" t="str">
        <f>IF($C33="","",IFERROR(_xlfn.XLOOKUP($C33,'07. BIA'!$B$6:$B$285,'07. BIA'!$F$6:$F$285,""),""))</f>
        <v/>
      </c>
      <c r="F33" s="79"/>
      <c r="G33" s="79"/>
      <c r="H33" s="81"/>
      <c r="I33" s="84"/>
      <c r="J33" s="49"/>
      <c r="K33" s="64"/>
      <c r="L33" s="49"/>
      <c r="M33" s="232"/>
    </row>
    <row r="34" spans="1:13" ht="15" customHeight="1" x14ac:dyDescent="0.35">
      <c r="A34" s="231">
        <v>30</v>
      </c>
      <c r="B34" s="135" t="str">
        <f t="shared" si="0"/>
        <v/>
      </c>
      <c r="C34" s="64"/>
      <c r="D34" s="136" t="str">
        <f>IF($C34="","",IFERROR(_xlfn.XLOOKUP($C34,'07. BIA'!$B$6:$B$285,'07. BIA'!$E$6:$E$285,""),""))</f>
        <v/>
      </c>
      <c r="E34" s="136" t="str">
        <f>IF($C34="","",IFERROR(_xlfn.XLOOKUP($C34,'07. BIA'!$B$6:$B$285,'07. BIA'!$F$6:$F$285,""),""))</f>
        <v/>
      </c>
      <c r="F34" s="79"/>
      <c r="G34" s="79"/>
      <c r="H34" s="81"/>
      <c r="I34" s="84"/>
      <c r="J34" s="49"/>
      <c r="K34" s="64"/>
      <c r="L34" s="49"/>
      <c r="M34" s="232"/>
    </row>
    <row r="35" spans="1:13" ht="21.75" customHeight="1" x14ac:dyDescent="0.35">
      <c r="A35" s="231">
        <v>31</v>
      </c>
      <c r="B35" s="135" t="str">
        <f t="shared" si="0"/>
        <v/>
      </c>
      <c r="C35" s="64"/>
      <c r="D35" s="136" t="str">
        <f>IF($C35="","",IFERROR(_xlfn.XLOOKUP($C35,'07. BIA'!$B$6:$B$285,'07. BIA'!$E$6:$E$285,""),""))</f>
        <v/>
      </c>
      <c r="E35" s="136" t="str">
        <f>IF($C35="","",IFERROR(_xlfn.XLOOKUP($C35,'07. BIA'!$B$6:$B$285,'07. BIA'!$F$6:$F$285,""),""))</f>
        <v/>
      </c>
      <c r="F35" s="79"/>
      <c r="G35" s="79"/>
      <c r="H35" s="81"/>
      <c r="I35" s="84"/>
      <c r="J35" s="49"/>
      <c r="K35" s="64"/>
      <c r="L35" s="49"/>
      <c r="M35" s="232"/>
    </row>
    <row r="36" spans="1:13" ht="21.75" customHeight="1" x14ac:dyDescent="0.35">
      <c r="A36" s="231">
        <v>32</v>
      </c>
      <c r="B36" s="135" t="str">
        <f t="shared" si="0"/>
        <v/>
      </c>
      <c r="C36" s="64"/>
      <c r="D36" s="136" t="str">
        <f>IF($C36="","",IFERROR(_xlfn.XLOOKUP($C36,'07. BIA'!$B$6:$B$285,'07. BIA'!$E$6:$E$285,""),""))</f>
        <v/>
      </c>
      <c r="E36" s="136" t="str">
        <f>IF($C36="","",IFERROR(_xlfn.XLOOKUP($C36,'07. BIA'!$B$6:$B$285,'07. BIA'!$F$6:$F$285,""),""))</f>
        <v/>
      </c>
      <c r="F36" s="79"/>
      <c r="G36" s="79"/>
      <c r="H36" s="81"/>
      <c r="I36" s="84"/>
      <c r="J36" s="49"/>
      <c r="K36" s="64"/>
      <c r="L36" s="49"/>
      <c r="M36" s="232"/>
    </row>
    <row r="37" spans="1:13" ht="15" customHeight="1" x14ac:dyDescent="0.35">
      <c r="A37" s="231">
        <v>33</v>
      </c>
      <c r="B37" s="135" t="str">
        <f t="shared" ref="B37:B68" si="1">IF($I37="","","DEP-"&amp;TEXT($A37,"000"))</f>
        <v/>
      </c>
      <c r="C37" s="64"/>
      <c r="D37" s="136" t="str">
        <f>IF($C37="","",IFERROR(_xlfn.XLOOKUP($C37,'07. BIA'!$B$6:$B$285,'07. BIA'!$E$6:$E$285,""),""))</f>
        <v/>
      </c>
      <c r="E37" s="136" t="str">
        <f>IF($C37="","",IFERROR(_xlfn.XLOOKUP($C37,'07. BIA'!$B$6:$B$285,'07. BIA'!$F$6:$F$285,""),""))</f>
        <v/>
      </c>
      <c r="F37" s="79"/>
      <c r="G37" s="79"/>
      <c r="H37" s="81"/>
      <c r="I37" s="84"/>
      <c r="J37" s="49"/>
      <c r="K37" s="64"/>
      <c r="L37" s="49"/>
      <c r="M37" s="232"/>
    </row>
    <row r="38" spans="1:13" ht="15" customHeight="1" x14ac:dyDescent="0.35">
      <c r="A38" s="231">
        <v>34</v>
      </c>
      <c r="B38" s="135" t="str">
        <f t="shared" si="1"/>
        <v/>
      </c>
      <c r="C38" s="64"/>
      <c r="D38" s="136" t="str">
        <f>IF($C38="","",IFERROR(_xlfn.XLOOKUP($C38,'07. BIA'!$B$6:$B$285,'07. BIA'!$E$6:$E$285,""),""))</f>
        <v/>
      </c>
      <c r="E38" s="136" t="str">
        <f>IF($C38="","",IFERROR(_xlfn.XLOOKUP($C38,'07. BIA'!$B$6:$B$285,'07. BIA'!$F$6:$F$285,""),""))</f>
        <v/>
      </c>
      <c r="F38" s="79"/>
      <c r="G38" s="79"/>
      <c r="H38" s="81"/>
      <c r="I38" s="84"/>
      <c r="J38" s="49"/>
      <c r="K38" s="64"/>
      <c r="L38" s="49"/>
      <c r="M38" s="232"/>
    </row>
    <row r="39" spans="1:13" ht="15" customHeight="1" x14ac:dyDescent="0.35">
      <c r="A39" s="231">
        <v>35</v>
      </c>
      <c r="B39" s="135" t="str">
        <f t="shared" si="1"/>
        <v/>
      </c>
      <c r="C39" s="64"/>
      <c r="D39" s="136" t="str">
        <f>IF($C39="","",IFERROR(_xlfn.XLOOKUP($C39,'07. BIA'!$B$6:$B$285,'07. BIA'!$E$6:$E$285,""),""))</f>
        <v/>
      </c>
      <c r="E39" s="136" t="str">
        <f>IF($C39="","",IFERROR(_xlfn.XLOOKUP($C39,'07. BIA'!$B$6:$B$285,'07. BIA'!$F$6:$F$285,""),""))</f>
        <v/>
      </c>
      <c r="F39" s="79"/>
      <c r="G39" s="79"/>
      <c r="H39" s="81"/>
      <c r="I39" s="84"/>
      <c r="J39" s="49"/>
      <c r="K39" s="64"/>
      <c r="L39" s="49"/>
      <c r="M39" s="232"/>
    </row>
    <row r="40" spans="1:13" ht="15" customHeight="1" x14ac:dyDescent="0.35">
      <c r="A40" s="231">
        <v>36</v>
      </c>
      <c r="B40" s="135" t="str">
        <f t="shared" si="1"/>
        <v/>
      </c>
      <c r="C40" s="64"/>
      <c r="D40" s="136" t="str">
        <f>IF($C40="","",IFERROR(_xlfn.XLOOKUP($C40,'07. BIA'!$B$6:$B$285,'07. BIA'!$E$6:$E$285,""),""))</f>
        <v/>
      </c>
      <c r="E40" s="136" t="str">
        <f>IF($C40="","",IFERROR(_xlfn.XLOOKUP($C40,'07. BIA'!$B$6:$B$285,'07. BIA'!$F$6:$F$285,""),""))</f>
        <v/>
      </c>
      <c r="F40" s="79"/>
      <c r="G40" s="79"/>
      <c r="H40" s="81"/>
      <c r="I40" s="84"/>
      <c r="J40" s="49"/>
      <c r="K40" s="64"/>
      <c r="L40" s="49"/>
      <c r="M40" s="232"/>
    </row>
    <row r="41" spans="1:13" ht="21.75" customHeight="1" x14ac:dyDescent="0.35">
      <c r="A41" s="231">
        <v>37</v>
      </c>
      <c r="B41" s="135" t="str">
        <f t="shared" si="1"/>
        <v/>
      </c>
      <c r="C41" s="64"/>
      <c r="D41" s="136" t="str">
        <f>IF($C41="","",IFERROR(_xlfn.XLOOKUP($C41,'07. BIA'!$B$6:$B$285,'07. BIA'!$E$6:$E$285,""),""))</f>
        <v/>
      </c>
      <c r="E41" s="136" t="str">
        <f>IF($C41="","",IFERROR(_xlfn.XLOOKUP($C41,'07. BIA'!$B$6:$B$285,'07. BIA'!$F$6:$F$285,""),""))</f>
        <v/>
      </c>
      <c r="F41" s="79"/>
      <c r="G41" s="79"/>
      <c r="H41" s="81"/>
      <c r="I41" s="84"/>
      <c r="J41" s="49"/>
      <c r="K41" s="64"/>
      <c r="L41" s="49"/>
      <c r="M41" s="232"/>
    </row>
    <row r="42" spans="1:13" ht="21.75" customHeight="1" x14ac:dyDescent="0.35">
      <c r="A42" s="231">
        <v>38</v>
      </c>
      <c r="B42" s="135" t="str">
        <f t="shared" si="1"/>
        <v/>
      </c>
      <c r="C42" s="64"/>
      <c r="D42" s="136" t="str">
        <f>IF($C42="","",IFERROR(_xlfn.XLOOKUP($C42,'07. BIA'!$B$6:$B$285,'07. BIA'!$E$6:$E$285,""),""))</f>
        <v/>
      </c>
      <c r="E42" s="136" t="str">
        <f>IF($C42="","",IFERROR(_xlfn.XLOOKUP($C42,'07. BIA'!$B$6:$B$285,'07. BIA'!$F$6:$F$285,""),""))</f>
        <v/>
      </c>
      <c r="F42" s="79"/>
      <c r="G42" s="79"/>
      <c r="H42" s="81"/>
      <c r="I42" s="84"/>
      <c r="J42" s="49"/>
      <c r="K42" s="64"/>
      <c r="L42" s="49"/>
      <c r="M42" s="232"/>
    </row>
    <row r="43" spans="1:13" ht="15" customHeight="1" x14ac:dyDescent="0.35">
      <c r="A43" s="231">
        <v>39</v>
      </c>
      <c r="B43" s="135" t="str">
        <f t="shared" si="1"/>
        <v/>
      </c>
      <c r="C43" s="64"/>
      <c r="D43" s="136" t="str">
        <f>IF($C43="","",IFERROR(_xlfn.XLOOKUP($C43,'07. BIA'!$B$6:$B$285,'07. BIA'!$E$6:$E$285,""),""))</f>
        <v/>
      </c>
      <c r="E43" s="136" t="str">
        <f>IF($C43="","",IFERROR(_xlfn.XLOOKUP($C43,'07. BIA'!$B$6:$B$285,'07. BIA'!$F$6:$F$285,""),""))</f>
        <v/>
      </c>
      <c r="F43" s="79"/>
      <c r="G43" s="79"/>
      <c r="H43" s="79"/>
      <c r="I43" s="83"/>
      <c r="J43" s="49"/>
      <c r="K43" s="64"/>
      <c r="L43" s="49"/>
      <c r="M43" s="232"/>
    </row>
    <row r="44" spans="1:13" ht="21.75" customHeight="1" x14ac:dyDescent="0.35">
      <c r="A44" s="231">
        <v>40</v>
      </c>
      <c r="B44" s="135" t="str">
        <f t="shared" si="1"/>
        <v/>
      </c>
      <c r="C44" s="64"/>
      <c r="D44" s="136" t="str">
        <f>IF($C44="","",IFERROR(_xlfn.XLOOKUP($C44,'07. BIA'!$B$6:$B$285,'07. BIA'!$E$6:$E$285,""),""))</f>
        <v/>
      </c>
      <c r="E44" s="136" t="str">
        <f>IF($C44="","",IFERROR(_xlfn.XLOOKUP($C44,'07. BIA'!$B$6:$B$285,'07. BIA'!$F$6:$F$285,""),""))</f>
        <v/>
      </c>
      <c r="F44" s="79"/>
      <c r="G44" s="79"/>
      <c r="H44" s="79"/>
      <c r="I44" s="83"/>
      <c r="J44" s="49"/>
      <c r="K44" s="64"/>
      <c r="L44" s="49"/>
      <c r="M44" s="232"/>
    </row>
    <row r="45" spans="1:13" ht="15" customHeight="1" x14ac:dyDescent="0.35">
      <c r="A45" s="231">
        <v>41</v>
      </c>
      <c r="B45" s="135" t="str">
        <f t="shared" si="1"/>
        <v/>
      </c>
      <c r="C45" s="78"/>
      <c r="D45" s="136" t="str">
        <f>IF($C45="","",IFERROR(_xlfn.XLOOKUP($C45,'07. BIA'!$B$6:$B$285,'07. BIA'!$E$6:$E$285,""),""))</f>
        <v/>
      </c>
      <c r="E45" s="136" t="str">
        <f>IF($C45="","",IFERROR(_xlfn.XLOOKUP($C45,'07. BIA'!$B$6:$B$285,'07. BIA'!$F$6:$F$285,""),""))</f>
        <v/>
      </c>
      <c r="F45" s="82"/>
      <c r="G45" s="79"/>
      <c r="H45" s="82"/>
      <c r="I45" s="83"/>
      <c r="J45" s="49"/>
      <c r="K45" s="78"/>
      <c r="L45" s="49"/>
      <c r="M45" s="232"/>
    </row>
    <row r="46" spans="1:13" ht="15" customHeight="1" x14ac:dyDescent="0.35">
      <c r="A46" s="231">
        <v>42</v>
      </c>
      <c r="B46" s="135" t="str">
        <f t="shared" si="1"/>
        <v/>
      </c>
      <c r="C46" s="78"/>
      <c r="D46" s="136" t="str">
        <f>IF($C46="","",IFERROR(_xlfn.XLOOKUP($C46,'07. BIA'!$B$6:$B$285,'07. BIA'!$E$6:$E$285,""),""))</f>
        <v/>
      </c>
      <c r="E46" s="136" t="str">
        <f>IF($C46="","",IFERROR(_xlfn.XLOOKUP($C46,'07. BIA'!$B$6:$B$285,'07. BIA'!$F$6:$F$285,""),""))</f>
        <v/>
      </c>
      <c r="F46" s="82"/>
      <c r="G46" s="79"/>
      <c r="H46" s="82"/>
      <c r="I46" s="83"/>
      <c r="J46" s="49"/>
      <c r="K46" s="78"/>
      <c r="L46" s="49"/>
      <c r="M46" s="232"/>
    </row>
    <row r="47" spans="1:13" ht="15" customHeight="1" x14ac:dyDescent="0.35">
      <c r="A47" s="231">
        <v>43</v>
      </c>
      <c r="B47" s="135" t="str">
        <f t="shared" si="1"/>
        <v/>
      </c>
      <c r="C47" s="78"/>
      <c r="D47" s="136" t="str">
        <f>IF($C47="","",IFERROR(_xlfn.XLOOKUP($C47,'07. BIA'!$B$6:$B$285,'07. BIA'!$E$6:$E$285,""),""))</f>
        <v/>
      </c>
      <c r="E47" s="136" t="str">
        <f>IF($C47="","",IFERROR(_xlfn.XLOOKUP($C47,'07. BIA'!$B$6:$B$285,'07. BIA'!$F$6:$F$285,""),""))</f>
        <v/>
      </c>
      <c r="F47" s="82"/>
      <c r="G47" s="79"/>
      <c r="H47" s="82"/>
      <c r="I47" s="83"/>
      <c r="J47" s="49"/>
      <c r="K47" s="78"/>
      <c r="L47" s="49"/>
      <c r="M47" s="232"/>
    </row>
    <row r="48" spans="1:13" ht="15" customHeight="1" x14ac:dyDescent="0.35">
      <c r="A48" s="231">
        <v>44</v>
      </c>
      <c r="B48" s="135" t="str">
        <f t="shared" si="1"/>
        <v/>
      </c>
      <c r="C48" s="78"/>
      <c r="D48" s="136" t="str">
        <f>IF($C48="","",IFERROR(_xlfn.XLOOKUP($C48,'07. BIA'!$B$6:$B$285,'07. BIA'!$E$6:$E$285,""),""))</f>
        <v/>
      </c>
      <c r="E48" s="136" t="str">
        <f>IF($C48="","",IFERROR(_xlfn.XLOOKUP($C48,'07. BIA'!$B$6:$B$285,'07. BIA'!$F$6:$F$285,""),""))</f>
        <v/>
      </c>
      <c r="F48" s="82"/>
      <c r="G48" s="79"/>
      <c r="H48" s="82"/>
      <c r="I48" s="83"/>
      <c r="J48" s="49"/>
      <c r="K48" s="78"/>
      <c r="L48" s="49"/>
      <c r="M48" s="232"/>
    </row>
    <row r="49" spans="1:13" ht="15" customHeight="1" x14ac:dyDescent="0.35">
      <c r="A49" s="231">
        <v>45</v>
      </c>
      <c r="B49" s="135" t="str">
        <f t="shared" si="1"/>
        <v/>
      </c>
      <c r="C49" s="78"/>
      <c r="D49" s="136" t="str">
        <f>IF($C49="","",IFERROR(_xlfn.XLOOKUP($C49,'07. BIA'!$B$6:$B$285,'07. BIA'!$E$6:$E$285,""),""))</f>
        <v/>
      </c>
      <c r="E49" s="136" t="str">
        <f>IF($C49="","",IFERROR(_xlfn.XLOOKUP($C49,'07. BIA'!$B$6:$B$285,'07. BIA'!$F$6:$F$285,""),""))</f>
        <v/>
      </c>
      <c r="F49" s="82"/>
      <c r="G49" s="79"/>
      <c r="H49" s="82"/>
      <c r="I49" s="83"/>
      <c r="J49" s="49"/>
      <c r="K49" s="78"/>
      <c r="L49" s="49"/>
      <c r="M49" s="232"/>
    </row>
    <row r="50" spans="1:13" ht="15" customHeight="1" x14ac:dyDescent="0.35">
      <c r="A50" s="231">
        <v>46</v>
      </c>
      <c r="B50" s="135" t="str">
        <f t="shared" si="1"/>
        <v/>
      </c>
      <c r="C50" s="78"/>
      <c r="D50" s="136" t="str">
        <f>IF($C50="","",IFERROR(_xlfn.XLOOKUP($C50,'07. BIA'!$B$6:$B$285,'07. BIA'!$E$6:$E$285,""),""))</f>
        <v/>
      </c>
      <c r="E50" s="136" t="str">
        <f>IF($C50="","",IFERROR(_xlfn.XLOOKUP($C50,'07. BIA'!$B$6:$B$285,'07. BIA'!$F$6:$F$285,""),""))</f>
        <v/>
      </c>
      <c r="F50" s="82"/>
      <c r="G50" s="79"/>
      <c r="H50" s="82"/>
      <c r="I50" s="83"/>
      <c r="J50" s="49"/>
      <c r="K50" s="78"/>
      <c r="L50" s="49"/>
      <c r="M50" s="232"/>
    </row>
    <row r="51" spans="1:13" ht="15" customHeight="1" x14ac:dyDescent="0.35">
      <c r="A51" s="231">
        <v>47</v>
      </c>
      <c r="B51" s="135" t="str">
        <f t="shared" si="1"/>
        <v/>
      </c>
      <c r="C51" s="78"/>
      <c r="D51" s="136" t="str">
        <f>IF($C51="","",IFERROR(_xlfn.XLOOKUP($C51,'07. BIA'!$B$6:$B$285,'07. BIA'!$E$6:$E$285,""),""))</f>
        <v/>
      </c>
      <c r="E51" s="136" t="str">
        <f>IF($C51="","",IFERROR(_xlfn.XLOOKUP($C51,'07. BIA'!$B$6:$B$285,'07. BIA'!$F$6:$F$285,""),""))</f>
        <v/>
      </c>
      <c r="F51" s="82"/>
      <c r="G51" s="79"/>
      <c r="H51" s="82"/>
      <c r="I51" s="83"/>
      <c r="J51" s="49"/>
      <c r="K51" s="78"/>
      <c r="L51" s="49"/>
      <c r="M51" s="232"/>
    </row>
    <row r="52" spans="1:13" ht="15" customHeight="1" x14ac:dyDescent="0.35">
      <c r="A52" s="231">
        <v>48</v>
      </c>
      <c r="B52" s="135" t="str">
        <f t="shared" si="1"/>
        <v/>
      </c>
      <c r="C52" s="78"/>
      <c r="D52" s="136" t="str">
        <f>IF($C52="","",IFERROR(_xlfn.XLOOKUP($C52,'07. BIA'!$B$6:$B$285,'07. BIA'!$E$6:$E$285,""),""))</f>
        <v/>
      </c>
      <c r="E52" s="136" t="str">
        <f>IF($C52="","",IFERROR(_xlfn.XLOOKUP($C52,'07. BIA'!$B$6:$B$285,'07. BIA'!$F$6:$F$285,""),""))</f>
        <v/>
      </c>
      <c r="F52" s="82"/>
      <c r="G52" s="79"/>
      <c r="H52" s="82"/>
      <c r="I52" s="83"/>
      <c r="J52" s="49"/>
      <c r="K52" s="78"/>
      <c r="L52" s="49"/>
      <c r="M52" s="232"/>
    </row>
    <row r="53" spans="1:13" ht="15" customHeight="1" x14ac:dyDescent="0.35">
      <c r="A53" s="231">
        <v>49</v>
      </c>
      <c r="B53" s="135" t="str">
        <f t="shared" si="1"/>
        <v/>
      </c>
      <c r="C53" s="78"/>
      <c r="D53" s="136" t="str">
        <f>IF($C53="","",IFERROR(_xlfn.XLOOKUP($C53,'07. BIA'!$B$6:$B$285,'07. BIA'!$E$6:$E$285,""),""))</f>
        <v/>
      </c>
      <c r="E53" s="136" t="str">
        <f>IF($C53="","",IFERROR(_xlfn.XLOOKUP($C53,'07. BIA'!$B$6:$B$285,'07. BIA'!$F$6:$F$285,""),""))</f>
        <v/>
      </c>
      <c r="F53" s="82"/>
      <c r="G53" s="79"/>
      <c r="H53" s="82"/>
      <c r="I53" s="83"/>
      <c r="J53" s="49"/>
      <c r="K53" s="78"/>
      <c r="L53" s="49"/>
      <c r="M53" s="232"/>
    </row>
    <row r="54" spans="1:13" ht="15" customHeight="1" x14ac:dyDescent="0.35">
      <c r="A54" s="231">
        <v>50</v>
      </c>
      <c r="B54" s="135" t="str">
        <f t="shared" si="1"/>
        <v/>
      </c>
      <c r="C54" s="78"/>
      <c r="D54" s="136" t="str">
        <f>IF($C54="","",IFERROR(_xlfn.XLOOKUP($C54,'07. BIA'!$B$6:$B$285,'07. BIA'!$E$6:$E$285,""),""))</f>
        <v/>
      </c>
      <c r="E54" s="136" t="str">
        <f>IF($C54="","",IFERROR(_xlfn.XLOOKUP($C54,'07. BIA'!$B$6:$B$285,'07. BIA'!$F$6:$F$285,""),""))</f>
        <v/>
      </c>
      <c r="F54" s="82"/>
      <c r="G54" s="79"/>
      <c r="H54" s="82"/>
      <c r="I54" s="83"/>
      <c r="J54" s="49"/>
      <c r="K54" s="78"/>
      <c r="L54" s="49"/>
      <c r="M54" s="232"/>
    </row>
    <row r="55" spans="1:13" ht="15" customHeight="1" x14ac:dyDescent="0.35">
      <c r="A55" s="231">
        <v>51</v>
      </c>
      <c r="B55" s="135" t="str">
        <f t="shared" si="1"/>
        <v/>
      </c>
      <c r="C55" s="78"/>
      <c r="D55" s="136" t="str">
        <f>IF($C55="","",IFERROR(_xlfn.XLOOKUP($C55,'07. BIA'!$B$6:$B$285,'07. BIA'!$E$6:$E$285,""),""))</f>
        <v/>
      </c>
      <c r="E55" s="136" t="str">
        <f>IF($C55="","",IFERROR(_xlfn.XLOOKUP($C55,'07. BIA'!$B$6:$B$285,'07. BIA'!$F$6:$F$285,""),""))</f>
        <v/>
      </c>
      <c r="F55" s="82"/>
      <c r="G55" s="79"/>
      <c r="H55" s="82"/>
      <c r="I55" s="83"/>
      <c r="J55" s="49"/>
      <c r="K55" s="78"/>
      <c r="L55" s="49"/>
      <c r="M55" s="232"/>
    </row>
    <row r="56" spans="1:13" ht="15" customHeight="1" x14ac:dyDescent="0.35">
      <c r="A56" s="231">
        <v>52</v>
      </c>
      <c r="B56" s="135" t="str">
        <f t="shared" si="1"/>
        <v/>
      </c>
      <c r="C56" s="78"/>
      <c r="D56" s="136" t="str">
        <f>IF($C56="","",IFERROR(_xlfn.XLOOKUP($C56,'07. BIA'!$B$6:$B$285,'07. BIA'!$E$6:$E$285,""),""))</f>
        <v/>
      </c>
      <c r="E56" s="136" t="str">
        <f>IF($C56="","",IFERROR(_xlfn.XLOOKUP($C56,'07. BIA'!$B$6:$B$285,'07. BIA'!$F$6:$F$285,""),""))</f>
        <v/>
      </c>
      <c r="F56" s="82"/>
      <c r="G56" s="79"/>
      <c r="H56" s="82"/>
      <c r="I56" s="83"/>
      <c r="J56" s="49"/>
      <c r="K56" s="78"/>
      <c r="L56" s="49"/>
      <c r="M56" s="232"/>
    </row>
    <row r="57" spans="1:13" ht="15" customHeight="1" x14ac:dyDescent="0.35">
      <c r="A57" s="231">
        <v>53</v>
      </c>
      <c r="B57" s="135" t="str">
        <f t="shared" si="1"/>
        <v/>
      </c>
      <c r="C57" s="78"/>
      <c r="D57" s="136" t="str">
        <f>IF($C57="","",IFERROR(_xlfn.XLOOKUP($C57,'07. BIA'!$B$6:$B$285,'07. BIA'!$E$6:$E$285,""),""))</f>
        <v/>
      </c>
      <c r="E57" s="136" t="str">
        <f>IF($C57="","",IFERROR(_xlfn.XLOOKUP($C57,'07. BIA'!$B$6:$B$285,'07. BIA'!$F$6:$F$285,""),""))</f>
        <v/>
      </c>
      <c r="F57" s="82"/>
      <c r="G57" s="79"/>
      <c r="H57" s="82"/>
      <c r="I57" s="83"/>
      <c r="J57" s="49"/>
      <c r="K57" s="78"/>
      <c r="L57" s="49"/>
      <c r="M57" s="232"/>
    </row>
    <row r="58" spans="1:13" ht="15" customHeight="1" x14ac:dyDescent="0.35">
      <c r="A58" s="231">
        <v>54</v>
      </c>
      <c r="B58" s="135" t="str">
        <f t="shared" si="1"/>
        <v/>
      </c>
      <c r="C58" s="78"/>
      <c r="D58" s="136" t="str">
        <f>IF($C58="","",IFERROR(_xlfn.XLOOKUP($C58,'07. BIA'!$B$6:$B$285,'07. BIA'!$E$6:$E$285,""),""))</f>
        <v/>
      </c>
      <c r="E58" s="136" t="str">
        <f>IF($C58="","",IFERROR(_xlfn.XLOOKUP($C58,'07. BIA'!$B$6:$B$285,'07. BIA'!$F$6:$F$285,""),""))</f>
        <v/>
      </c>
      <c r="F58" s="82"/>
      <c r="G58" s="79"/>
      <c r="H58" s="82"/>
      <c r="I58" s="83"/>
      <c r="J58" s="49"/>
      <c r="K58" s="78"/>
      <c r="L58" s="49"/>
      <c r="M58" s="232"/>
    </row>
    <row r="59" spans="1:13" ht="15" customHeight="1" x14ac:dyDescent="0.35">
      <c r="A59" s="231">
        <v>55</v>
      </c>
      <c r="B59" s="135" t="str">
        <f t="shared" si="1"/>
        <v/>
      </c>
      <c r="C59" s="78"/>
      <c r="D59" s="136" t="str">
        <f>IF($C59="","",IFERROR(_xlfn.XLOOKUP($C59,'07. BIA'!$B$6:$B$285,'07. BIA'!$E$6:$E$285,""),""))</f>
        <v/>
      </c>
      <c r="E59" s="136" t="str">
        <f>IF($C59="","",IFERROR(_xlfn.XLOOKUP($C59,'07. BIA'!$B$6:$B$285,'07. BIA'!$F$6:$F$285,""),""))</f>
        <v/>
      </c>
      <c r="F59" s="82"/>
      <c r="G59" s="79"/>
      <c r="H59" s="82"/>
      <c r="I59" s="83"/>
      <c r="J59" s="49"/>
      <c r="K59" s="78"/>
      <c r="L59" s="49"/>
      <c r="M59" s="232"/>
    </row>
    <row r="60" spans="1:13" ht="15" customHeight="1" x14ac:dyDescent="0.35">
      <c r="A60" s="231">
        <v>56</v>
      </c>
      <c r="B60" s="135" t="str">
        <f t="shared" si="1"/>
        <v/>
      </c>
      <c r="C60" s="78"/>
      <c r="D60" s="136" t="str">
        <f>IF($C60="","",IFERROR(_xlfn.XLOOKUP($C60,'07. BIA'!$B$6:$B$285,'07. BIA'!$E$6:$E$285,""),""))</f>
        <v/>
      </c>
      <c r="E60" s="136" t="str">
        <f>IF($C60="","",IFERROR(_xlfn.XLOOKUP($C60,'07. BIA'!$B$6:$B$285,'07. BIA'!$F$6:$F$285,""),""))</f>
        <v/>
      </c>
      <c r="F60" s="82"/>
      <c r="G60" s="79"/>
      <c r="H60" s="82"/>
      <c r="I60" s="83"/>
      <c r="J60" s="49"/>
      <c r="K60" s="78"/>
      <c r="L60" s="49"/>
      <c r="M60" s="232"/>
    </row>
    <row r="61" spans="1:13" ht="15" customHeight="1" x14ac:dyDescent="0.35">
      <c r="A61" s="231">
        <v>57</v>
      </c>
      <c r="B61" s="135" t="str">
        <f t="shared" si="1"/>
        <v/>
      </c>
      <c r="C61" s="78"/>
      <c r="D61" s="136" t="str">
        <f>IF($C61="","",IFERROR(_xlfn.XLOOKUP($C61,'07. BIA'!$B$6:$B$285,'07. BIA'!$E$6:$E$285,""),""))</f>
        <v/>
      </c>
      <c r="E61" s="136" t="str">
        <f>IF($C61="","",IFERROR(_xlfn.XLOOKUP($C61,'07. BIA'!$B$6:$B$285,'07. BIA'!$F$6:$F$285,""),""))</f>
        <v/>
      </c>
      <c r="F61" s="82"/>
      <c r="G61" s="79"/>
      <c r="H61" s="82"/>
      <c r="I61" s="83"/>
      <c r="J61" s="49"/>
      <c r="K61" s="78"/>
      <c r="L61" s="49"/>
      <c r="M61" s="232"/>
    </row>
    <row r="62" spans="1:13" ht="15" customHeight="1" x14ac:dyDescent="0.35">
      <c r="A62" s="231">
        <v>58</v>
      </c>
      <c r="B62" s="135" t="str">
        <f t="shared" si="1"/>
        <v/>
      </c>
      <c r="C62" s="78"/>
      <c r="D62" s="136" t="str">
        <f>IF($C62="","",IFERROR(_xlfn.XLOOKUP($C62,'07. BIA'!$B$6:$B$285,'07. BIA'!$E$6:$E$285,""),""))</f>
        <v/>
      </c>
      <c r="E62" s="136" t="str">
        <f>IF($C62="","",IFERROR(_xlfn.XLOOKUP($C62,'07. BIA'!$B$6:$B$285,'07. BIA'!$F$6:$F$285,""),""))</f>
        <v/>
      </c>
      <c r="F62" s="82"/>
      <c r="G62" s="79"/>
      <c r="H62" s="82"/>
      <c r="I62" s="83"/>
      <c r="J62" s="49"/>
      <c r="K62" s="78"/>
      <c r="L62" s="49"/>
      <c r="M62" s="232"/>
    </row>
    <row r="63" spans="1:13" ht="15" customHeight="1" x14ac:dyDescent="0.35">
      <c r="A63" s="231">
        <v>59</v>
      </c>
      <c r="B63" s="135" t="str">
        <f t="shared" si="1"/>
        <v/>
      </c>
      <c r="C63" s="78"/>
      <c r="D63" s="136" t="str">
        <f>IF($C63="","",IFERROR(_xlfn.XLOOKUP($C63,'07. BIA'!$B$6:$B$285,'07. BIA'!$E$6:$E$285,""),""))</f>
        <v/>
      </c>
      <c r="E63" s="136" t="str">
        <f>IF($C63="","",IFERROR(_xlfn.XLOOKUP($C63,'07. BIA'!$B$6:$B$285,'07. BIA'!$F$6:$F$285,""),""))</f>
        <v/>
      </c>
      <c r="F63" s="82"/>
      <c r="G63" s="79"/>
      <c r="H63" s="82"/>
      <c r="I63" s="83"/>
      <c r="J63" s="49"/>
      <c r="K63" s="78"/>
      <c r="L63" s="49"/>
      <c r="M63" s="232"/>
    </row>
    <row r="64" spans="1:13" ht="15" customHeight="1" x14ac:dyDescent="0.35">
      <c r="A64" s="231">
        <v>60</v>
      </c>
      <c r="B64" s="135" t="str">
        <f t="shared" si="1"/>
        <v/>
      </c>
      <c r="C64" s="78"/>
      <c r="D64" s="136" t="str">
        <f>IF($C64="","",IFERROR(_xlfn.XLOOKUP($C64,'07. BIA'!$B$6:$B$285,'07. BIA'!$E$6:$E$285,""),""))</f>
        <v/>
      </c>
      <c r="E64" s="136" t="str">
        <f>IF($C64="","",IFERROR(_xlfn.XLOOKUP($C64,'07. BIA'!$B$6:$B$285,'07. BIA'!$F$6:$F$285,""),""))</f>
        <v/>
      </c>
      <c r="F64" s="82"/>
      <c r="G64" s="79"/>
      <c r="H64" s="82"/>
      <c r="I64" s="83"/>
      <c r="J64" s="49"/>
      <c r="K64" s="78"/>
      <c r="L64" s="49"/>
      <c r="M64" s="232"/>
    </row>
    <row r="65" spans="1:13" ht="15" customHeight="1" x14ac:dyDescent="0.35">
      <c r="A65" s="231">
        <v>61</v>
      </c>
      <c r="B65" s="135" t="str">
        <f t="shared" si="1"/>
        <v/>
      </c>
      <c r="C65" s="78"/>
      <c r="D65" s="136" t="str">
        <f>IF($C65="","",IFERROR(_xlfn.XLOOKUP($C65,'07. BIA'!$B$6:$B$285,'07. BIA'!$E$6:$E$285,""),""))</f>
        <v/>
      </c>
      <c r="E65" s="136" t="str">
        <f>IF($C65="","",IFERROR(_xlfn.XLOOKUP($C65,'07. BIA'!$B$6:$B$285,'07. BIA'!$F$6:$F$285,""),""))</f>
        <v/>
      </c>
      <c r="F65" s="82"/>
      <c r="G65" s="79"/>
      <c r="H65" s="82"/>
      <c r="I65" s="83"/>
      <c r="J65" s="49"/>
      <c r="K65" s="78"/>
      <c r="L65" s="49"/>
      <c r="M65" s="232"/>
    </row>
    <row r="66" spans="1:13" ht="15" customHeight="1" x14ac:dyDescent="0.35">
      <c r="A66" s="231">
        <v>62</v>
      </c>
      <c r="B66" s="135" t="str">
        <f t="shared" si="1"/>
        <v/>
      </c>
      <c r="C66" s="78"/>
      <c r="D66" s="136" t="str">
        <f>IF($C66="","",IFERROR(_xlfn.XLOOKUP($C66,'07. BIA'!$B$6:$B$285,'07. BIA'!$E$6:$E$285,""),""))</f>
        <v/>
      </c>
      <c r="E66" s="136" t="str">
        <f>IF($C66="","",IFERROR(_xlfn.XLOOKUP($C66,'07. BIA'!$B$6:$B$285,'07. BIA'!$F$6:$F$285,""),""))</f>
        <v/>
      </c>
      <c r="F66" s="82"/>
      <c r="G66" s="79"/>
      <c r="H66" s="82"/>
      <c r="I66" s="83"/>
      <c r="J66" s="49"/>
      <c r="K66" s="78"/>
      <c r="L66" s="49"/>
      <c r="M66" s="232"/>
    </row>
    <row r="67" spans="1:13" ht="15" customHeight="1" x14ac:dyDescent="0.35">
      <c r="A67" s="231">
        <v>63</v>
      </c>
      <c r="B67" s="135" t="str">
        <f t="shared" si="1"/>
        <v/>
      </c>
      <c r="C67" s="78"/>
      <c r="D67" s="136" t="str">
        <f>IF($C67="","",IFERROR(_xlfn.XLOOKUP($C67,'07. BIA'!$B$6:$B$285,'07. BIA'!$E$6:$E$285,""),""))</f>
        <v/>
      </c>
      <c r="E67" s="136" t="str">
        <f>IF($C67="","",IFERROR(_xlfn.XLOOKUP($C67,'07. BIA'!$B$6:$B$285,'07. BIA'!$F$6:$F$285,""),""))</f>
        <v/>
      </c>
      <c r="F67" s="82"/>
      <c r="G67" s="79"/>
      <c r="H67" s="82"/>
      <c r="I67" s="83"/>
      <c r="J67" s="49"/>
      <c r="K67" s="78"/>
      <c r="L67" s="49"/>
      <c r="M67" s="232"/>
    </row>
    <row r="68" spans="1:13" ht="15" customHeight="1" x14ac:dyDescent="0.35">
      <c r="A68" s="231">
        <v>64</v>
      </c>
      <c r="B68" s="135" t="str">
        <f t="shared" si="1"/>
        <v/>
      </c>
      <c r="C68" s="78"/>
      <c r="D68" s="136" t="str">
        <f>IF($C68="","",IFERROR(_xlfn.XLOOKUP($C68,'07. BIA'!$B$6:$B$285,'07. BIA'!$E$6:$E$285,""),""))</f>
        <v/>
      </c>
      <c r="E68" s="136" t="str">
        <f>IF($C68="","",IFERROR(_xlfn.XLOOKUP($C68,'07. BIA'!$B$6:$B$285,'07. BIA'!$F$6:$F$285,""),""))</f>
        <v/>
      </c>
      <c r="F68" s="82"/>
      <c r="G68" s="79"/>
      <c r="H68" s="82"/>
      <c r="I68" s="83"/>
      <c r="J68" s="49"/>
      <c r="K68" s="78"/>
      <c r="L68" s="49"/>
      <c r="M68" s="232"/>
    </row>
    <row r="69" spans="1:13" ht="15" customHeight="1" x14ac:dyDescent="0.35">
      <c r="A69" s="231">
        <v>65</v>
      </c>
      <c r="B69" s="135" t="str">
        <f t="shared" ref="B69:B100" si="2">IF($I69="","","DEP-"&amp;TEXT($A69,"000"))</f>
        <v/>
      </c>
      <c r="C69" s="78"/>
      <c r="D69" s="136" t="str">
        <f>IF($C69="","",IFERROR(_xlfn.XLOOKUP($C69,'07. BIA'!$B$6:$B$285,'07. BIA'!$E$6:$E$285,""),""))</f>
        <v/>
      </c>
      <c r="E69" s="136" t="str">
        <f>IF($C69="","",IFERROR(_xlfn.XLOOKUP($C69,'07. BIA'!$B$6:$B$285,'07. BIA'!$F$6:$F$285,""),""))</f>
        <v/>
      </c>
      <c r="F69" s="82"/>
      <c r="G69" s="79"/>
      <c r="H69" s="82"/>
      <c r="I69" s="83"/>
      <c r="J69" s="49"/>
      <c r="K69" s="78"/>
      <c r="L69" s="49"/>
      <c r="M69" s="232"/>
    </row>
    <row r="70" spans="1:13" ht="15" customHeight="1" x14ac:dyDescent="0.35">
      <c r="A70" s="231">
        <v>66</v>
      </c>
      <c r="B70" s="135" t="str">
        <f t="shared" si="2"/>
        <v/>
      </c>
      <c r="C70" s="78"/>
      <c r="D70" s="136" t="str">
        <f>IF($C70="","",IFERROR(_xlfn.XLOOKUP($C70,'07. BIA'!$B$6:$B$285,'07. BIA'!$E$6:$E$285,""),""))</f>
        <v/>
      </c>
      <c r="E70" s="136" t="str">
        <f>IF($C70="","",IFERROR(_xlfn.XLOOKUP($C70,'07. BIA'!$B$6:$B$285,'07. BIA'!$F$6:$F$285,""),""))</f>
        <v/>
      </c>
      <c r="F70" s="82"/>
      <c r="G70" s="79"/>
      <c r="H70" s="82"/>
      <c r="I70" s="83"/>
      <c r="J70" s="49"/>
      <c r="K70" s="78"/>
      <c r="L70" s="49"/>
      <c r="M70" s="232"/>
    </row>
    <row r="71" spans="1:13" ht="15" customHeight="1" x14ac:dyDescent="0.35">
      <c r="A71" s="231">
        <v>67</v>
      </c>
      <c r="B71" s="135" t="str">
        <f t="shared" si="2"/>
        <v/>
      </c>
      <c r="C71" s="78"/>
      <c r="D71" s="136" t="str">
        <f>IF($C71="","",IFERROR(_xlfn.XLOOKUP($C71,'07. BIA'!$B$6:$B$285,'07. BIA'!$E$6:$E$285,""),""))</f>
        <v/>
      </c>
      <c r="E71" s="136" t="str">
        <f>IF($C71="","",IFERROR(_xlfn.XLOOKUP($C71,'07. BIA'!$B$6:$B$285,'07. BIA'!$F$6:$F$285,""),""))</f>
        <v/>
      </c>
      <c r="F71" s="82"/>
      <c r="G71" s="79"/>
      <c r="H71" s="82"/>
      <c r="I71" s="83"/>
      <c r="J71" s="49"/>
      <c r="K71" s="78"/>
      <c r="L71" s="49"/>
      <c r="M71" s="232"/>
    </row>
    <row r="72" spans="1:13" ht="15" customHeight="1" x14ac:dyDescent="0.35">
      <c r="A72" s="231">
        <v>68</v>
      </c>
      <c r="B72" s="135" t="str">
        <f t="shared" si="2"/>
        <v/>
      </c>
      <c r="C72" s="78"/>
      <c r="D72" s="136" t="str">
        <f>IF($C72="","",IFERROR(_xlfn.XLOOKUP($C72,'07. BIA'!$B$6:$B$285,'07. BIA'!$E$6:$E$285,""),""))</f>
        <v/>
      </c>
      <c r="E72" s="136" t="str">
        <f>IF($C72="","",IFERROR(_xlfn.XLOOKUP($C72,'07. BIA'!$B$6:$B$285,'07. BIA'!$F$6:$F$285,""),""))</f>
        <v/>
      </c>
      <c r="F72" s="82"/>
      <c r="G72" s="79"/>
      <c r="H72" s="82"/>
      <c r="I72" s="83"/>
      <c r="J72" s="49"/>
      <c r="K72" s="78"/>
      <c r="L72" s="49"/>
      <c r="M72" s="232"/>
    </row>
    <row r="73" spans="1:13" ht="15" customHeight="1" x14ac:dyDescent="0.35">
      <c r="A73" s="231">
        <v>69</v>
      </c>
      <c r="B73" s="135" t="str">
        <f t="shared" si="2"/>
        <v/>
      </c>
      <c r="C73" s="78"/>
      <c r="D73" s="136" t="str">
        <f>IF($C73="","",IFERROR(_xlfn.XLOOKUP($C73,'07. BIA'!$B$6:$B$285,'07. BIA'!$E$6:$E$285,""),""))</f>
        <v/>
      </c>
      <c r="E73" s="136" t="str">
        <f>IF($C73="","",IFERROR(_xlfn.XLOOKUP($C73,'07. BIA'!$B$6:$B$285,'07. BIA'!$F$6:$F$285,""),""))</f>
        <v/>
      </c>
      <c r="F73" s="82"/>
      <c r="G73" s="79"/>
      <c r="H73" s="82"/>
      <c r="I73" s="83"/>
      <c r="J73" s="49"/>
      <c r="K73" s="78"/>
      <c r="L73" s="49"/>
      <c r="M73" s="232"/>
    </row>
    <row r="74" spans="1:13" ht="15" customHeight="1" x14ac:dyDescent="0.35">
      <c r="A74" s="231">
        <v>70</v>
      </c>
      <c r="B74" s="135" t="str">
        <f t="shared" si="2"/>
        <v/>
      </c>
      <c r="C74" s="78"/>
      <c r="D74" s="136" t="str">
        <f>IF($C74="","",IFERROR(_xlfn.XLOOKUP($C74,'07. BIA'!$B$6:$B$285,'07. BIA'!$E$6:$E$285,""),""))</f>
        <v/>
      </c>
      <c r="E74" s="136" t="str">
        <f>IF($C74="","",IFERROR(_xlfn.XLOOKUP($C74,'07. BIA'!$B$6:$B$285,'07. BIA'!$F$6:$F$285,""),""))</f>
        <v/>
      </c>
      <c r="F74" s="82"/>
      <c r="G74" s="79"/>
      <c r="H74" s="82"/>
      <c r="I74" s="83"/>
      <c r="J74" s="49"/>
      <c r="K74" s="78"/>
      <c r="L74" s="49"/>
      <c r="M74" s="232"/>
    </row>
    <row r="75" spans="1:13" ht="15" customHeight="1" x14ac:dyDescent="0.35">
      <c r="A75" s="231">
        <v>71</v>
      </c>
      <c r="B75" s="135" t="str">
        <f t="shared" si="2"/>
        <v/>
      </c>
      <c r="C75" s="78"/>
      <c r="D75" s="136" t="str">
        <f>IF($C75="","",IFERROR(_xlfn.XLOOKUP($C75,'07. BIA'!$B$6:$B$285,'07. BIA'!$E$6:$E$285,""),""))</f>
        <v/>
      </c>
      <c r="E75" s="136" t="str">
        <f>IF($C75="","",IFERROR(_xlfn.XLOOKUP($C75,'07. BIA'!$B$6:$B$285,'07. BIA'!$F$6:$F$285,""),""))</f>
        <v/>
      </c>
      <c r="F75" s="82"/>
      <c r="G75" s="79"/>
      <c r="H75" s="82"/>
      <c r="I75" s="83"/>
      <c r="J75" s="49"/>
      <c r="K75" s="78"/>
      <c r="L75" s="49"/>
      <c r="M75" s="232"/>
    </row>
    <row r="76" spans="1:13" ht="15" customHeight="1" x14ac:dyDescent="0.35">
      <c r="A76" s="231">
        <v>72</v>
      </c>
      <c r="B76" s="135" t="str">
        <f t="shared" si="2"/>
        <v/>
      </c>
      <c r="C76" s="78"/>
      <c r="D76" s="136" t="str">
        <f>IF($C76="","",IFERROR(_xlfn.XLOOKUP($C76,'07. BIA'!$B$6:$B$285,'07. BIA'!$E$6:$E$285,""),""))</f>
        <v/>
      </c>
      <c r="E76" s="136" t="str">
        <f>IF($C76="","",IFERROR(_xlfn.XLOOKUP($C76,'07. BIA'!$B$6:$B$285,'07. BIA'!$F$6:$F$285,""),""))</f>
        <v/>
      </c>
      <c r="F76" s="82"/>
      <c r="G76" s="79"/>
      <c r="H76" s="82"/>
      <c r="I76" s="83"/>
      <c r="J76" s="49"/>
      <c r="K76" s="78"/>
      <c r="L76" s="49"/>
      <c r="M76" s="232"/>
    </row>
    <row r="77" spans="1:13" ht="15" customHeight="1" x14ac:dyDescent="0.35">
      <c r="A77" s="231">
        <v>73</v>
      </c>
      <c r="B77" s="135" t="str">
        <f t="shared" si="2"/>
        <v/>
      </c>
      <c r="C77" s="78"/>
      <c r="D77" s="136" t="str">
        <f>IF($C77="","",IFERROR(_xlfn.XLOOKUP($C77,'07. BIA'!$B$6:$B$285,'07. BIA'!$E$6:$E$285,""),""))</f>
        <v/>
      </c>
      <c r="E77" s="136" t="str">
        <f>IF($C77="","",IFERROR(_xlfn.XLOOKUP($C77,'07. BIA'!$B$6:$B$285,'07. BIA'!$F$6:$F$285,""),""))</f>
        <v/>
      </c>
      <c r="F77" s="82"/>
      <c r="G77" s="79"/>
      <c r="H77" s="82"/>
      <c r="I77" s="83"/>
      <c r="J77" s="49"/>
      <c r="K77" s="78"/>
      <c r="L77" s="49"/>
      <c r="M77" s="232"/>
    </row>
    <row r="78" spans="1:13" ht="15" customHeight="1" x14ac:dyDescent="0.35">
      <c r="A78" s="231">
        <v>74</v>
      </c>
      <c r="B78" s="135" t="str">
        <f t="shared" si="2"/>
        <v/>
      </c>
      <c r="C78" s="78"/>
      <c r="D78" s="136" t="str">
        <f>IF($C78="","",IFERROR(_xlfn.XLOOKUP($C78,'07. BIA'!$B$6:$B$285,'07. BIA'!$E$6:$E$285,""),""))</f>
        <v/>
      </c>
      <c r="E78" s="136" t="str">
        <f>IF($C78="","",IFERROR(_xlfn.XLOOKUP($C78,'07. BIA'!$B$6:$B$285,'07. BIA'!$F$6:$F$285,""),""))</f>
        <v/>
      </c>
      <c r="F78" s="82"/>
      <c r="G78" s="79"/>
      <c r="H78" s="82"/>
      <c r="I78" s="83"/>
      <c r="J78" s="49"/>
      <c r="K78" s="78"/>
      <c r="L78" s="49"/>
      <c r="M78" s="232"/>
    </row>
    <row r="79" spans="1:13" ht="15" customHeight="1" x14ac:dyDescent="0.35">
      <c r="A79" s="231">
        <v>75</v>
      </c>
      <c r="B79" s="135" t="str">
        <f t="shared" si="2"/>
        <v/>
      </c>
      <c r="C79" s="78"/>
      <c r="D79" s="136" t="str">
        <f>IF($C79="","",IFERROR(_xlfn.XLOOKUP($C79,'07. BIA'!$B$6:$B$285,'07. BIA'!$E$6:$E$285,""),""))</f>
        <v/>
      </c>
      <c r="E79" s="136" t="str">
        <f>IF($C79="","",IFERROR(_xlfn.XLOOKUP($C79,'07. BIA'!$B$6:$B$285,'07. BIA'!$F$6:$F$285,""),""))</f>
        <v/>
      </c>
      <c r="F79" s="82"/>
      <c r="G79" s="79"/>
      <c r="H79" s="82"/>
      <c r="I79" s="83"/>
      <c r="J79" s="49"/>
      <c r="K79" s="78"/>
      <c r="L79" s="49"/>
      <c r="M79" s="232"/>
    </row>
    <row r="80" spans="1:13" ht="15" customHeight="1" x14ac:dyDescent="0.35">
      <c r="A80" s="231">
        <v>76</v>
      </c>
      <c r="B80" s="135" t="str">
        <f t="shared" si="2"/>
        <v/>
      </c>
      <c r="C80" s="78"/>
      <c r="D80" s="136" t="str">
        <f>IF($C80="","",IFERROR(_xlfn.XLOOKUP($C80,'07. BIA'!$B$6:$B$285,'07. BIA'!$E$6:$E$285,""),""))</f>
        <v/>
      </c>
      <c r="E80" s="136" t="str">
        <f>IF($C80="","",IFERROR(_xlfn.XLOOKUP($C80,'07. BIA'!$B$6:$B$285,'07. BIA'!$F$6:$F$285,""),""))</f>
        <v/>
      </c>
      <c r="F80" s="82"/>
      <c r="G80" s="79"/>
      <c r="H80" s="82"/>
      <c r="I80" s="83"/>
      <c r="J80" s="49"/>
      <c r="K80" s="78"/>
      <c r="L80" s="49"/>
      <c r="M80" s="232"/>
    </row>
    <row r="81" spans="1:13" ht="15" customHeight="1" x14ac:dyDescent="0.35">
      <c r="A81" s="231">
        <v>77</v>
      </c>
      <c r="B81" s="135" t="str">
        <f t="shared" si="2"/>
        <v/>
      </c>
      <c r="C81" s="78"/>
      <c r="D81" s="136" t="str">
        <f>IF($C81="","",IFERROR(_xlfn.XLOOKUP($C81,'07. BIA'!$B$6:$B$285,'07. BIA'!$E$6:$E$285,""),""))</f>
        <v/>
      </c>
      <c r="E81" s="136" t="str">
        <f>IF($C81="","",IFERROR(_xlfn.XLOOKUP($C81,'07. BIA'!$B$6:$B$285,'07. BIA'!$F$6:$F$285,""),""))</f>
        <v/>
      </c>
      <c r="F81" s="82"/>
      <c r="G81" s="79"/>
      <c r="H81" s="82"/>
      <c r="I81" s="83"/>
      <c r="J81" s="49"/>
      <c r="K81" s="78"/>
      <c r="L81" s="49"/>
      <c r="M81" s="232"/>
    </row>
    <row r="82" spans="1:13" ht="15" customHeight="1" x14ac:dyDescent="0.35">
      <c r="A82" s="231">
        <v>78</v>
      </c>
      <c r="B82" s="135" t="str">
        <f t="shared" si="2"/>
        <v/>
      </c>
      <c r="C82" s="78"/>
      <c r="D82" s="136" t="str">
        <f>IF($C82="","",IFERROR(_xlfn.XLOOKUP($C82,'07. BIA'!$B$6:$B$285,'07. BIA'!$E$6:$E$285,""),""))</f>
        <v/>
      </c>
      <c r="E82" s="136" t="str">
        <f>IF($C82="","",IFERROR(_xlfn.XLOOKUP($C82,'07. BIA'!$B$6:$B$285,'07. BIA'!$F$6:$F$285,""),""))</f>
        <v/>
      </c>
      <c r="F82" s="82"/>
      <c r="G82" s="79"/>
      <c r="H82" s="82"/>
      <c r="I82" s="83"/>
      <c r="J82" s="49"/>
      <c r="K82" s="78"/>
      <c r="L82" s="49"/>
      <c r="M82" s="232"/>
    </row>
    <row r="83" spans="1:13" ht="15" customHeight="1" x14ac:dyDescent="0.35">
      <c r="A83" s="231">
        <v>79</v>
      </c>
      <c r="B83" s="135" t="str">
        <f t="shared" si="2"/>
        <v/>
      </c>
      <c r="C83" s="78"/>
      <c r="D83" s="136" t="str">
        <f>IF($C83="","",IFERROR(_xlfn.XLOOKUP($C83,'07. BIA'!$B$6:$B$285,'07. BIA'!$E$6:$E$285,""),""))</f>
        <v/>
      </c>
      <c r="E83" s="136" t="str">
        <f>IF($C83="","",IFERROR(_xlfn.XLOOKUP($C83,'07. BIA'!$B$6:$B$285,'07. BIA'!$F$6:$F$285,""),""))</f>
        <v/>
      </c>
      <c r="F83" s="82"/>
      <c r="G83" s="79"/>
      <c r="H83" s="82"/>
      <c r="I83" s="83"/>
      <c r="J83" s="49"/>
      <c r="K83" s="78"/>
      <c r="L83" s="49"/>
      <c r="M83" s="232"/>
    </row>
    <row r="84" spans="1:13" ht="15" customHeight="1" x14ac:dyDescent="0.35">
      <c r="A84" s="231">
        <v>80</v>
      </c>
      <c r="B84" s="135" t="str">
        <f t="shared" si="2"/>
        <v/>
      </c>
      <c r="C84" s="78"/>
      <c r="D84" s="136" t="str">
        <f>IF($C84="","",IFERROR(_xlfn.XLOOKUP($C84,'07. BIA'!$B$6:$B$285,'07. BIA'!$E$6:$E$285,""),""))</f>
        <v/>
      </c>
      <c r="E84" s="136" t="str">
        <f>IF($C84="","",IFERROR(_xlfn.XLOOKUP($C84,'07. BIA'!$B$6:$B$285,'07. BIA'!$F$6:$F$285,""),""))</f>
        <v/>
      </c>
      <c r="F84" s="82"/>
      <c r="G84" s="79"/>
      <c r="H84" s="82"/>
      <c r="I84" s="83"/>
      <c r="J84" s="49"/>
      <c r="K84" s="78"/>
      <c r="L84" s="49"/>
      <c r="M84" s="232"/>
    </row>
    <row r="85" spans="1:13" ht="15" customHeight="1" x14ac:dyDescent="0.35">
      <c r="A85" s="231">
        <v>81</v>
      </c>
      <c r="B85" s="135" t="str">
        <f t="shared" si="2"/>
        <v/>
      </c>
      <c r="C85" s="78"/>
      <c r="D85" s="136" t="str">
        <f>IF($C85="","",IFERROR(_xlfn.XLOOKUP($C85,'07. BIA'!$B$6:$B$285,'07. BIA'!$E$6:$E$285,""),""))</f>
        <v/>
      </c>
      <c r="E85" s="136" t="str">
        <f>IF($C85="","",IFERROR(_xlfn.XLOOKUP($C85,'07. BIA'!$B$6:$B$285,'07. BIA'!$F$6:$F$285,""),""))</f>
        <v/>
      </c>
      <c r="F85" s="82"/>
      <c r="G85" s="79"/>
      <c r="H85" s="82"/>
      <c r="I85" s="83"/>
      <c r="J85" s="49"/>
      <c r="K85" s="78"/>
      <c r="L85" s="49"/>
      <c r="M85" s="232"/>
    </row>
    <row r="86" spans="1:13" ht="15" customHeight="1" x14ac:dyDescent="0.35">
      <c r="A86" s="231">
        <v>82</v>
      </c>
      <c r="B86" s="135" t="str">
        <f t="shared" si="2"/>
        <v/>
      </c>
      <c r="C86" s="78"/>
      <c r="D86" s="136" t="str">
        <f>IF($C86="","",IFERROR(_xlfn.XLOOKUP($C86,'07. BIA'!$B$6:$B$285,'07. BIA'!$E$6:$E$285,""),""))</f>
        <v/>
      </c>
      <c r="E86" s="136" t="str">
        <f>IF($C86="","",IFERROR(_xlfn.XLOOKUP($C86,'07. BIA'!$B$6:$B$285,'07. BIA'!$F$6:$F$285,""),""))</f>
        <v/>
      </c>
      <c r="F86" s="82"/>
      <c r="G86" s="79"/>
      <c r="H86" s="82"/>
      <c r="I86" s="83"/>
      <c r="J86" s="49"/>
      <c r="K86" s="78"/>
      <c r="L86" s="49"/>
      <c r="M86" s="232"/>
    </row>
    <row r="87" spans="1:13" ht="15" customHeight="1" x14ac:dyDescent="0.35">
      <c r="A87" s="231">
        <v>83</v>
      </c>
      <c r="B87" s="135" t="str">
        <f t="shared" si="2"/>
        <v/>
      </c>
      <c r="C87" s="78"/>
      <c r="D87" s="136" t="str">
        <f>IF($C87="","",IFERROR(_xlfn.XLOOKUP($C87,'07. BIA'!$B$6:$B$285,'07. BIA'!$E$6:$E$285,""),""))</f>
        <v/>
      </c>
      <c r="E87" s="136" t="str">
        <f>IF($C87="","",IFERROR(_xlfn.XLOOKUP($C87,'07. BIA'!$B$6:$B$285,'07. BIA'!$F$6:$F$285,""),""))</f>
        <v/>
      </c>
      <c r="F87" s="82"/>
      <c r="G87" s="79"/>
      <c r="H87" s="82"/>
      <c r="I87" s="83"/>
      <c r="J87" s="49"/>
      <c r="K87" s="78"/>
      <c r="L87" s="49"/>
      <c r="M87" s="232"/>
    </row>
    <row r="88" spans="1:13" ht="15" customHeight="1" x14ac:dyDescent="0.35">
      <c r="A88" s="231">
        <v>84</v>
      </c>
      <c r="B88" s="135" t="str">
        <f t="shared" si="2"/>
        <v/>
      </c>
      <c r="C88" s="78"/>
      <c r="D88" s="136" t="str">
        <f>IF($C88="","",IFERROR(_xlfn.XLOOKUP($C88,'07. BIA'!$B$6:$B$285,'07. BIA'!$E$6:$E$285,""),""))</f>
        <v/>
      </c>
      <c r="E88" s="136" t="str">
        <f>IF($C88="","",IFERROR(_xlfn.XLOOKUP($C88,'07. BIA'!$B$6:$B$285,'07. BIA'!$F$6:$F$285,""),""))</f>
        <v/>
      </c>
      <c r="F88" s="82"/>
      <c r="G88" s="79"/>
      <c r="H88" s="82"/>
      <c r="I88" s="83"/>
      <c r="J88" s="49"/>
      <c r="K88" s="78"/>
      <c r="L88" s="49"/>
      <c r="M88" s="232"/>
    </row>
    <row r="89" spans="1:13" ht="15" customHeight="1" x14ac:dyDescent="0.35">
      <c r="A89" s="231">
        <v>85</v>
      </c>
      <c r="B89" s="135" t="str">
        <f t="shared" si="2"/>
        <v/>
      </c>
      <c r="C89" s="78"/>
      <c r="D89" s="136" t="str">
        <f>IF($C89="","",IFERROR(_xlfn.XLOOKUP($C89,'07. BIA'!$B$6:$B$285,'07. BIA'!$E$6:$E$285,""),""))</f>
        <v/>
      </c>
      <c r="E89" s="136" t="str">
        <f>IF($C89="","",IFERROR(_xlfn.XLOOKUP($C89,'07. BIA'!$B$6:$B$285,'07. BIA'!$F$6:$F$285,""),""))</f>
        <v/>
      </c>
      <c r="F89" s="82"/>
      <c r="G89" s="79"/>
      <c r="H89" s="82"/>
      <c r="I89" s="83"/>
      <c r="J89" s="49"/>
      <c r="K89" s="78"/>
      <c r="L89" s="49"/>
      <c r="M89" s="232"/>
    </row>
    <row r="90" spans="1:13" ht="15" customHeight="1" x14ac:dyDescent="0.35">
      <c r="A90" s="231">
        <v>86</v>
      </c>
      <c r="B90" s="135" t="str">
        <f t="shared" si="2"/>
        <v/>
      </c>
      <c r="C90" s="78"/>
      <c r="D90" s="136" t="str">
        <f>IF($C90="","",IFERROR(_xlfn.XLOOKUP($C90,'07. BIA'!$B$6:$B$285,'07. BIA'!$E$6:$E$285,""),""))</f>
        <v/>
      </c>
      <c r="E90" s="136" t="str">
        <f>IF($C90="","",IFERROR(_xlfn.XLOOKUP($C90,'07. BIA'!$B$6:$B$285,'07. BIA'!$F$6:$F$285,""),""))</f>
        <v/>
      </c>
      <c r="F90" s="82"/>
      <c r="G90" s="79"/>
      <c r="H90" s="82"/>
      <c r="I90" s="83"/>
      <c r="J90" s="49"/>
      <c r="K90" s="78"/>
      <c r="L90" s="49"/>
      <c r="M90" s="232"/>
    </row>
    <row r="91" spans="1:13" ht="15" customHeight="1" x14ac:dyDescent="0.35">
      <c r="A91" s="231">
        <v>87</v>
      </c>
      <c r="B91" s="135" t="str">
        <f t="shared" si="2"/>
        <v/>
      </c>
      <c r="C91" s="78"/>
      <c r="D91" s="136" t="str">
        <f>IF($C91="","",IFERROR(_xlfn.XLOOKUP($C91,'07. BIA'!$B$6:$B$285,'07. BIA'!$E$6:$E$285,""),""))</f>
        <v/>
      </c>
      <c r="E91" s="136" t="str">
        <f>IF($C91="","",IFERROR(_xlfn.XLOOKUP($C91,'07. BIA'!$B$6:$B$285,'07. BIA'!$F$6:$F$285,""),""))</f>
        <v/>
      </c>
      <c r="F91" s="82"/>
      <c r="G91" s="79"/>
      <c r="H91" s="82"/>
      <c r="I91" s="83"/>
      <c r="J91" s="49"/>
      <c r="K91" s="78"/>
      <c r="L91" s="49"/>
      <c r="M91" s="232"/>
    </row>
    <row r="92" spans="1:13" ht="15" customHeight="1" x14ac:dyDescent="0.35">
      <c r="A92" s="231">
        <v>88</v>
      </c>
      <c r="B92" s="135" t="str">
        <f t="shared" si="2"/>
        <v/>
      </c>
      <c r="C92" s="78"/>
      <c r="D92" s="136" t="str">
        <f>IF($C92="","",IFERROR(_xlfn.XLOOKUP($C92,'07. BIA'!$B$6:$B$285,'07. BIA'!$E$6:$E$285,""),""))</f>
        <v/>
      </c>
      <c r="E92" s="136" t="str">
        <f>IF($C92="","",IFERROR(_xlfn.XLOOKUP($C92,'07. BIA'!$B$6:$B$285,'07. BIA'!$F$6:$F$285,""),""))</f>
        <v/>
      </c>
      <c r="F92" s="82"/>
      <c r="G92" s="79"/>
      <c r="H92" s="82"/>
      <c r="I92" s="83"/>
      <c r="J92" s="49"/>
      <c r="K92" s="78"/>
      <c r="L92" s="49"/>
      <c r="M92" s="232"/>
    </row>
    <row r="93" spans="1:13" ht="15" customHeight="1" x14ac:dyDescent="0.35">
      <c r="A93" s="231">
        <v>89</v>
      </c>
      <c r="B93" s="135" t="str">
        <f t="shared" si="2"/>
        <v/>
      </c>
      <c r="C93" s="78"/>
      <c r="D93" s="136" t="str">
        <f>IF($C93="","",IFERROR(_xlfn.XLOOKUP($C93,'07. BIA'!$B$6:$B$285,'07. BIA'!$E$6:$E$285,""),""))</f>
        <v/>
      </c>
      <c r="E93" s="136" t="str">
        <f>IF($C93="","",IFERROR(_xlfn.XLOOKUP($C93,'07. BIA'!$B$6:$B$285,'07. BIA'!$F$6:$F$285,""),""))</f>
        <v/>
      </c>
      <c r="F93" s="82"/>
      <c r="G93" s="79"/>
      <c r="H93" s="82"/>
      <c r="I93" s="83"/>
      <c r="J93" s="49"/>
      <c r="K93" s="78"/>
      <c r="L93" s="49"/>
      <c r="M93" s="232"/>
    </row>
    <row r="94" spans="1:13" ht="15" customHeight="1" x14ac:dyDescent="0.35">
      <c r="A94" s="231">
        <v>90</v>
      </c>
      <c r="B94" s="135" t="str">
        <f t="shared" si="2"/>
        <v/>
      </c>
      <c r="C94" s="78"/>
      <c r="D94" s="136" t="str">
        <f>IF($C94="","",IFERROR(_xlfn.XLOOKUP($C94,'07. BIA'!$B$6:$B$285,'07. BIA'!$E$6:$E$285,""),""))</f>
        <v/>
      </c>
      <c r="E94" s="136" t="str">
        <f>IF($C94="","",IFERROR(_xlfn.XLOOKUP($C94,'07. BIA'!$B$6:$B$285,'07. BIA'!$F$6:$F$285,""),""))</f>
        <v/>
      </c>
      <c r="F94" s="82"/>
      <c r="G94" s="79"/>
      <c r="H94" s="82"/>
      <c r="I94" s="83"/>
      <c r="J94" s="49"/>
      <c r="K94" s="78"/>
      <c r="L94" s="49"/>
      <c r="M94" s="232"/>
    </row>
    <row r="95" spans="1:13" ht="15" customHeight="1" x14ac:dyDescent="0.35">
      <c r="A95" s="231">
        <v>91</v>
      </c>
      <c r="B95" s="135" t="str">
        <f t="shared" si="2"/>
        <v/>
      </c>
      <c r="C95" s="78"/>
      <c r="D95" s="136" t="str">
        <f>IF($C95="","",IFERROR(_xlfn.XLOOKUP($C95,'07. BIA'!$B$6:$B$285,'07. BIA'!$E$6:$E$285,""),""))</f>
        <v/>
      </c>
      <c r="E95" s="136" t="str">
        <f>IF($C95="","",IFERROR(_xlfn.XLOOKUP($C95,'07. BIA'!$B$6:$B$285,'07. BIA'!$F$6:$F$285,""),""))</f>
        <v/>
      </c>
      <c r="F95" s="82"/>
      <c r="G95" s="79"/>
      <c r="H95" s="82"/>
      <c r="I95" s="83"/>
      <c r="J95" s="49"/>
      <c r="K95" s="78"/>
      <c r="L95" s="49"/>
      <c r="M95" s="232"/>
    </row>
    <row r="96" spans="1:13" ht="15" customHeight="1" x14ac:dyDescent="0.35">
      <c r="A96" s="231">
        <v>92</v>
      </c>
      <c r="B96" s="135" t="str">
        <f t="shared" si="2"/>
        <v/>
      </c>
      <c r="C96" s="78"/>
      <c r="D96" s="136" t="str">
        <f>IF($C96="","",IFERROR(_xlfn.XLOOKUP($C96,'07. BIA'!$B$6:$B$285,'07. BIA'!$E$6:$E$285,""),""))</f>
        <v/>
      </c>
      <c r="E96" s="136" t="str">
        <f>IF($C96="","",IFERROR(_xlfn.XLOOKUP($C96,'07. BIA'!$B$6:$B$285,'07. BIA'!$F$6:$F$285,""),""))</f>
        <v/>
      </c>
      <c r="F96" s="82"/>
      <c r="G96" s="79"/>
      <c r="H96" s="82"/>
      <c r="I96" s="83"/>
      <c r="J96" s="49"/>
      <c r="K96" s="78"/>
      <c r="L96" s="49"/>
      <c r="M96" s="232"/>
    </row>
    <row r="97" spans="1:13" ht="15" customHeight="1" x14ac:dyDescent="0.35">
      <c r="A97" s="231">
        <v>93</v>
      </c>
      <c r="B97" s="135" t="str">
        <f t="shared" si="2"/>
        <v/>
      </c>
      <c r="C97" s="78"/>
      <c r="D97" s="136" t="str">
        <f>IF($C97="","",IFERROR(_xlfn.XLOOKUP($C97,'07. BIA'!$B$6:$B$285,'07. BIA'!$E$6:$E$285,""),""))</f>
        <v/>
      </c>
      <c r="E97" s="136" t="str">
        <f>IF($C97="","",IFERROR(_xlfn.XLOOKUP($C97,'07. BIA'!$B$6:$B$285,'07. BIA'!$F$6:$F$285,""),""))</f>
        <v/>
      </c>
      <c r="F97" s="82"/>
      <c r="G97" s="79"/>
      <c r="H97" s="82"/>
      <c r="I97" s="83"/>
      <c r="J97" s="49"/>
      <c r="K97" s="78"/>
      <c r="L97" s="49"/>
      <c r="M97" s="232"/>
    </row>
    <row r="98" spans="1:13" ht="15" customHeight="1" x14ac:dyDescent="0.35">
      <c r="A98" s="231">
        <v>94</v>
      </c>
      <c r="B98" s="135" t="str">
        <f t="shared" si="2"/>
        <v/>
      </c>
      <c r="C98" s="78"/>
      <c r="D98" s="136" t="str">
        <f>IF($C98="","",IFERROR(_xlfn.XLOOKUP($C98,'07. BIA'!$B$6:$B$285,'07. BIA'!$E$6:$E$285,""),""))</f>
        <v/>
      </c>
      <c r="E98" s="136" t="str">
        <f>IF($C98="","",IFERROR(_xlfn.XLOOKUP($C98,'07. BIA'!$B$6:$B$285,'07. BIA'!$F$6:$F$285,""),""))</f>
        <v/>
      </c>
      <c r="F98" s="82"/>
      <c r="G98" s="79"/>
      <c r="H98" s="82"/>
      <c r="I98" s="83"/>
      <c r="J98" s="49"/>
      <c r="K98" s="78"/>
      <c r="L98" s="49"/>
      <c r="M98" s="232"/>
    </row>
    <row r="99" spans="1:13" ht="15" customHeight="1" x14ac:dyDescent="0.35">
      <c r="A99" s="231">
        <v>95</v>
      </c>
      <c r="B99" s="135" t="str">
        <f t="shared" si="2"/>
        <v/>
      </c>
      <c r="C99" s="78"/>
      <c r="D99" s="136" t="str">
        <f>IF($C99="","",IFERROR(_xlfn.XLOOKUP($C99,'07. BIA'!$B$6:$B$285,'07. BIA'!$E$6:$E$285,""),""))</f>
        <v/>
      </c>
      <c r="E99" s="136" t="str">
        <f>IF($C99="","",IFERROR(_xlfn.XLOOKUP($C99,'07. BIA'!$B$6:$B$285,'07. BIA'!$F$6:$F$285,""),""))</f>
        <v/>
      </c>
      <c r="F99" s="82"/>
      <c r="G99" s="79"/>
      <c r="H99" s="82"/>
      <c r="I99" s="83"/>
      <c r="J99" s="49"/>
      <c r="K99" s="78"/>
      <c r="L99" s="49"/>
      <c r="M99" s="232"/>
    </row>
    <row r="100" spans="1:13" ht="15" customHeight="1" x14ac:dyDescent="0.35">
      <c r="A100" s="231">
        <v>96</v>
      </c>
      <c r="B100" s="135" t="str">
        <f t="shared" si="2"/>
        <v/>
      </c>
      <c r="C100" s="78"/>
      <c r="D100" s="136" t="str">
        <f>IF($C100="","",IFERROR(_xlfn.XLOOKUP($C100,'07. BIA'!$B$6:$B$285,'07. BIA'!$E$6:$E$285,""),""))</f>
        <v/>
      </c>
      <c r="E100" s="136" t="str">
        <f>IF($C100="","",IFERROR(_xlfn.XLOOKUP($C100,'07. BIA'!$B$6:$B$285,'07. BIA'!$F$6:$F$285,""),""))</f>
        <v/>
      </c>
      <c r="F100" s="82"/>
      <c r="G100" s="79"/>
      <c r="H100" s="82"/>
      <c r="I100" s="83"/>
      <c r="J100" s="49"/>
      <c r="K100" s="78"/>
      <c r="L100" s="49"/>
      <c r="M100" s="232"/>
    </row>
    <row r="101" spans="1:13" ht="15" customHeight="1" x14ac:dyDescent="0.35">
      <c r="A101" s="231">
        <v>97</v>
      </c>
      <c r="B101" s="135" t="str">
        <f t="shared" ref="B101:B132" si="3">IF($I101="","","DEP-"&amp;TEXT($A101,"000"))</f>
        <v/>
      </c>
      <c r="C101" s="78"/>
      <c r="D101" s="136" t="str">
        <f>IF($C101="","",IFERROR(_xlfn.XLOOKUP($C101,'07. BIA'!$B$6:$B$285,'07. BIA'!$E$6:$E$285,""),""))</f>
        <v/>
      </c>
      <c r="E101" s="136" t="str">
        <f>IF($C101="","",IFERROR(_xlfn.XLOOKUP($C101,'07. BIA'!$B$6:$B$285,'07. BIA'!$F$6:$F$285,""),""))</f>
        <v/>
      </c>
      <c r="F101" s="82"/>
      <c r="G101" s="79"/>
      <c r="H101" s="82"/>
      <c r="I101" s="83"/>
      <c r="J101" s="49"/>
      <c r="K101" s="78"/>
      <c r="L101" s="49"/>
      <c r="M101" s="232"/>
    </row>
    <row r="102" spans="1:13" ht="15" customHeight="1" x14ac:dyDescent="0.35">
      <c r="A102" s="231">
        <v>98</v>
      </c>
      <c r="B102" s="135" t="str">
        <f t="shared" si="3"/>
        <v/>
      </c>
      <c r="C102" s="78"/>
      <c r="D102" s="136" t="str">
        <f>IF($C102="","",IFERROR(_xlfn.XLOOKUP($C102,'07. BIA'!$B$6:$B$285,'07. BIA'!$E$6:$E$285,""),""))</f>
        <v/>
      </c>
      <c r="E102" s="136" t="str">
        <f>IF($C102="","",IFERROR(_xlfn.XLOOKUP($C102,'07. BIA'!$B$6:$B$285,'07. BIA'!$F$6:$F$285,""),""))</f>
        <v/>
      </c>
      <c r="F102" s="82"/>
      <c r="G102" s="79"/>
      <c r="H102" s="82"/>
      <c r="I102" s="83"/>
      <c r="J102" s="49"/>
      <c r="K102" s="78"/>
      <c r="L102" s="49"/>
      <c r="M102" s="232"/>
    </row>
    <row r="103" spans="1:13" ht="15" customHeight="1" x14ac:dyDescent="0.35">
      <c r="A103" s="231">
        <v>99</v>
      </c>
      <c r="B103" s="135" t="str">
        <f t="shared" si="3"/>
        <v/>
      </c>
      <c r="C103" s="78"/>
      <c r="D103" s="136" t="str">
        <f>IF($C103="","",IFERROR(_xlfn.XLOOKUP($C103,'07. BIA'!$B$6:$B$285,'07. BIA'!$E$6:$E$285,""),""))</f>
        <v/>
      </c>
      <c r="E103" s="136" t="str">
        <f>IF($C103="","",IFERROR(_xlfn.XLOOKUP($C103,'07. BIA'!$B$6:$B$285,'07. BIA'!$F$6:$F$285,""),""))</f>
        <v/>
      </c>
      <c r="F103" s="82"/>
      <c r="G103" s="79"/>
      <c r="H103" s="82"/>
      <c r="I103" s="83"/>
      <c r="J103" s="49"/>
      <c r="K103" s="78"/>
      <c r="L103" s="49"/>
      <c r="M103" s="232"/>
    </row>
    <row r="104" spans="1:13" ht="15" customHeight="1" x14ac:dyDescent="0.35">
      <c r="A104" s="231">
        <v>100</v>
      </c>
      <c r="B104" s="135" t="str">
        <f t="shared" si="3"/>
        <v/>
      </c>
      <c r="C104" s="78"/>
      <c r="D104" s="136" t="str">
        <f>IF($C104="","",IFERROR(_xlfn.XLOOKUP($C104,'07. BIA'!$B$6:$B$285,'07. BIA'!$E$6:$E$285,""),""))</f>
        <v/>
      </c>
      <c r="E104" s="136" t="str">
        <f>IF($C104="","",IFERROR(_xlfn.XLOOKUP($C104,'07. BIA'!$B$6:$B$285,'07. BIA'!$F$6:$F$285,""),""))</f>
        <v/>
      </c>
      <c r="F104" s="82"/>
      <c r="G104" s="79"/>
      <c r="H104" s="82"/>
      <c r="I104" s="83"/>
      <c r="J104" s="49"/>
      <c r="K104" s="78"/>
      <c r="L104" s="49"/>
      <c r="M104" s="232"/>
    </row>
    <row r="105" spans="1:13" ht="15" customHeight="1" x14ac:dyDescent="0.35">
      <c r="A105" s="231">
        <v>101</v>
      </c>
      <c r="B105" s="135" t="str">
        <f t="shared" si="3"/>
        <v/>
      </c>
      <c r="C105" s="78"/>
      <c r="D105" s="136" t="str">
        <f>IF($C105="","",IFERROR(_xlfn.XLOOKUP($C105,'07. BIA'!$B$6:$B$285,'07. BIA'!$E$6:$E$285,""),""))</f>
        <v/>
      </c>
      <c r="E105" s="136" t="str">
        <f>IF($C105="","",IFERROR(_xlfn.XLOOKUP($C105,'07. BIA'!$B$6:$B$285,'07. BIA'!$F$6:$F$285,""),""))</f>
        <v/>
      </c>
      <c r="F105" s="82"/>
      <c r="G105" s="79"/>
      <c r="H105" s="82"/>
      <c r="I105" s="83"/>
      <c r="J105" s="49"/>
      <c r="K105" s="78"/>
      <c r="L105" s="49"/>
      <c r="M105" s="232"/>
    </row>
    <row r="106" spans="1:13" ht="15" customHeight="1" x14ac:dyDescent="0.35">
      <c r="A106" s="231">
        <v>102</v>
      </c>
      <c r="B106" s="135" t="str">
        <f t="shared" si="3"/>
        <v/>
      </c>
      <c r="C106" s="78"/>
      <c r="D106" s="136" t="str">
        <f>IF($C106="","",IFERROR(_xlfn.XLOOKUP($C106,'07. BIA'!$B$6:$B$285,'07. BIA'!$E$6:$E$285,""),""))</f>
        <v/>
      </c>
      <c r="E106" s="136" t="str">
        <f>IF($C106="","",IFERROR(_xlfn.XLOOKUP($C106,'07. BIA'!$B$6:$B$285,'07. BIA'!$F$6:$F$285,""),""))</f>
        <v/>
      </c>
      <c r="F106" s="82"/>
      <c r="G106" s="79"/>
      <c r="H106" s="82"/>
      <c r="I106" s="83"/>
      <c r="J106" s="49"/>
      <c r="K106" s="78"/>
      <c r="L106" s="49"/>
      <c r="M106" s="232"/>
    </row>
    <row r="107" spans="1:13" ht="15" customHeight="1" x14ac:dyDescent="0.35">
      <c r="A107" s="231">
        <v>103</v>
      </c>
      <c r="B107" s="135" t="str">
        <f t="shared" si="3"/>
        <v/>
      </c>
      <c r="C107" s="78"/>
      <c r="D107" s="136" t="str">
        <f>IF($C107="","",IFERROR(_xlfn.XLOOKUP($C107,'07. BIA'!$B$6:$B$285,'07. BIA'!$E$6:$E$285,""),""))</f>
        <v/>
      </c>
      <c r="E107" s="136" t="str">
        <f>IF($C107="","",IFERROR(_xlfn.XLOOKUP($C107,'07. BIA'!$B$6:$B$285,'07. BIA'!$F$6:$F$285,""),""))</f>
        <v/>
      </c>
      <c r="F107" s="82"/>
      <c r="G107" s="79"/>
      <c r="H107" s="82"/>
      <c r="I107" s="83"/>
      <c r="J107" s="49"/>
      <c r="K107" s="78"/>
      <c r="L107" s="49"/>
      <c r="M107" s="232"/>
    </row>
    <row r="108" spans="1:13" ht="15" customHeight="1" x14ac:dyDescent="0.35">
      <c r="A108" s="231">
        <v>104</v>
      </c>
      <c r="B108" s="135" t="str">
        <f t="shared" si="3"/>
        <v/>
      </c>
      <c r="C108" s="78"/>
      <c r="D108" s="136" t="str">
        <f>IF($C108="","",IFERROR(_xlfn.XLOOKUP($C108,'07. BIA'!$B$6:$B$285,'07. BIA'!$E$6:$E$285,""),""))</f>
        <v/>
      </c>
      <c r="E108" s="136" t="str">
        <f>IF($C108="","",IFERROR(_xlfn.XLOOKUP($C108,'07. BIA'!$B$6:$B$285,'07. BIA'!$F$6:$F$285,""),""))</f>
        <v/>
      </c>
      <c r="F108" s="82"/>
      <c r="G108" s="79"/>
      <c r="H108" s="82"/>
      <c r="I108" s="83"/>
      <c r="J108" s="49"/>
      <c r="K108" s="78"/>
      <c r="L108" s="49"/>
      <c r="M108" s="232"/>
    </row>
    <row r="109" spans="1:13" ht="15" customHeight="1" x14ac:dyDescent="0.35">
      <c r="A109" s="231">
        <v>105</v>
      </c>
      <c r="B109" s="135" t="str">
        <f t="shared" si="3"/>
        <v/>
      </c>
      <c r="C109" s="78"/>
      <c r="D109" s="136" t="str">
        <f>IF($C109="","",IFERROR(_xlfn.XLOOKUP($C109,'07. BIA'!$B$6:$B$285,'07. BIA'!$E$6:$E$285,""),""))</f>
        <v/>
      </c>
      <c r="E109" s="136" t="str">
        <f>IF($C109="","",IFERROR(_xlfn.XLOOKUP($C109,'07. BIA'!$B$6:$B$285,'07. BIA'!$F$6:$F$285,""),""))</f>
        <v/>
      </c>
      <c r="F109" s="82"/>
      <c r="G109" s="79"/>
      <c r="H109" s="82"/>
      <c r="I109" s="83"/>
      <c r="J109" s="49"/>
      <c r="K109" s="78"/>
      <c r="L109" s="49"/>
      <c r="M109" s="232"/>
    </row>
    <row r="110" spans="1:13" ht="15" customHeight="1" x14ac:dyDescent="0.35">
      <c r="A110" s="231">
        <v>106</v>
      </c>
      <c r="B110" s="135" t="str">
        <f t="shared" si="3"/>
        <v/>
      </c>
      <c r="C110" s="78"/>
      <c r="D110" s="136" t="str">
        <f>IF($C110="","",IFERROR(_xlfn.XLOOKUP($C110,'07. BIA'!$B$6:$B$285,'07. BIA'!$E$6:$E$285,""),""))</f>
        <v/>
      </c>
      <c r="E110" s="136" t="str">
        <f>IF($C110="","",IFERROR(_xlfn.XLOOKUP($C110,'07. BIA'!$B$6:$B$285,'07. BIA'!$F$6:$F$285,""),""))</f>
        <v/>
      </c>
      <c r="F110" s="82"/>
      <c r="G110" s="79"/>
      <c r="H110" s="82"/>
      <c r="I110" s="83"/>
      <c r="J110" s="49"/>
      <c r="K110" s="78"/>
      <c r="L110" s="49"/>
      <c r="M110" s="232"/>
    </row>
    <row r="111" spans="1:13" ht="15" customHeight="1" x14ac:dyDescent="0.35">
      <c r="A111" s="231">
        <v>107</v>
      </c>
      <c r="B111" s="135" t="str">
        <f t="shared" si="3"/>
        <v/>
      </c>
      <c r="C111" s="78"/>
      <c r="D111" s="136" t="str">
        <f>IF($C111="","",IFERROR(_xlfn.XLOOKUP($C111,'07. BIA'!$B$6:$B$285,'07. BIA'!$E$6:$E$285,""),""))</f>
        <v/>
      </c>
      <c r="E111" s="136" t="str">
        <f>IF($C111="","",IFERROR(_xlfn.XLOOKUP($C111,'07. BIA'!$B$6:$B$285,'07. BIA'!$F$6:$F$285,""),""))</f>
        <v/>
      </c>
      <c r="F111" s="82"/>
      <c r="G111" s="79"/>
      <c r="H111" s="82"/>
      <c r="I111" s="83"/>
      <c r="J111" s="49"/>
      <c r="K111" s="78"/>
      <c r="L111" s="49"/>
      <c r="M111" s="232"/>
    </row>
    <row r="112" spans="1:13" ht="15" customHeight="1" x14ac:dyDescent="0.35">
      <c r="A112" s="231">
        <v>108</v>
      </c>
      <c r="B112" s="135" t="str">
        <f t="shared" si="3"/>
        <v/>
      </c>
      <c r="C112" s="78"/>
      <c r="D112" s="136" t="str">
        <f>IF($C112="","",IFERROR(_xlfn.XLOOKUP($C112,'07. BIA'!$B$6:$B$285,'07. BIA'!$E$6:$E$285,""),""))</f>
        <v/>
      </c>
      <c r="E112" s="136" t="str">
        <f>IF($C112="","",IFERROR(_xlfn.XLOOKUP($C112,'07. BIA'!$B$6:$B$285,'07. BIA'!$F$6:$F$285,""),""))</f>
        <v/>
      </c>
      <c r="F112" s="82"/>
      <c r="G112" s="79"/>
      <c r="H112" s="82"/>
      <c r="I112" s="83"/>
      <c r="J112" s="49"/>
      <c r="K112" s="78"/>
      <c r="L112" s="49"/>
      <c r="M112" s="232"/>
    </row>
    <row r="113" spans="1:13" ht="15" customHeight="1" x14ac:dyDescent="0.35">
      <c r="A113" s="231">
        <v>109</v>
      </c>
      <c r="B113" s="135" t="str">
        <f t="shared" si="3"/>
        <v/>
      </c>
      <c r="C113" s="78"/>
      <c r="D113" s="136" t="str">
        <f>IF($C113="","",IFERROR(_xlfn.XLOOKUP($C113,'07. BIA'!$B$6:$B$285,'07. BIA'!$E$6:$E$285,""),""))</f>
        <v/>
      </c>
      <c r="E113" s="136" t="str">
        <f>IF($C113="","",IFERROR(_xlfn.XLOOKUP($C113,'07. BIA'!$B$6:$B$285,'07. BIA'!$F$6:$F$285,""),""))</f>
        <v/>
      </c>
      <c r="F113" s="82"/>
      <c r="G113" s="79"/>
      <c r="H113" s="82"/>
      <c r="I113" s="83"/>
      <c r="J113" s="49"/>
      <c r="K113" s="78"/>
      <c r="L113" s="49"/>
      <c r="M113" s="232"/>
    </row>
    <row r="114" spans="1:13" ht="15" customHeight="1" x14ac:dyDescent="0.35">
      <c r="A114" s="231">
        <v>110</v>
      </c>
      <c r="B114" s="135" t="str">
        <f t="shared" si="3"/>
        <v/>
      </c>
      <c r="C114" s="78"/>
      <c r="D114" s="136" t="str">
        <f>IF($C114="","",IFERROR(_xlfn.XLOOKUP($C114,'07. BIA'!$B$6:$B$285,'07. BIA'!$E$6:$E$285,""),""))</f>
        <v/>
      </c>
      <c r="E114" s="136" t="str">
        <f>IF($C114="","",IFERROR(_xlfn.XLOOKUP($C114,'07. BIA'!$B$6:$B$285,'07. BIA'!$F$6:$F$285,""),""))</f>
        <v/>
      </c>
      <c r="F114" s="82"/>
      <c r="G114" s="79"/>
      <c r="H114" s="82"/>
      <c r="I114" s="83"/>
      <c r="J114" s="49"/>
      <c r="K114" s="78"/>
      <c r="L114" s="49"/>
      <c r="M114" s="232"/>
    </row>
    <row r="115" spans="1:13" ht="15" customHeight="1" x14ac:dyDescent="0.35">
      <c r="A115" s="231">
        <v>111</v>
      </c>
      <c r="B115" s="135" t="str">
        <f t="shared" si="3"/>
        <v/>
      </c>
      <c r="C115" s="78"/>
      <c r="D115" s="136" t="str">
        <f>IF($C115="","",IFERROR(_xlfn.XLOOKUP($C115,'07. BIA'!$B$6:$B$285,'07. BIA'!$E$6:$E$285,""),""))</f>
        <v/>
      </c>
      <c r="E115" s="136" t="str">
        <f>IF($C115="","",IFERROR(_xlfn.XLOOKUP($C115,'07. BIA'!$B$6:$B$285,'07. BIA'!$F$6:$F$285,""),""))</f>
        <v/>
      </c>
      <c r="F115" s="82"/>
      <c r="G115" s="79"/>
      <c r="H115" s="82"/>
      <c r="I115" s="83"/>
      <c r="J115" s="49"/>
      <c r="K115" s="78"/>
      <c r="L115" s="49"/>
      <c r="M115" s="232"/>
    </row>
    <row r="116" spans="1:13" ht="15" customHeight="1" x14ac:dyDescent="0.35">
      <c r="A116" s="231">
        <v>112</v>
      </c>
      <c r="B116" s="135" t="str">
        <f t="shared" si="3"/>
        <v/>
      </c>
      <c r="C116" s="78"/>
      <c r="D116" s="136" t="str">
        <f>IF($C116="","",IFERROR(_xlfn.XLOOKUP($C116,'07. BIA'!$B$6:$B$285,'07. BIA'!$E$6:$E$285,""),""))</f>
        <v/>
      </c>
      <c r="E116" s="136" t="str">
        <f>IF($C116="","",IFERROR(_xlfn.XLOOKUP($C116,'07. BIA'!$B$6:$B$285,'07. BIA'!$F$6:$F$285,""),""))</f>
        <v/>
      </c>
      <c r="F116" s="82"/>
      <c r="G116" s="79"/>
      <c r="H116" s="82"/>
      <c r="I116" s="83"/>
      <c r="J116" s="49"/>
      <c r="K116" s="78"/>
      <c r="L116" s="49"/>
      <c r="M116" s="232"/>
    </row>
    <row r="117" spans="1:13" ht="15" customHeight="1" x14ac:dyDescent="0.35">
      <c r="A117" s="231">
        <v>113</v>
      </c>
      <c r="B117" s="135" t="str">
        <f t="shared" si="3"/>
        <v/>
      </c>
      <c r="C117" s="78"/>
      <c r="D117" s="136" t="str">
        <f>IF($C117="","",IFERROR(_xlfn.XLOOKUP($C117,'07. BIA'!$B$6:$B$285,'07. BIA'!$E$6:$E$285,""),""))</f>
        <v/>
      </c>
      <c r="E117" s="136" t="str">
        <f>IF($C117="","",IFERROR(_xlfn.XLOOKUP($C117,'07. BIA'!$B$6:$B$285,'07. BIA'!$F$6:$F$285,""),""))</f>
        <v/>
      </c>
      <c r="F117" s="82"/>
      <c r="G117" s="79"/>
      <c r="H117" s="82"/>
      <c r="I117" s="83"/>
      <c r="J117" s="49"/>
      <c r="K117" s="78"/>
      <c r="L117" s="49"/>
      <c r="M117" s="232"/>
    </row>
    <row r="118" spans="1:13" ht="15" customHeight="1" x14ac:dyDescent="0.35">
      <c r="A118" s="231">
        <v>114</v>
      </c>
      <c r="B118" s="135" t="str">
        <f t="shared" si="3"/>
        <v/>
      </c>
      <c r="C118" s="78"/>
      <c r="D118" s="136" t="str">
        <f>IF($C118="","",IFERROR(_xlfn.XLOOKUP($C118,'07. BIA'!$B$6:$B$285,'07. BIA'!$E$6:$E$285,""),""))</f>
        <v/>
      </c>
      <c r="E118" s="136" t="str">
        <f>IF($C118="","",IFERROR(_xlfn.XLOOKUP($C118,'07. BIA'!$B$6:$B$285,'07. BIA'!$F$6:$F$285,""),""))</f>
        <v/>
      </c>
      <c r="F118" s="82"/>
      <c r="G118" s="79"/>
      <c r="H118" s="82"/>
      <c r="I118" s="83"/>
      <c r="J118" s="49"/>
      <c r="K118" s="78"/>
      <c r="L118" s="49"/>
      <c r="M118" s="232"/>
    </row>
    <row r="119" spans="1:13" ht="15" customHeight="1" x14ac:dyDescent="0.35">
      <c r="A119" s="231">
        <v>115</v>
      </c>
      <c r="B119" s="135" t="str">
        <f t="shared" si="3"/>
        <v/>
      </c>
      <c r="C119" s="78"/>
      <c r="D119" s="136" t="str">
        <f>IF($C119="","",IFERROR(_xlfn.XLOOKUP($C119,'07. BIA'!$B$6:$B$285,'07. BIA'!$E$6:$E$285,""),""))</f>
        <v/>
      </c>
      <c r="E119" s="136" t="str">
        <f>IF($C119="","",IFERROR(_xlfn.XLOOKUP($C119,'07. BIA'!$B$6:$B$285,'07. BIA'!$F$6:$F$285,""),""))</f>
        <v/>
      </c>
      <c r="F119" s="82"/>
      <c r="G119" s="79"/>
      <c r="H119" s="82"/>
      <c r="I119" s="83"/>
      <c r="J119" s="49"/>
      <c r="K119" s="78"/>
      <c r="L119" s="49"/>
      <c r="M119" s="232"/>
    </row>
    <row r="120" spans="1:13" ht="15" customHeight="1" x14ac:dyDescent="0.35">
      <c r="A120" s="231">
        <v>116</v>
      </c>
      <c r="B120" s="135" t="str">
        <f t="shared" si="3"/>
        <v/>
      </c>
      <c r="C120" s="78"/>
      <c r="D120" s="136" t="str">
        <f>IF($C120="","",IFERROR(_xlfn.XLOOKUP($C120,'07. BIA'!$B$6:$B$285,'07. BIA'!$E$6:$E$285,""),""))</f>
        <v/>
      </c>
      <c r="E120" s="136" t="str">
        <f>IF($C120="","",IFERROR(_xlfn.XLOOKUP($C120,'07. BIA'!$B$6:$B$285,'07. BIA'!$F$6:$F$285,""),""))</f>
        <v/>
      </c>
      <c r="F120" s="82"/>
      <c r="G120" s="79"/>
      <c r="H120" s="82"/>
      <c r="I120" s="83"/>
      <c r="J120" s="49"/>
      <c r="K120" s="78"/>
      <c r="L120" s="49"/>
      <c r="M120" s="232"/>
    </row>
    <row r="121" spans="1:13" ht="15" customHeight="1" x14ac:dyDescent="0.35">
      <c r="A121" s="231">
        <v>117</v>
      </c>
      <c r="B121" s="135" t="str">
        <f t="shared" si="3"/>
        <v/>
      </c>
      <c r="C121" s="78"/>
      <c r="D121" s="136" t="str">
        <f>IF($C121="","",IFERROR(_xlfn.XLOOKUP($C121,'07. BIA'!$B$6:$B$285,'07. BIA'!$E$6:$E$285,""),""))</f>
        <v/>
      </c>
      <c r="E121" s="136" t="str">
        <f>IF($C121="","",IFERROR(_xlfn.XLOOKUP($C121,'07. BIA'!$B$6:$B$285,'07. BIA'!$F$6:$F$285,""),""))</f>
        <v/>
      </c>
      <c r="F121" s="82"/>
      <c r="G121" s="79"/>
      <c r="H121" s="82"/>
      <c r="I121" s="83"/>
      <c r="J121" s="49"/>
      <c r="K121" s="78"/>
      <c r="L121" s="49"/>
      <c r="M121" s="232"/>
    </row>
    <row r="122" spans="1:13" ht="15" customHeight="1" x14ac:dyDescent="0.35">
      <c r="A122" s="231">
        <v>118</v>
      </c>
      <c r="B122" s="135" t="str">
        <f t="shared" si="3"/>
        <v/>
      </c>
      <c r="C122" s="78"/>
      <c r="D122" s="136" t="str">
        <f>IF($C122="","",IFERROR(_xlfn.XLOOKUP($C122,'07. BIA'!$B$6:$B$285,'07. BIA'!$E$6:$E$285,""),""))</f>
        <v/>
      </c>
      <c r="E122" s="136" t="str">
        <f>IF($C122="","",IFERROR(_xlfn.XLOOKUP($C122,'07. BIA'!$B$6:$B$285,'07. BIA'!$F$6:$F$285,""),""))</f>
        <v/>
      </c>
      <c r="F122" s="82"/>
      <c r="G122" s="79"/>
      <c r="H122" s="82"/>
      <c r="I122" s="83"/>
      <c r="J122" s="49"/>
      <c r="K122" s="78"/>
      <c r="L122" s="49"/>
      <c r="M122" s="232"/>
    </row>
    <row r="123" spans="1:13" ht="15" customHeight="1" x14ac:dyDescent="0.35">
      <c r="A123" s="231">
        <v>119</v>
      </c>
      <c r="B123" s="135" t="str">
        <f t="shared" si="3"/>
        <v/>
      </c>
      <c r="C123" s="78"/>
      <c r="D123" s="136" t="str">
        <f>IF($C123="","",IFERROR(_xlfn.XLOOKUP($C123,'07. BIA'!$B$6:$B$285,'07. BIA'!$E$6:$E$285,""),""))</f>
        <v/>
      </c>
      <c r="E123" s="136" t="str">
        <f>IF($C123="","",IFERROR(_xlfn.XLOOKUP($C123,'07. BIA'!$B$6:$B$285,'07. BIA'!$F$6:$F$285,""),""))</f>
        <v/>
      </c>
      <c r="F123" s="82"/>
      <c r="G123" s="79"/>
      <c r="H123" s="82"/>
      <c r="I123" s="83"/>
      <c r="J123" s="49"/>
      <c r="K123" s="78"/>
      <c r="L123" s="49"/>
      <c r="M123" s="232"/>
    </row>
    <row r="124" spans="1:13" ht="15" customHeight="1" x14ac:dyDescent="0.35">
      <c r="A124" s="231">
        <v>120</v>
      </c>
      <c r="B124" s="135" t="str">
        <f t="shared" si="3"/>
        <v/>
      </c>
      <c r="C124" s="78"/>
      <c r="D124" s="136" t="str">
        <f>IF($C124="","",IFERROR(_xlfn.XLOOKUP($C124,'07. BIA'!$B$6:$B$285,'07. BIA'!$E$6:$E$285,""),""))</f>
        <v/>
      </c>
      <c r="E124" s="136" t="str">
        <f>IF($C124="","",IFERROR(_xlfn.XLOOKUP($C124,'07. BIA'!$B$6:$B$285,'07. BIA'!$F$6:$F$285,""),""))</f>
        <v/>
      </c>
      <c r="F124" s="82"/>
      <c r="G124" s="79"/>
      <c r="H124" s="82"/>
      <c r="I124" s="83"/>
      <c r="J124" s="49"/>
      <c r="K124" s="78"/>
      <c r="L124" s="49"/>
      <c r="M124" s="232"/>
    </row>
    <row r="125" spans="1:13" ht="15" customHeight="1" x14ac:dyDescent="0.35">
      <c r="A125" s="231">
        <v>121</v>
      </c>
      <c r="B125" s="135" t="str">
        <f t="shared" si="3"/>
        <v/>
      </c>
      <c r="C125" s="78"/>
      <c r="D125" s="136" t="str">
        <f>IF($C125="","",IFERROR(_xlfn.XLOOKUP($C125,'07. BIA'!$B$6:$B$285,'07. BIA'!$E$6:$E$285,""),""))</f>
        <v/>
      </c>
      <c r="E125" s="136" t="str">
        <f>IF($C125="","",IFERROR(_xlfn.XLOOKUP($C125,'07. BIA'!$B$6:$B$285,'07. BIA'!$F$6:$F$285,""),""))</f>
        <v/>
      </c>
      <c r="F125" s="82"/>
      <c r="G125" s="79"/>
      <c r="H125" s="82"/>
      <c r="I125" s="83"/>
      <c r="J125" s="49"/>
      <c r="K125" s="78"/>
      <c r="L125" s="49"/>
      <c r="M125" s="232"/>
    </row>
    <row r="126" spans="1:13" ht="15" customHeight="1" x14ac:dyDescent="0.35">
      <c r="A126" s="231">
        <v>122</v>
      </c>
      <c r="B126" s="135" t="str">
        <f t="shared" si="3"/>
        <v/>
      </c>
      <c r="C126" s="78"/>
      <c r="D126" s="136" t="str">
        <f>IF($C126="","",IFERROR(_xlfn.XLOOKUP($C126,'07. BIA'!$B$6:$B$285,'07. BIA'!$E$6:$E$285,""),""))</f>
        <v/>
      </c>
      <c r="E126" s="136" t="str">
        <f>IF($C126="","",IFERROR(_xlfn.XLOOKUP($C126,'07. BIA'!$B$6:$B$285,'07. BIA'!$F$6:$F$285,""),""))</f>
        <v/>
      </c>
      <c r="F126" s="82"/>
      <c r="G126" s="79"/>
      <c r="H126" s="82"/>
      <c r="I126" s="83"/>
      <c r="J126" s="49"/>
      <c r="K126" s="78"/>
      <c r="L126" s="49"/>
      <c r="M126" s="232"/>
    </row>
    <row r="127" spans="1:13" ht="15" customHeight="1" x14ac:dyDescent="0.35">
      <c r="A127" s="231">
        <v>123</v>
      </c>
      <c r="B127" s="135" t="str">
        <f t="shared" si="3"/>
        <v/>
      </c>
      <c r="C127" s="78"/>
      <c r="D127" s="136" t="str">
        <f>IF($C127="","",IFERROR(_xlfn.XLOOKUP($C127,'07. BIA'!$B$6:$B$285,'07. BIA'!$E$6:$E$285,""),""))</f>
        <v/>
      </c>
      <c r="E127" s="136" t="str">
        <f>IF($C127="","",IFERROR(_xlfn.XLOOKUP($C127,'07. BIA'!$B$6:$B$285,'07. BIA'!$F$6:$F$285,""),""))</f>
        <v/>
      </c>
      <c r="F127" s="82"/>
      <c r="G127" s="79"/>
      <c r="H127" s="82"/>
      <c r="I127" s="83"/>
      <c r="J127" s="49"/>
      <c r="K127" s="78"/>
      <c r="L127" s="49"/>
      <c r="M127" s="232"/>
    </row>
    <row r="128" spans="1:13" ht="15" customHeight="1" x14ac:dyDescent="0.35">
      <c r="A128" s="231">
        <v>124</v>
      </c>
      <c r="B128" s="135" t="str">
        <f t="shared" si="3"/>
        <v/>
      </c>
      <c r="C128" s="78"/>
      <c r="D128" s="136" t="str">
        <f>IF($C128="","",IFERROR(_xlfn.XLOOKUP($C128,'07. BIA'!$B$6:$B$285,'07. BIA'!$E$6:$E$285,""),""))</f>
        <v/>
      </c>
      <c r="E128" s="136" t="str">
        <f>IF($C128="","",IFERROR(_xlfn.XLOOKUP($C128,'07. BIA'!$B$6:$B$285,'07. BIA'!$F$6:$F$285,""),""))</f>
        <v/>
      </c>
      <c r="F128" s="82"/>
      <c r="G128" s="79"/>
      <c r="H128" s="82"/>
      <c r="I128" s="83"/>
      <c r="J128" s="49"/>
      <c r="K128" s="78"/>
      <c r="L128" s="49"/>
      <c r="M128" s="232"/>
    </row>
    <row r="129" spans="1:13" ht="15" customHeight="1" x14ac:dyDescent="0.35">
      <c r="A129" s="231">
        <v>125</v>
      </c>
      <c r="B129" s="135" t="str">
        <f t="shared" si="3"/>
        <v/>
      </c>
      <c r="C129" s="78"/>
      <c r="D129" s="136" t="str">
        <f>IF($C129="","",IFERROR(_xlfn.XLOOKUP($C129,'07. BIA'!$B$6:$B$285,'07. BIA'!$E$6:$E$285,""),""))</f>
        <v/>
      </c>
      <c r="E129" s="136" t="str">
        <f>IF($C129="","",IFERROR(_xlfn.XLOOKUP($C129,'07. BIA'!$B$6:$B$285,'07. BIA'!$F$6:$F$285,""),""))</f>
        <v/>
      </c>
      <c r="F129" s="82"/>
      <c r="G129" s="79"/>
      <c r="H129" s="82"/>
      <c r="I129" s="83"/>
      <c r="J129" s="49"/>
      <c r="K129" s="78"/>
      <c r="L129" s="49"/>
      <c r="M129" s="232"/>
    </row>
    <row r="130" spans="1:13" ht="15" customHeight="1" x14ac:dyDescent="0.35">
      <c r="A130" s="231">
        <v>126</v>
      </c>
      <c r="B130" s="135" t="str">
        <f t="shared" si="3"/>
        <v/>
      </c>
      <c r="C130" s="78"/>
      <c r="D130" s="136" t="str">
        <f>IF($C130="","",IFERROR(_xlfn.XLOOKUP($C130,'07. BIA'!$B$6:$B$285,'07. BIA'!$E$6:$E$285,""),""))</f>
        <v/>
      </c>
      <c r="E130" s="136" t="str">
        <f>IF($C130="","",IFERROR(_xlfn.XLOOKUP($C130,'07. BIA'!$B$6:$B$285,'07. BIA'!$F$6:$F$285,""),""))</f>
        <v/>
      </c>
      <c r="F130" s="82"/>
      <c r="G130" s="79"/>
      <c r="H130" s="82"/>
      <c r="I130" s="83"/>
      <c r="J130" s="49"/>
      <c r="K130" s="78"/>
      <c r="L130" s="49"/>
      <c r="M130" s="232"/>
    </row>
    <row r="131" spans="1:13" ht="15" customHeight="1" x14ac:dyDescent="0.35">
      <c r="A131" s="231">
        <v>127</v>
      </c>
      <c r="B131" s="135" t="str">
        <f t="shared" si="3"/>
        <v/>
      </c>
      <c r="C131" s="78"/>
      <c r="D131" s="136" t="str">
        <f>IF($C131="","",IFERROR(_xlfn.XLOOKUP($C131,'07. BIA'!$B$6:$B$285,'07. BIA'!$E$6:$E$285,""),""))</f>
        <v/>
      </c>
      <c r="E131" s="136" t="str">
        <f>IF($C131="","",IFERROR(_xlfn.XLOOKUP($C131,'07. BIA'!$B$6:$B$285,'07. BIA'!$F$6:$F$285,""),""))</f>
        <v/>
      </c>
      <c r="F131" s="82"/>
      <c r="G131" s="79"/>
      <c r="H131" s="82"/>
      <c r="I131" s="83"/>
      <c r="J131" s="49"/>
      <c r="K131" s="78"/>
      <c r="L131" s="49"/>
      <c r="M131" s="232"/>
    </row>
    <row r="132" spans="1:13" ht="15" customHeight="1" x14ac:dyDescent="0.35">
      <c r="A132" s="231">
        <v>128</v>
      </c>
      <c r="B132" s="135" t="str">
        <f t="shared" si="3"/>
        <v/>
      </c>
      <c r="C132" s="78"/>
      <c r="D132" s="136" t="str">
        <f>IF($C132="","",IFERROR(_xlfn.XLOOKUP($C132,'07. BIA'!$B$6:$B$285,'07. BIA'!$E$6:$E$285,""),""))</f>
        <v/>
      </c>
      <c r="E132" s="136" t="str">
        <f>IF($C132="","",IFERROR(_xlfn.XLOOKUP($C132,'07. BIA'!$B$6:$B$285,'07. BIA'!$F$6:$F$285,""),""))</f>
        <v/>
      </c>
      <c r="F132" s="82"/>
      <c r="G132" s="79"/>
      <c r="H132" s="82"/>
      <c r="I132" s="83"/>
      <c r="J132" s="49"/>
      <c r="K132" s="78"/>
      <c r="L132" s="49"/>
      <c r="M132" s="232"/>
    </row>
    <row r="133" spans="1:13" ht="15" customHeight="1" x14ac:dyDescent="0.35">
      <c r="A133" s="231">
        <v>129</v>
      </c>
      <c r="B133" s="135" t="str">
        <f t="shared" ref="B133:B164" si="4">IF($I133="","","DEP-"&amp;TEXT($A133,"000"))</f>
        <v/>
      </c>
      <c r="C133" s="78"/>
      <c r="D133" s="136" t="str">
        <f>IF($C133="","",IFERROR(_xlfn.XLOOKUP($C133,'07. BIA'!$B$6:$B$285,'07. BIA'!$E$6:$E$285,""),""))</f>
        <v/>
      </c>
      <c r="E133" s="136" t="str">
        <f>IF($C133="","",IFERROR(_xlfn.XLOOKUP($C133,'07. BIA'!$B$6:$B$285,'07. BIA'!$F$6:$F$285,""),""))</f>
        <v/>
      </c>
      <c r="F133" s="82"/>
      <c r="G133" s="79"/>
      <c r="H133" s="82"/>
      <c r="I133" s="83"/>
      <c r="J133" s="49"/>
      <c r="K133" s="78"/>
      <c r="L133" s="49"/>
      <c r="M133" s="232"/>
    </row>
    <row r="134" spans="1:13" ht="15" customHeight="1" x14ac:dyDescent="0.35">
      <c r="A134" s="231">
        <v>130</v>
      </c>
      <c r="B134" s="135" t="str">
        <f t="shared" si="4"/>
        <v/>
      </c>
      <c r="C134" s="78"/>
      <c r="D134" s="136" t="str">
        <f>IF($C134="","",IFERROR(_xlfn.XLOOKUP($C134,'07. BIA'!$B$6:$B$285,'07. BIA'!$E$6:$E$285,""),""))</f>
        <v/>
      </c>
      <c r="E134" s="136" t="str">
        <f>IF($C134="","",IFERROR(_xlfn.XLOOKUP($C134,'07. BIA'!$B$6:$B$285,'07. BIA'!$F$6:$F$285,""),""))</f>
        <v/>
      </c>
      <c r="F134" s="82"/>
      <c r="G134" s="79"/>
      <c r="H134" s="82"/>
      <c r="I134" s="83"/>
      <c r="J134" s="49"/>
      <c r="K134" s="78"/>
      <c r="L134" s="49"/>
      <c r="M134" s="232"/>
    </row>
    <row r="135" spans="1:13" ht="15" customHeight="1" x14ac:dyDescent="0.35">
      <c r="A135" s="231">
        <v>131</v>
      </c>
      <c r="B135" s="135" t="str">
        <f t="shared" si="4"/>
        <v/>
      </c>
      <c r="C135" s="78"/>
      <c r="D135" s="136" t="str">
        <f>IF($C135="","",IFERROR(_xlfn.XLOOKUP($C135,'07. BIA'!$B$6:$B$285,'07. BIA'!$E$6:$E$285,""),""))</f>
        <v/>
      </c>
      <c r="E135" s="136" t="str">
        <f>IF($C135="","",IFERROR(_xlfn.XLOOKUP($C135,'07. BIA'!$B$6:$B$285,'07. BIA'!$F$6:$F$285,""),""))</f>
        <v/>
      </c>
      <c r="F135" s="82"/>
      <c r="G135" s="79"/>
      <c r="H135" s="82"/>
      <c r="I135" s="83"/>
      <c r="J135" s="49"/>
      <c r="K135" s="78"/>
      <c r="L135" s="49"/>
      <c r="M135" s="232"/>
    </row>
    <row r="136" spans="1:13" ht="15" customHeight="1" x14ac:dyDescent="0.35">
      <c r="A136" s="231">
        <v>132</v>
      </c>
      <c r="B136" s="135" t="str">
        <f t="shared" si="4"/>
        <v/>
      </c>
      <c r="C136" s="78"/>
      <c r="D136" s="136" t="str">
        <f>IF($C136="","",IFERROR(_xlfn.XLOOKUP($C136,'07. BIA'!$B$6:$B$285,'07. BIA'!$E$6:$E$285,""),""))</f>
        <v/>
      </c>
      <c r="E136" s="136" t="str">
        <f>IF($C136="","",IFERROR(_xlfn.XLOOKUP($C136,'07. BIA'!$B$6:$B$285,'07. BIA'!$F$6:$F$285,""),""))</f>
        <v/>
      </c>
      <c r="F136" s="82"/>
      <c r="G136" s="79"/>
      <c r="H136" s="82"/>
      <c r="I136" s="83"/>
      <c r="J136" s="49"/>
      <c r="K136" s="78"/>
      <c r="L136" s="49"/>
      <c r="M136" s="232"/>
    </row>
    <row r="137" spans="1:13" ht="15" customHeight="1" x14ac:dyDescent="0.35">
      <c r="A137" s="231">
        <v>133</v>
      </c>
      <c r="B137" s="135" t="str">
        <f t="shared" si="4"/>
        <v/>
      </c>
      <c r="C137" s="78"/>
      <c r="D137" s="136" t="str">
        <f>IF($C137="","",IFERROR(_xlfn.XLOOKUP($C137,'07. BIA'!$B$6:$B$285,'07. BIA'!$E$6:$E$285,""),""))</f>
        <v/>
      </c>
      <c r="E137" s="136" t="str">
        <f>IF($C137="","",IFERROR(_xlfn.XLOOKUP($C137,'07. BIA'!$B$6:$B$285,'07. BIA'!$F$6:$F$285,""),""))</f>
        <v/>
      </c>
      <c r="F137" s="82"/>
      <c r="G137" s="79"/>
      <c r="H137" s="82"/>
      <c r="I137" s="83"/>
      <c r="J137" s="49"/>
      <c r="K137" s="78"/>
      <c r="L137" s="49"/>
      <c r="M137" s="232"/>
    </row>
    <row r="138" spans="1:13" ht="15" customHeight="1" x14ac:dyDescent="0.35">
      <c r="A138" s="231">
        <v>134</v>
      </c>
      <c r="B138" s="135" t="str">
        <f t="shared" si="4"/>
        <v/>
      </c>
      <c r="C138" s="78"/>
      <c r="D138" s="136" t="str">
        <f>IF($C138="","",IFERROR(_xlfn.XLOOKUP($C138,'07. BIA'!$B$6:$B$285,'07. BIA'!$E$6:$E$285,""),""))</f>
        <v/>
      </c>
      <c r="E138" s="136" t="str">
        <f>IF($C138="","",IFERROR(_xlfn.XLOOKUP($C138,'07. BIA'!$B$6:$B$285,'07. BIA'!$F$6:$F$285,""),""))</f>
        <v/>
      </c>
      <c r="F138" s="82"/>
      <c r="G138" s="79"/>
      <c r="H138" s="82"/>
      <c r="I138" s="83"/>
      <c r="J138" s="49"/>
      <c r="K138" s="78"/>
      <c r="L138" s="49"/>
      <c r="M138" s="232"/>
    </row>
    <row r="139" spans="1:13" ht="15" customHeight="1" x14ac:dyDescent="0.35">
      <c r="A139" s="231">
        <v>135</v>
      </c>
      <c r="B139" s="135" t="str">
        <f t="shared" si="4"/>
        <v/>
      </c>
      <c r="C139" s="78"/>
      <c r="D139" s="136" t="str">
        <f>IF($C139="","",IFERROR(_xlfn.XLOOKUP($C139,'07. BIA'!$B$6:$B$285,'07. BIA'!$E$6:$E$285,""),""))</f>
        <v/>
      </c>
      <c r="E139" s="136" t="str">
        <f>IF($C139="","",IFERROR(_xlfn.XLOOKUP($C139,'07. BIA'!$B$6:$B$285,'07. BIA'!$F$6:$F$285,""),""))</f>
        <v/>
      </c>
      <c r="F139" s="82"/>
      <c r="G139" s="79"/>
      <c r="H139" s="82"/>
      <c r="I139" s="83"/>
      <c r="J139" s="49"/>
      <c r="K139" s="78"/>
      <c r="L139" s="49"/>
      <c r="M139" s="232"/>
    </row>
    <row r="140" spans="1:13" ht="15" customHeight="1" x14ac:dyDescent="0.35">
      <c r="A140" s="231">
        <v>136</v>
      </c>
      <c r="B140" s="135" t="str">
        <f t="shared" si="4"/>
        <v/>
      </c>
      <c r="C140" s="78"/>
      <c r="D140" s="136" t="str">
        <f>IF($C140="","",IFERROR(_xlfn.XLOOKUP($C140,'07. BIA'!$B$6:$B$285,'07. BIA'!$E$6:$E$285,""),""))</f>
        <v/>
      </c>
      <c r="E140" s="136" t="str">
        <f>IF($C140="","",IFERROR(_xlfn.XLOOKUP($C140,'07. BIA'!$B$6:$B$285,'07. BIA'!$F$6:$F$285,""),""))</f>
        <v/>
      </c>
      <c r="F140" s="82"/>
      <c r="G140" s="79"/>
      <c r="H140" s="82"/>
      <c r="I140" s="83"/>
      <c r="J140" s="49"/>
      <c r="K140" s="78"/>
      <c r="L140" s="49"/>
      <c r="M140" s="232"/>
    </row>
    <row r="141" spans="1:13" ht="15" customHeight="1" x14ac:dyDescent="0.35">
      <c r="A141" s="231">
        <v>137</v>
      </c>
      <c r="B141" s="135" t="str">
        <f t="shared" si="4"/>
        <v/>
      </c>
      <c r="C141" s="78"/>
      <c r="D141" s="136" t="str">
        <f>IF($C141="","",IFERROR(_xlfn.XLOOKUP($C141,'07. BIA'!$B$6:$B$285,'07. BIA'!$E$6:$E$285,""),""))</f>
        <v/>
      </c>
      <c r="E141" s="136" t="str">
        <f>IF($C141="","",IFERROR(_xlfn.XLOOKUP($C141,'07. BIA'!$B$6:$B$285,'07. BIA'!$F$6:$F$285,""),""))</f>
        <v/>
      </c>
      <c r="F141" s="82"/>
      <c r="G141" s="79"/>
      <c r="H141" s="82"/>
      <c r="I141" s="83"/>
      <c r="J141" s="49"/>
      <c r="K141" s="78"/>
      <c r="L141" s="49"/>
      <c r="M141" s="232"/>
    </row>
    <row r="142" spans="1:13" ht="15" customHeight="1" x14ac:dyDescent="0.35">
      <c r="A142" s="231">
        <v>138</v>
      </c>
      <c r="B142" s="135" t="str">
        <f t="shared" si="4"/>
        <v/>
      </c>
      <c r="C142" s="78"/>
      <c r="D142" s="136" t="str">
        <f>IF($C142="","",IFERROR(_xlfn.XLOOKUP($C142,'07. BIA'!$B$6:$B$285,'07. BIA'!$E$6:$E$285,""),""))</f>
        <v/>
      </c>
      <c r="E142" s="136" t="str">
        <f>IF($C142="","",IFERROR(_xlfn.XLOOKUP($C142,'07. BIA'!$B$6:$B$285,'07. BIA'!$F$6:$F$285,""),""))</f>
        <v/>
      </c>
      <c r="F142" s="82"/>
      <c r="G142" s="79"/>
      <c r="H142" s="82"/>
      <c r="I142" s="83"/>
      <c r="J142" s="49"/>
      <c r="K142" s="78"/>
      <c r="L142" s="49"/>
      <c r="M142" s="232"/>
    </row>
    <row r="143" spans="1:13" ht="15" customHeight="1" x14ac:dyDescent="0.35">
      <c r="A143" s="231">
        <v>139</v>
      </c>
      <c r="B143" s="135" t="str">
        <f t="shared" si="4"/>
        <v/>
      </c>
      <c r="C143" s="78"/>
      <c r="D143" s="136" t="str">
        <f>IF($C143="","",IFERROR(_xlfn.XLOOKUP($C143,'07. BIA'!$B$6:$B$285,'07. BIA'!$E$6:$E$285,""),""))</f>
        <v/>
      </c>
      <c r="E143" s="136" t="str">
        <f>IF($C143="","",IFERROR(_xlfn.XLOOKUP($C143,'07. BIA'!$B$6:$B$285,'07. BIA'!$F$6:$F$285,""),""))</f>
        <v/>
      </c>
      <c r="F143" s="82"/>
      <c r="G143" s="79"/>
      <c r="H143" s="82"/>
      <c r="I143" s="83"/>
      <c r="J143" s="49"/>
      <c r="K143" s="78"/>
      <c r="L143" s="49"/>
      <c r="M143" s="232"/>
    </row>
    <row r="144" spans="1:13" ht="15" customHeight="1" x14ac:dyDescent="0.35">
      <c r="A144" s="231">
        <v>140</v>
      </c>
      <c r="B144" s="135" t="str">
        <f t="shared" si="4"/>
        <v/>
      </c>
      <c r="C144" s="78"/>
      <c r="D144" s="136" t="str">
        <f>IF($C144="","",IFERROR(_xlfn.XLOOKUP($C144,'07. BIA'!$B$6:$B$285,'07. BIA'!$E$6:$E$285,""),""))</f>
        <v/>
      </c>
      <c r="E144" s="136" t="str">
        <f>IF($C144="","",IFERROR(_xlfn.XLOOKUP($C144,'07. BIA'!$B$6:$B$285,'07. BIA'!$F$6:$F$285,""),""))</f>
        <v/>
      </c>
      <c r="F144" s="82"/>
      <c r="G144" s="79"/>
      <c r="H144" s="82"/>
      <c r="I144" s="83"/>
      <c r="J144" s="49"/>
      <c r="K144" s="78"/>
      <c r="L144" s="49"/>
      <c r="M144" s="232"/>
    </row>
    <row r="145" spans="1:13" ht="15" customHeight="1" x14ac:dyDescent="0.35">
      <c r="A145" s="231">
        <v>141</v>
      </c>
      <c r="B145" s="135" t="str">
        <f t="shared" si="4"/>
        <v/>
      </c>
      <c r="C145" s="78"/>
      <c r="D145" s="136" t="str">
        <f>IF($C145="","",IFERROR(_xlfn.XLOOKUP($C145,'07. BIA'!$B$6:$B$285,'07. BIA'!$E$6:$E$285,""),""))</f>
        <v/>
      </c>
      <c r="E145" s="136" t="str">
        <f>IF($C145="","",IFERROR(_xlfn.XLOOKUP($C145,'07. BIA'!$B$6:$B$285,'07. BIA'!$F$6:$F$285,""),""))</f>
        <v/>
      </c>
      <c r="F145" s="82"/>
      <c r="G145" s="79"/>
      <c r="H145" s="82"/>
      <c r="I145" s="83"/>
      <c r="J145" s="49"/>
      <c r="K145" s="78"/>
      <c r="L145" s="49"/>
      <c r="M145" s="232"/>
    </row>
    <row r="146" spans="1:13" ht="15" customHeight="1" x14ac:dyDescent="0.35">
      <c r="A146" s="231">
        <v>142</v>
      </c>
      <c r="B146" s="135" t="str">
        <f t="shared" si="4"/>
        <v/>
      </c>
      <c r="C146" s="78"/>
      <c r="D146" s="136" t="str">
        <f>IF($C146="","",IFERROR(_xlfn.XLOOKUP($C146,'07. BIA'!$B$6:$B$285,'07. BIA'!$E$6:$E$285,""),""))</f>
        <v/>
      </c>
      <c r="E146" s="136" t="str">
        <f>IF($C146="","",IFERROR(_xlfn.XLOOKUP($C146,'07. BIA'!$B$6:$B$285,'07. BIA'!$F$6:$F$285,""),""))</f>
        <v/>
      </c>
      <c r="F146" s="82"/>
      <c r="G146" s="79"/>
      <c r="H146" s="82"/>
      <c r="I146" s="83"/>
      <c r="J146" s="49"/>
      <c r="K146" s="78"/>
      <c r="L146" s="49"/>
      <c r="M146" s="232"/>
    </row>
    <row r="147" spans="1:13" ht="15" customHeight="1" x14ac:dyDescent="0.35">
      <c r="A147" s="231">
        <v>143</v>
      </c>
      <c r="B147" s="135" t="str">
        <f t="shared" si="4"/>
        <v/>
      </c>
      <c r="C147" s="78"/>
      <c r="D147" s="136" t="str">
        <f>IF($C147="","",IFERROR(_xlfn.XLOOKUP($C147,'07. BIA'!$B$6:$B$285,'07. BIA'!$E$6:$E$285,""),""))</f>
        <v/>
      </c>
      <c r="E147" s="136" t="str">
        <f>IF($C147="","",IFERROR(_xlfn.XLOOKUP($C147,'07. BIA'!$B$6:$B$285,'07. BIA'!$F$6:$F$285,""),""))</f>
        <v/>
      </c>
      <c r="F147" s="82"/>
      <c r="G147" s="79"/>
      <c r="H147" s="82"/>
      <c r="I147" s="83"/>
      <c r="J147" s="49"/>
      <c r="K147" s="78"/>
      <c r="L147" s="49"/>
      <c r="M147" s="232"/>
    </row>
    <row r="148" spans="1:13" ht="15" customHeight="1" x14ac:dyDescent="0.35">
      <c r="A148" s="231">
        <v>144</v>
      </c>
      <c r="B148" s="135" t="str">
        <f t="shared" si="4"/>
        <v/>
      </c>
      <c r="C148" s="78"/>
      <c r="D148" s="136" t="str">
        <f>IF($C148="","",IFERROR(_xlfn.XLOOKUP($C148,'07. BIA'!$B$6:$B$285,'07. BIA'!$E$6:$E$285,""),""))</f>
        <v/>
      </c>
      <c r="E148" s="136" t="str">
        <f>IF($C148="","",IFERROR(_xlfn.XLOOKUP($C148,'07. BIA'!$B$6:$B$285,'07. BIA'!$F$6:$F$285,""),""))</f>
        <v/>
      </c>
      <c r="F148" s="82"/>
      <c r="G148" s="79"/>
      <c r="H148" s="82"/>
      <c r="I148" s="83"/>
      <c r="J148" s="49"/>
      <c r="K148" s="78"/>
      <c r="L148" s="49"/>
      <c r="M148" s="232"/>
    </row>
    <row r="149" spans="1:13" ht="15" customHeight="1" x14ac:dyDescent="0.35">
      <c r="A149" s="231">
        <v>145</v>
      </c>
      <c r="B149" s="135" t="str">
        <f t="shared" si="4"/>
        <v/>
      </c>
      <c r="C149" s="78"/>
      <c r="D149" s="136" t="str">
        <f>IF($C149="","",IFERROR(_xlfn.XLOOKUP($C149,'07. BIA'!$B$6:$B$285,'07. BIA'!$E$6:$E$285,""),""))</f>
        <v/>
      </c>
      <c r="E149" s="136" t="str">
        <f>IF($C149="","",IFERROR(_xlfn.XLOOKUP($C149,'07. BIA'!$B$6:$B$285,'07. BIA'!$F$6:$F$285,""),""))</f>
        <v/>
      </c>
      <c r="F149" s="82"/>
      <c r="G149" s="79"/>
      <c r="H149" s="82"/>
      <c r="I149" s="83"/>
      <c r="J149" s="49"/>
      <c r="K149" s="78"/>
      <c r="L149" s="49"/>
      <c r="M149" s="232"/>
    </row>
    <row r="150" spans="1:13" ht="15" customHeight="1" x14ac:dyDescent="0.35">
      <c r="A150" s="231">
        <v>146</v>
      </c>
      <c r="B150" s="135" t="str">
        <f t="shared" si="4"/>
        <v/>
      </c>
      <c r="C150" s="78"/>
      <c r="D150" s="136" t="str">
        <f>IF($C150="","",IFERROR(_xlfn.XLOOKUP($C150,'07. BIA'!$B$6:$B$285,'07. BIA'!$E$6:$E$285,""),""))</f>
        <v/>
      </c>
      <c r="E150" s="136" t="str">
        <f>IF($C150="","",IFERROR(_xlfn.XLOOKUP($C150,'07. BIA'!$B$6:$B$285,'07. BIA'!$F$6:$F$285,""),""))</f>
        <v/>
      </c>
      <c r="F150" s="82"/>
      <c r="G150" s="79"/>
      <c r="H150" s="82"/>
      <c r="I150" s="83"/>
      <c r="J150" s="49"/>
      <c r="K150" s="78"/>
      <c r="L150" s="49"/>
      <c r="M150" s="232"/>
    </row>
    <row r="151" spans="1:13" ht="15" customHeight="1" x14ac:dyDescent="0.35">
      <c r="A151" s="231">
        <v>147</v>
      </c>
      <c r="B151" s="135" t="str">
        <f t="shared" si="4"/>
        <v/>
      </c>
      <c r="C151" s="78"/>
      <c r="D151" s="136" t="str">
        <f>IF($C151="","",IFERROR(_xlfn.XLOOKUP($C151,'07. BIA'!$B$6:$B$285,'07. BIA'!$E$6:$E$285,""),""))</f>
        <v/>
      </c>
      <c r="E151" s="136" t="str">
        <f>IF($C151="","",IFERROR(_xlfn.XLOOKUP($C151,'07. BIA'!$B$6:$B$285,'07. BIA'!$F$6:$F$285,""),""))</f>
        <v/>
      </c>
      <c r="F151" s="82"/>
      <c r="G151" s="79"/>
      <c r="H151" s="82"/>
      <c r="I151" s="83"/>
      <c r="J151" s="49"/>
      <c r="K151" s="78"/>
      <c r="L151" s="49"/>
      <c r="M151" s="232"/>
    </row>
    <row r="152" spans="1:13" ht="15" customHeight="1" x14ac:dyDescent="0.35">
      <c r="A152" s="231">
        <v>148</v>
      </c>
      <c r="B152" s="135" t="str">
        <f t="shared" si="4"/>
        <v/>
      </c>
      <c r="C152" s="78"/>
      <c r="D152" s="136" t="str">
        <f>IF($C152="","",IFERROR(_xlfn.XLOOKUP($C152,'07. BIA'!$B$6:$B$285,'07. BIA'!$E$6:$E$285,""),""))</f>
        <v/>
      </c>
      <c r="E152" s="136" t="str">
        <f>IF($C152="","",IFERROR(_xlfn.XLOOKUP($C152,'07. BIA'!$B$6:$B$285,'07. BIA'!$F$6:$F$285,""),""))</f>
        <v/>
      </c>
      <c r="F152" s="82"/>
      <c r="G152" s="79"/>
      <c r="H152" s="82"/>
      <c r="I152" s="83"/>
      <c r="J152" s="49"/>
      <c r="K152" s="78"/>
      <c r="L152" s="49"/>
      <c r="M152" s="232"/>
    </row>
    <row r="153" spans="1:13" ht="15" customHeight="1" x14ac:dyDescent="0.35">
      <c r="A153" s="231">
        <v>149</v>
      </c>
      <c r="B153" s="135" t="str">
        <f t="shared" si="4"/>
        <v/>
      </c>
      <c r="C153" s="78"/>
      <c r="D153" s="136" t="str">
        <f>IF($C153="","",IFERROR(_xlfn.XLOOKUP($C153,'07. BIA'!$B$6:$B$285,'07. BIA'!$E$6:$E$285,""),""))</f>
        <v/>
      </c>
      <c r="E153" s="136" t="str">
        <f>IF($C153="","",IFERROR(_xlfn.XLOOKUP($C153,'07. BIA'!$B$6:$B$285,'07. BIA'!$F$6:$F$285,""),""))</f>
        <v/>
      </c>
      <c r="F153" s="82"/>
      <c r="G153" s="79"/>
      <c r="H153" s="82"/>
      <c r="I153" s="83"/>
      <c r="J153" s="49"/>
      <c r="K153" s="78"/>
      <c r="L153" s="49"/>
      <c r="M153" s="232"/>
    </row>
    <row r="154" spans="1:13" ht="15" customHeight="1" x14ac:dyDescent="0.35">
      <c r="A154" s="231">
        <v>150</v>
      </c>
      <c r="B154" s="135" t="str">
        <f t="shared" si="4"/>
        <v/>
      </c>
      <c r="C154" s="78"/>
      <c r="D154" s="136" t="str">
        <f>IF($C154="","",IFERROR(_xlfn.XLOOKUP($C154,'07. BIA'!$B$6:$B$285,'07. BIA'!$E$6:$E$285,""),""))</f>
        <v/>
      </c>
      <c r="E154" s="136" t="str">
        <f>IF($C154="","",IFERROR(_xlfn.XLOOKUP($C154,'07. BIA'!$B$6:$B$285,'07. BIA'!$F$6:$F$285,""),""))</f>
        <v/>
      </c>
      <c r="F154" s="82"/>
      <c r="G154" s="79"/>
      <c r="H154" s="82"/>
      <c r="I154" s="83"/>
      <c r="J154" s="49"/>
      <c r="K154" s="78"/>
      <c r="L154" s="49"/>
      <c r="M154" s="232"/>
    </row>
    <row r="155" spans="1:13" ht="15" customHeight="1" x14ac:dyDescent="0.35">
      <c r="A155" s="231">
        <v>151</v>
      </c>
      <c r="B155" s="135" t="str">
        <f t="shared" si="4"/>
        <v/>
      </c>
      <c r="C155" s="78"/>
      <c r="D155" s="136" t="str">
        <f>IF($C155="","",IFERROR(_xlfn.XLOOKUP($C155,'07. BIA'!$B$6:$B$285,'07. BIA'!$E$6:$E$285,""),""))</f>
        <v/>
      </c>
      <c r="E155" s="136" t="str">
        <f>IF($C155="","",IFERROR(_xlfn.XLOOKUP($C155,'07. BIA'!$B$6:$B$285,'07. BIA'!$F$6:$F$285,""),""))</f>
        <v/>
      </c>
      <c r="F155" s="82"/>
      <c r="G155" s="79"/>
      <c r="H155" s="82"/>
      <c r="I155" s="83"/>
      <c r="J155" s="49"/>
      <c r="K155" s="78"/>
      <c r="L155" s="49"/>
      <c r="M155" s="232"/>
    </row>
    <row r="156" spans="1:13" ht="15" customHeight="1" x14ac:dyDescent="0.35">
      <c r="A156" s="231">
        <v>152</v>
      </c>
      <c r="B156" s="135" t="str">
        <f t="shared" si="4"/>
        <v/>
      </c>
      <c r="C156" s="78"/>
      <c r="D156" s="136" t="str">
        <f>IF($C156="","",IFERROR(_xlfn.XLOOKUP($C156,'07. BIA'!$B$6:$B$285,'07. BIA'!$E$6:$E$285,""),""))</f>
        <v/>
      </c>
      <c r="E156" s="136" t="str">
        <f>IF($C156="","",IFERROR(_xlfn.XLOOKUP($C156,'07. BIA'!$B$6:$B$285,'07. BIA'!$F$6:$F$285,""),""))</f>
        <v/>
      </c>
      <c r="F156" s="82"/>
      <c r="G156" s="79"/>
      <c r="H156" s="82"/>
      <c r="I156" s="83"/>
      <c r="J156" s="49"/>
      <c r="K156" s="78"/>
      <c r="L156" s="49"/>
      <c r="M156" s="232"/>
    </row>
    <row r="157" spans="1:13" ht="15" customHeight="1" x14ac:dyDescent="0.35">
      <c r="A157" s="231">
        <v>153</v>
      </c>
      <c r="B157" s="135" t="str">
        <f t="shared" si="4"/>
        <v/>
      </c>
      <c r="C157" s="78"/>
      <c r="D157" s="136" t="str">
        <f>IF($C157="","",IFERROR(_xlfn.XLOOKUP($C157,'07. BIA'!$B$6:$B$285,'07. BIA'!$E$6:$E$285,""),""))</f>
        <v/>
      </c>
      <c r="E157" s="136" t="str">
        <f>IF($C157="","",IFERROR(_xlfn.XLOOKUP($C157,'07. BIA'!$B$6:$B$285,'07. BIA'!$F$6:$F$285,""),""))</f>
        <v/>
      </c>
      <c r="F157" s="82"/>
      <c r="G157" s="79"/>
      <c r="H157" s="82"/>
      <c r="I157" s="83"/>
      <c r="J157" s="49"/>
      <c r="K157" s="78"/>
      <c r="L157" s="49"/>
      <c r="M157" s="232"/>
    </row>
    <row r="158" spans="1:13" ht="15" customHeight="1" x14ac:dyDescent="0.35">
      <c r="A158" s="231">
        <v>154</v>
      </c>
      <c r="B158" s="135" t="str">
        <f t="shared" si="4"/>
        <v/>
      </c>
      <c r="C158" s="78"/>
      <c r="D158" s="136" t="str">
        <f>IF($C158="","",IFERROR(_xlfn.XLOOKUP($C158,'07. BIA'!$B$6:$B$285,'07. BIA'!$E$6:$E$285,""),""))</f>
        <v/>
      </c>
      <c r="E158" s="136" t="str">
        <f>IF($C158="","",IFERROR(_xlfn.XLOOKUP($C158,'07. BIA'!$B$6:$B$285,'07. BIA'!$F$6:$F$285,""),""))</f>
        <v/>
      </c>
      <c r="F158" s="82"/>
      <c r="G158" s="79"/>
      <c r="H158" s="82"/>
      <c r="I158" s="83"/>
      <c r="J158" s="49"/>
      <c r="K158" s="78"/>
      <c r="L158" s="49"/>
      <c r="M158" s="232"/>
    </row>
    <row r="159" spans="1:13" ht="15" customHeight="1" x14ac:dyDescent="0.35">
      <c r="A159" s="231">
        <v>155</v>
      </c>
      <c r="B159" s="135" t="str">
        <f t="shared" si="4"/>
        <v/>
      </c>
      <c r="C159" s="78"/>
      <c r="D159" s="136" t="str">
        <f>IF($C159="","",IFERROR(_xlfn.XLOOKUP($C159,'07. BIA'!$B$6:$B$285,'07. BIA'!$E$6:$E$285,""),""))</f>
        <v/>
      </c>
      <c r="E159" s="136" t="str">
        <f>IF($C159="","",IFERROR(_xlfn.XLOOKUP($C159,'07. BIA'!$B$6:$B$285,'07. BIA'!$F$6:$F$285,""),""))</f>
        <v/>
      </c>
      <c r="F159" s="82"/>
      <c r="G159" s="79"/>
      <c r="H159" s="82"/>
      <c r="I159" s="83"/>
      <c r="J159" s="49"/>
      <c r="K159" s="78"/>
      <c r="L159" s="49"/>
      <c r="M159" s="232"/>
    </row>
    <row r="160" spans="1:13" ht="15" customHeight="1" x14ac:dyDescent="0.35">
      <c r="A160" s="231">
        <v>156</v>
      </c>
      <c r="B160" s="135" t="str">
        <f t="shared" si="4"/>
        <v/>
      </c>
      <c r="C160" s="78"/>
      <c r="D160" s="136" t="str">
        <f>IF($C160="","",IFERROR(_xlfn.XLOOKUP($C160,'07. BIA'!$B$6:$B$285,'07. BIA'!$E$6:$E$285,""),""))</f>
        <v/>
      </c>
      <c r="E160" s="136" t="str">
        <f>IF($C160="","",IFERROR(_xlfn.XLOOKUP($C160,'07. BIA'!$B$6:$B$285,'07. BIA'!$F$6:$F$285,""),""))</f>
        <v/>
      </c>
      <c r="F160" s="82"/>
      <c r="G160" s="79"/>
      <c r="H160" s="82"/>
      <c r="I160" s="83"/>
      <c r="J160" s="49"/>
      <c r="K160" s="78"/>
      <c r="L160" s="49"/>
      <c r="M160" s="232"/>
    </row>
    <row r="161" spans="1:13" ht="15" customHeight="1" x14ac:dyDescent="0.35">
      <c r="A161" s="231">
        <v>157</v>
      </c>
      <c r="B161" s="135" t="str">
        <f t="shared" si="4"/>
        <v/>
      </c>
      <c r="C161" s="78"/>
      <c r="D161" s="136" t="str">
        <f>IF($C161="","",IFERROR(_xlfn.XLOOKUP($C161,'07. BIA'!$B$6:$B$285,'07. BIA'!$E$6:$E$285,""),""))</f>
        <v/>
      </c>
      <c r="E161" s="136" t="str">
        <f>IF($C161="","",IFERROR(_xlfn.XLOOKUP($C161,'07. BIA'!$B$6:$B$285,'07. BIA'!$F$6:$F$285,""),""))</f>
        <v/>
      </c>
      <c r="F161" s="82"/>
      <c r="G161" s="79"/>
      <c r="H161" s="82"/>
      <c r="I161" s="83"/>
      <c r="J161" s="49"/>
      <c r="K161" s="78"/>
      <c r="L161" s="49"/>
      <c r="M161" s="232"/>
    </row>
    <row r="162" spans="1:13" ht="15" customHeight="1" x14ac:dyDescent="0.35">
      <c r="A162" s="231">
        <v>158</v>
      </c>
      <c r="B162" s="135" t="str">
        <f t="shared" si="4"/>
        <v/>
      </c>
      <c r="C162" s="78"/>
      <c r="D162" s="136" t="str">
        <f>IF($C162="","",IFERROR(_xlfn.XLOOKUP($C162,'07. BIA'!$B$6:$B$285,'07. BIA'!$E$6:$E$285,""),""))</f>
        <v/>
      </c>
      <c r="E162" s="136" t="str">
        <f>IF($C162="","",IFERROR(_xlfn.XLOOKUP($C162,'07. BIA'!$B$6:$B$285,'07. BIA'!$F$6:$F$285,""),""))</f>
        <v/>
      </c>
      <c r="F162" s="82"/>
      <c r="G162" s="79"/>
      <c r="H162" s="82"/>
      <c r="I162" s="83"/>
      <c r="J162" s="49"/>
      <c r="K162" s="78"/>
      <c r="L162" s="49"/>
      <c r="M162" s="232"/>
    </row>
    <row r="163" spans="1:13" ht="15" customHeight="1" x14ac:dyDescent="0.35">
      <c r="A163" s="231">
        <v>159</v>
      </c>
      <c r="B163" s="135" t="str">
        <f t="shared" si="4"/>
        <v/>
      </c>
      <c r="C163" s="78"/>
      <c r="D163" s="136" t="str">
        <f>IF($C163="","",IFERROR(_xlfn.XLOOKUP($C163,'07. BIA'!$B$6:$B$285,'07. BIA'!$E$6:$E$285,""),""))</f>
        <v/>
      </c>
      <c r="E163" s="136" t="str">
        <f>IF($C163="","",IFERROR(_xlfn.XLOOKUP($C163,'07. BIA'!$B$6:$B$285,'07. BIA'!$F$6:$F$285,""),""))</f>
        <v/>
      </c>
      <c r="F163" s="82"/>
      <c r="G163" s="79"/>
      <c r="H163" s="82"/>
      <c r="I163" s="83"/>
      <c r="J163" s="49"/>
      <c r="K163" s="78"/>
      <c r="L163" s="49"/>
      <c r="M163" s="232"/>
    </row>
    <row r="164" spans="1:13" ht="15" customHeight="1" x14ac:dyDescent="0.35">
      <c r="A164" s="231">
        <v>160</v>
      </c>
      <c r="B164" s="135" t="str">
        <f t="shared" si="4"/>
        <v/>
      </c>
      <c r="C164" s="78"/>
      <c r="D164" s="136" t="str">
        <f>IF($C164="","",IFERROR(_xlfn.XLOOKUP($C164,'07. BIA'!$B$6:$B$285,'07. BIA'!$E$6:$E$285,""),""))</f>
        <v/>
      </c>
      <c r="E164" s="136" t="str">
        <f>IF($C164="","",IFERROR(_xlfn.XLOOKUP($C164,'07. BIA'!$B$6:$B$285,'07. BIA'!$F$6:$F$285,""),""))</f>
        <v/>
      </c>
      <c r="F164" s="82"/>
      <c r="G164" s="79"/>
      <c r="H164" s="82"/>
      <c r="I164" s="83"/>
      <c r="J164" s="49"/>
      <c r="K164" s="78"/>
      <c r="L164" s="49"/>
      <c r="M164" s="232"/>
    </row>
    <row r="165" spans="1:13" ht="15" customHeight="1" x14ac:dyDescent="0.35">
      <c r="A165" s="231">
        <v>161</v>
      </c>
      <c r="B165" s="135" t="str">
        <f t="shared" ref="B165:B196" si="5">IF($I165="","","DEP-"&amp;TEXT($A165,"000"))</f>
        <v/>
      </c>
      <c r="C165" s="78"/>
      <c r="D165" s="136" t="str">
        <f>IF($C165="","",IFERROR(_xlfn.XLOOKUP($C165,'07. BIA'!$B$6:$B$285,'07. BIA'!$E$6:$E$285,""),""))</f>
        <v/>
      </c>
      <c r="E165" s="136" t="str">
        <f>IF($C165="","",IFERROR(_xlfn.XLOOKUP($C165,'07. BIA'!$B$6:$B$285,'07. BIA'!$F$6:$F$285,""),""))</f>
        <v/>
      </c>
      <c r="F165" s="82"/>
      <c r="G165" s="79"/>
      <c r="H165" s="82"/>
      <c r="I165" s="83"/>
      <c r="J165" s="49"/>
      <c r="K165" s="78"/>
      <c r="L165" s="49"/>
      <c r="M165" s="232"/>
    </row>
    <row r="166" spans="1:13" ht="15" customHeight="1" x14ac:dyDescent="0.35">
      <c r="A166" s="231">
        <v>162</v>
      </c>
      <c r="B166" s="135" t="str">
        <f t="shared" si="5"/>
        <v/>
      </c>
      <c r="C166" s="78"/>
      <c r="D166" s="136" t="str">
        <f>IF($C166="","",IFERROR(_xlfn.XLOOKUP($C166,'07. BIA'!$B$6:$B$285,'07. BIA'!$E$6:$E$285,""),""))</f>
        <v/>
      </c>
      <c r="E166" s="136" t="str">
        <f>IF($C166="","",IFERROR(_xlfn.XLOOKUP($C166,'07. BIA'!$B$6:$B$285,'07. BIA'!$F$6:$F$285,""),""))</f>
        <v/>
      </c>
      <c r="F166" s="82"/>
      <c r="G166" s="79"/>
      <c r="H166" s="82"/>
      <c r="I166" s="83"/>
      <c r="J166" s="49"/>
      <c r="K166" s="78"/>
      <c r="L166" s="49"/>
      <c r="M166" s="232"/>
    </row>
    <row r="167" spans="1:13" ht="15" customHeight="1" x14ac:dyDescent="0.35">
      <c r="A167" s="231">
        <v>163</v>
      </c>
      <c r="B167" s="135" t="str">
        <f t="shared" si="5"/>
        <v/>
      </c>
      <c r="C167" s="78"/>
      <c r="D167" s="136" t="str">
        <f>IF($C167="","",IFERROR(_xlfn.XLOOKUP($C167,'07. BIA'!$B$6:$B$285,'07. BIA'!$E$6:$E$285,""),""))</f>
        <v/>
      </c>
      <c r="E167" s="136" t="str">
        <f>IF($C167="","",IFERROR(_xlfn.XLOOKUP($C167,'07. BIA'!$B$6:$B$285,'07. BIA'!$F$6:$F$285,""),""))</f>
        <v/>
      </c>
      <c r="F167" s="82"/>
      <c r="G167" s="79"/>
      <c r="H167" s="82"/>
      <c r="I167" s="83"/>
      <c r="J167" s="49"/>
      <c r="K167" s="78"/>
      <c r="L167" s="49"/>
      <c r="M167" s="232"/>
    </row>
    <row r="168" spans="1:13" ht="15" customHeight="1" x14ac:dyDescent="0.35">
      <c r="A168" s="231">
        <v>164</v>
      </c>
      <c r="B168" s="135" t="str">
        <f t="shared" si="5"/>
        <v/>
      </c>
      <c r="C168" s="78"/>
      <c r="D168" s="136" t="str">
        <f>IF($C168="","",IFERROR(_xlfn.XLOOKUP($C168,'07. BIA'!$B$6:$B$285,'07. BIA'!$E$6:$E$285,""),""))</f>
        <v/>
      </c>
      <c r="E168" s="136" t="str">
        <f>IF($C168="","",IFERROR(_xlfn.XLOOKUP($C168,'07. BIA'!$B$6:$B$285,'07. BIA'!$F$6:$F$285,""),""))</f>
        <v/>
      </c>
      <c r="F168" s="82"/>
      <c r="G168" s="79"/>
      <c r="H168" s="82"/>
      <c r="I168" s="83"/>
      <c r="J168" s="49"/>
      <c r="K168" s="78"/>
      <c r="L168" s="49"/>
      <c r="M168" s="232"/>
    </row>
    <row r="169" spans="1:13" ht="15" customHeight="1" x14ac:dyDescent="0.35">
      <c r="A169" s="231">
        <v>165</v>
      </c>
      <c r="B169" s="135" t="str">
        <f t="shared" si="5"/>
        <v/>
      </c>
      <c r="C169" s="78"/>
      <c r="D169" s="136" t="str">
        <f>IF($C169="","",IFERROR(_xlfn.XLOOKUP($C169,'07. BIA'!$B$6:$B$285,'07. BIA'!$E$6:$E$285,""),""))</f>
        <v/>
      </c>
      <c r="E169" s="136" t="str">
        <f>IF($C169="","",IFERROR(_xlfn.XLOOKUP($C169,'07. BIA'!$B$6:$B$285,'07. BIA'!$F$6:$F$285,""),""))</f>
        <v/>
      </c>
      <c r="F169" s="82"/>
      <c r="G169" s="79"/>
      <c r="H169" s="82"/>
      <c r="I169" s="83"/>
      <c r="J169" s="49"/>
      <c r="K169" s="78"/>
      <c r="L169" s="49"/>
      <c r="M169" s="232"/>
    </row>
    <row r="170" spans="1:13" ht="15" customHeight="1" x14ac:dyDescent="0.35">
      <c r="A170" s="231">
        <v>166</v>
      </c>
      <c r="B170" s="135" t="str">
        <f t="shared" si="5"/>
        <v/>
      </c>
      <c r="C170" s="78"/>
      <c r="D170" s="136" t="str">
        <f>IF($C170="","",IFERROR(_xlfn.XLOOKUP($C170,'07. BIA'!$B$6:$B$285,'07. BIA'!$E$6:$E$285,""),""))</f>
        <v/>
      </c>
      <c r="E170" s="136" t="str">
        <f>IF($C170="","",IFERROR(_xlfn.XLOOKUP($C170,'07. BIA'!$B$6:$B$285,'07. BIA'!$F$6:$F$285,""),""))</f>
        <v/>
      </c>
      <c r="F170" s="82"/>
      <c r="G170" s="79"/>
      <c r="H170" s="82"/>
      <c r="I170" s="83"/>
      <c r="J170" s="49"/>
      <c r="K170" s="78"/>
      <c r="L170" s="49"/>
      <c r="M170" s="232"/>
    </row>
    <row r="171" spans="1:13" ht="15" customHeight="1" x14ac:dyDescent="0.35">
      <c r="A171" s="231">
        <v>167</v>
      </c>
      <c r="B171" s="135" t="str">
        <f t="shared" si="5"/>
        <v/>
      </c>
      <c r="C171" s="78"/>
      <c r="D171" s="136" t="str">
        <f>IF($C171="","",IFERROR(_xlfn.XLOOKUP($C171,'07. BIA'!$B$6:$B$285,'07. BIA'!$E$6:$E$285,""),""))</f>
        <v/>
      </c>
      <c r="E171" s="136" t="str">
        <f>IF($C171="","",IFERROR(_xlfn.XLOOKUP($C171,'07. BIA'!$B$6:$B$285,'07. BIA'!$F$6:$F$285,""),""))</f>
        <v/>
      </c>
      <c r="F171" s="82"/>
      <c r="G171" s="79"/>
      <c r="H171" s="82"/>
      <c r="I171" s="83"/>
      <c r="J171" s="49"/>
      <c r="K171" s="78"/>
      <c r="L171" s="49"/>
      <c r="M171" s="232"/>
    </row>
    <row r="172" spans="1:13" ht="15" customHeight="1" x14ac:dyDescent="0.35">
      <c r="A172" s="231">
        <v>168</v>
      </c>
      <c r="B172" s="135" t="str">
        <f t="shared" si="5"/>
        <v/>
      </c>
      <c r="C172" s="78"/>
      <c r="D172" s="136" t="str">
        <f>IF($C172="","",IFERROR(_xlfn.XLOOKUP($C172,'07. BIA'!$B$6:$B$285,'07. BIA'!$E$6:$E$285,""),""))</f>
        <v/>
      </c>
      <c r="E172" s="136" t="str">
        <f>IF($C172="","",IFERROR(_xlfn.XLOOKUP($C172,'07. BIA'!$B$6:$B$285,'07. BIA'!$F$6:$F$285,""),""))</f>
        <v/>
      </c>
      <c r="F172" s="82"/>
      <c r="G172" s="79"/>
      <c r="H172" s="82"/>
      <c r="I172" s="83"/>
      <c r="J172" s="49"/>
      <c r="K172" s="78"/>
      <c r="L172" s="49"/>
      <c r="M172" s="232"/>
    </row>
    <row r="173" spans="1:13" ht="15" customHeight="1" x14ac:dyDescent="0.35">
      <c r="A173" s="231">
        <v>169</v>
      </c>
      <c r="B173" s="135" t="str">
        <f t="shared" si="5"/>
        <v/>
      </c>
      <c r="C173" s="78"/>
      <c r="D173" s="136" t="str">
        <f>IF($C173="","",IFERROR(_xlfn.XLOOKUP($C173,'07. BIA'!$B$6:$B$285,'07. BIA'!$E$6:$E$285,""),""))</f>
        <v/>
      </c>
      <c r="E173" s="136" t="str">
        <f>IF($C173="","",IFERROR(_xlfn.XLOOKUP($C173,'07. BIA'!$B$6:$B$285,'07. BIA'!$F$6:$F$285,""),""))</f>
        <v/>
      </c>
      <c r="F173" s="82"/>
      <c r="G173" s="79"/>
      <c r="H173" s="82"/>
      <c r="I173" s="83"/>
      <c r="J173" s="49"/>
      <c r="K173" s="78"/>
      <c r="L173" s="49"/>
      <c r="M173" s="232"/>
    </row>
    <row r="174" spans="1:13" ht="15" customHeight="1" x14ac:dyDescent="0.35">
      <c r="A174" s="231">
        <v>170</v>
      </c>
      <c r="B174" s="135" t="str">
        <f t="shared" si="5"/>
        <v/>
      </c>
      <c r="C174" s="78"/>
      <c r="D174" s="136" t="str">
        <f>IF($C174="","",IFERROR(_xlfn.XLOOKUP($C174,'07. BIA'!$B$6:$B$285,'07. BIA'!$E$6:$E$285,""),""))</f>
        <v/>
      </c>
      <c r="E174" s="136" t="str">
        <f>IF($C174="","",IFERROR(_xlfn.XLOOKUP($C174,'07. BIA'!$B$6:$B$285,'07. BIA'!$F$6:$F$285,""),""))</f>
        <v/>
      </c>
      <c r="F174" s="82"/>
      <c r="G174" s="79"/>
      <c r="H174" s="82"/>
      <c r="I174" s="83"/>
      <c r="J174" s="49"/>
      <c r="K174" s="78"/>
      <c r="L174" s="49"/>
      <c r="M174" s="232"/>
    </row>
    <row r="175" spans="1:13" ht="15" customHeight="1" x14ac:dyDescent="0.35">
      <c r="A175" s="231">
        <v>171</v>
      </c>
      <c r="B175" s="135" t="str">
        <f t="shared" si="5"/>
        <v/>
      </c>
      <c r="C175" s="78"/>
      <c r="D175" s="136" t="str">
        <f>IF($C175="","",IFERROR(_xlfn.XLOOKUP($C175,'07. BIA'!$B$6:$B$285,'07. BIA'!$E$6:$E$285,""),""))</f>
        <v/>
      </c>
      <c r="E175" s="136" t="str">
        <f>IF($C175="","",IFERROR(_xlfn.XLOOKUP($C175,'07. BIA'!$B$6:$B$285,'07. BIA'!$F$6:$F$285,""),""))</f>
        <v/>
      </c>
      <c r="F175" s="82"/>
      <c r="G175" s="79"/>
      <c r="H175" s="82"/>
      <c r="I175" s="83"/>
      <c r="J175" s="49"/>
      <c r="K175" s="78"/>
      <c r="L175" s="49"/>
      <c r="M175" s="232"/>
    </row>
    <row r="176" spans="1:13" ht="15" customHeight="1" x14ac:dyDescent="0.35">
      <c r="A176" s="231">
        <v>172</v>
      </c>
      <c r="B176" s="135" t="str">
        <f t="shared" si="5"/>
        <v/>
      </c>
      <c r="C176" s="78"/>
      <c r="D176" s="136" t="str">
        <f>IF($C176="","",IFERROR(_xlfn.XLOOKUP($C176,'07. BIA'!$B$6:$B$285,'07. BIA'!$E$6:$E$285,""),""))</f>
        <v/>
      </c>
      <c r="E176" s="136" t="str">
        <f>IF($C176="","",IFERROR(_xlfn.XLOOKUP($C176,'07. BIA'!$B$6:$B$285,'07. BIA'!$F$6:$F$285,""),""))</f>
        <v/>
      </c>
      <c r="F176" s="82"/>
      <c r="G176" s="79"/>
      <c r="H176" s="82"/>
      <c r="I176" s="83"/>
      <c r="J176" s="49"/>
      <c r="K176" s="78"/>
      <c r="L176" s="49"/>
      <c r="M176" s="232"/>
    </row>
    <row r="177" spans="1:13" ht="15" customHeight="1" x14ac:dyDescent="0.35">
      <c r="A177" s="231">
        <v>173</v>
      </c>
      <c r="B177" s="135" t="str">
        <f t="shared" si="5"/>
        <v/>
      </c>
      <c r="C177" s="78"/>
      <c r="D177" s="136" t="str">
        <f>IF($C177="","",IFERROR(_xlfn.XLOOKUP($C177,'07. BIA'!$B$6:$B$285,'07. BIA'!$E$6:$E$285,""),""))</f>
        <v/>
      </c>
      <c r="E177" s="136" t="str">
        <f>IF($C177="","",IFERROR(_xlfn.XLOOKUP($C177,'07. BIA'!$B$6:$B$285,'07. BIA'!$F$6:$F$285,""),""))</f>
        <v/>
      </c>
      <c r="F177" s="82"/>
      <c r="G177" s="79"/>
      <c r="H177" s="82"/>
      <c r="I177" s="83"/>
      <c r="J177" s="49"/>
      <c r="K177" s="78"/>
      <c r="L177" s="49"/>
      <c r="M177" s="232"/>
    </row>
    <row r="178" spans="1:13" ht="15" customHeight="1" x14ac:dyDescent="0.35">
      <c r="A178" s="231">
        <v>174</v>
      </c>
      <c r="B178" s="135" t="str">
        <f t="shared" si="5"/>
        <v/>
      </c>
      <c r="C178" s="78"/>
      <c r="D178" s="136" t="str">
        <f>IF($C178="","",IFERROR(_xlfn.XLOOKUP($C178,'07. BIA'!$B$6:$B$285,'07. BIA'!$E$6:$E$285,""),""))</f>
        <v/>
      </c>
      <c r="E178" s="136" t="str">
        <f>IF($C178="","",IFERROR(_xlfn.XLOOKUP($C178,'07. BIA'!$B$6:$B$285,'07. BIA'!$F$6:$F$285,""),""))</f>
        <v/>
      </c>
      <c r="F178" s="82"/>
      <c r="G178" s="79"/>
      <c r="H178" s="82"/>
      <c r="I178" s="83"/>
      <c r="J178" s="49"/>
      <c r="K178" s="78"/>
      <c r="L178" s="49"/>
      <c r="M178" s="232"/>
    </row>
    <row r="179" spans="1:13" ht="15" customHeight="1" x14ac:dyDescent="0.35">
      <c r="A179" s="231">
        <v>175</v>
      </c>
      <c r="B179" s="135" t="str">
        <f t="shared" si="5"/>
        <v/>
      </c>
      <c r="C179" s="78"/>
      <c r="D179" s="136" t="str">
        <f>IF($C179="","",IFERROR(_xlfn.XLOOKUP($C179,'07. BIA'!$B$6:$B$285,'07. BIA'!$E$6:$E$285,""),""))</f>
        <v/>
      </c>
      <c r="E179" s="136" t="str">
        <f>IF($C179="","",IFERROR(_xlfn.XLOOKUP($C179,'07. BIA'!$B$6:$B$285,'07. BIA'!$F$6:$F$285,""),""))</f>
        <v/>
      </c>
      <c r="F179" s="82"/>
      <c r="G179" s="79"/>
      <c r="H179" s="82"/>
      <c r="I179" s="83"/>
      <c r="J179" s="49"/>
      <c r="K179" s="78"/>
      <c r="L179" s="49"/>
      <c r="M179" s="232"/>
    </row>
    <row r="180" spans="1:13" ht="15" customHeight="1" x14ac:dyDescent="0.35">
      <c r="A180" s="231">
        <v>176</v>
      </c>
      <c r="B180" s="135" t="str">
        <f t="shared" si="5"/>
        <v/>
      </c>
      <c r="C180" s="78"/>
      <c r="D180" s="136" t="str">
        <f>IF($C180="","",IFERROR(_xlfn.XLOOKUP($C180,'07. BIA'!$B$6:$B$285,'07. BIA'!$E$6:$E$285,""),""))</f>
        <v/>
      </c>
      <c r="E180" s="136" t="str">
        <f>IF($C180="","",IFERROR(_xlfn.XLOOKUP($C180,'07. BIA'!$B$6:$B$285,'07. BIA'!$F$6:$F$285,""),""))</f>
        <v/>
      </c>
      <c r="F180" s="82"/>
      <c r="G180" s="79"/>
      <c r="H180" s="82"/>
      <c r="I180" s="83"/>
      <c r="J180" s="49"/>
      <c r="K180" s="78"/>
      <c r="L180" s="49"/>
      <c r="M180" s="232"/>
    </row>
    <row r="181" spans="1:13" ht="15" customHeight="1" x14ac:dyDescent="0.35">
      <c r="A181" s="231">
        <v>177</v>
      </c>
      <c r="B181" s="135" t="str">
        <f t="shared" si="5"/>
        <v/>
      </c>
      <c r="C181" s="78"/>
      <c r="D181" s="136" t="str">
        <f>IF($C181="","",IFERROR(_xlfn.XLOOKUP($C181,'07. BIA'!$B$6:$B$285,'07. BIA'!$E$6:$E$285,""),""))</f>
        <v/>
      </c>
      <c r="E181" s="136" t="str">
        <f>IF($C181="","",IFERROR(_xlfn.XLOOKUP($C181,'07. BIA'!$B$6:$B$285,'07. BIA'!$F$6:$F$285,""),""))</f>
        <v/>
      </c>
      <c r="F181" s="82"/>
      <c r="G181" s="79"/>
      <c r="H181" s="82"/>
      <c r="I181" s="83"/>
      <c r="J181" s="49"/>
      <c r="K181" s="78"/>
      <c r="L181" s="49"/>
      <c r="M181" s="232"/>
    </row>
    <row r="182" spans="1:13" ht="15" customHeight="1" x14ac:dyDescent="0.35">
      <c r="A182" s="231">
        <v>178</v>
      </c>
      <c r="B182" s="135" t="str">
        <f t="shared" si="5"/>
        <v/>
      </c>
      <c r="C182" s="78"/>
      <c r="D182" s="136" t="str">
        <f>IF($C182="","",IFERROR(_xlfn.XLOOKUP($C182,'07. BIA'!$B$6:$B$285,'07. BIA'!$E$6:$E$285,""),""))</f>
        <v/>
      </c>
      <c r="E182" s="136" t="str">
        <f>IF($C182="","",IFERROR(_xlfn.XLOOKUP($C182,'07. BIA'!$B$6:$B$285,'07. BIA'!$F$6:$F$285,""),""))</f>
        <v/>
      </c>
      <c r="F182" s="82"/>
      <c r="G182" s="79"/>
      <c r="H182" s="82"/>
      <c r="I182" s="83"/>
      <c r="J182" s="49"/>
      <c r="K182" s="78"/>
      <c r="L182" s="49"/>
      <c r="M182" s="232"/>
    </row>
    <row r="183" spans="1:13" ht="15" customHeight="1" x14ac:dyDescent="0.35">
      <c r="A183" s="231">
        <v>179</v>
      </c>
      <c r="B183" s="135" t="str">
        <f t="shared" si="5"/>
        <v/>
      </c>
      <c r="C183" s="78"/>
      <c r="D183" s="136" t="str">
        <f>IF($C183="","",IFERROR(_xlfn.XLOOKUP($C183,'07. BIA'!$B$6:$B$285,'07. BIA'!$E$6:$E$285,""),""))</f>
        <v/>
      </c>
      <c r="E183" s="136" t="str">
        <f>IF($C183="","",IFERROR(_xlfn.XLOOKUP($C183,'07. BIA'!$B$6:$B$285,'07. BIA'!$F$6:$F$285,""),""))</f>
        <v/>
      </c>
      <c r="F183" s="82"/>
      <c r="G183" s="79"/>
      <c r="H183" s="82"/>
      <c r="I183" s="83"/>
      <c r="J183" s="49"/>
      <c r="K183" s="78"/>
      <c r="L183" s="49"/>
      <c r="M183" s="232"/>
    </row>
    <row r="184" spans="1:13" ht="15" customHeight="1" x14ac:dyDescent="0.35">
      <c r="A184" s="231">
        <v>180</v>
      </c>
      <c r="B184" s="135" t="str">
        <f t="shared" si="5"/>
        <v/>
      </c>
      <c r="C184" s="78"/>
      <c r="D184" s="136" t="str">
        <f>IF($C184="","",IFERROR(_xlfn.XLOOKUP($C184,'07. BIA'!$B$6:$B$285,'07. BIA'!$E$6:$E$285,""),""))</f>
        <v/>
      </c>
      <c r="E184" s="136" t="str">
        <f>IF($C184="","",IFERROR(_xlfn.XLOOKUP($C184,'07. BIA'!$B$6:$B$285,'07. BIA'!$F$6:$F$285,""),""))</f>
        <v/>
      </c>
      <c r="F184" s="82"/>
      <c r="G184" s="79"/>
      <c r="H184" s="82"/>
      <c r="I184" s="83"/>
      <c r="J184" s="49"/>
      <c r="K184" s="78"/>
      <c r="L184" s="49"/>
      <c r="M184" s="232"/>
    </row>
    <row r="185" spans="1:13" ht="15" customHeight="1" x14ac:dyDescent="0.35">
      <c r="A185" s="231">
        <v>181</v>
      </c>
      <c r="B185" s="135" t="str">
        <f t="shared" si="5"/>
        <v/>
      </c>
      <c r="C185" s="78"/>
      <c r="D185" s="136" t="str">
        <f>IF($C185="","",IFERROR(_xlfn.XLOOKUP($C185,'07. BIA'!$B$6:$B$285,'07. BIA'!$E$6:$E$285,""),""))</f>
        <v/>
      </c>
      <c r="E185" s="136" t="str">
        <f>IF($C185="","",IFERROR(_xlfn.XLOOKUP($C185,'07. BIA'!$B$6:$B$285,'07. BIA'!$F$6:$F$285,""),""))</f>
        <v/>
      </c>
      <c r="F185" s="82"/>
      <c r="G185" s="79"/>
      <c r="H185" s="82"/>
      <c r="I185" s="83"/>
      <c r="J185" s="49"/>
      <c r="K185" s="78"/>
      <c r="L185" s="49"/>
      <c r="M185" s="232"/>
    </row>
    <row r="186" spans="1:13" ht="15" customHeight="1" x14ac:dyDescent="0.35">
      <c r="A186" s="231">
        <v>182</v>
      </c>
      <c r="B186" s="135" t="str">
        <f t="shared" si="5"/>
        <v/>
      </c>
      <c r="C186" s="78"/>
      <c r="D186" s="136" t="str">
        <f>IF($C186="","",IFERROR(_xlfn.XLOOKUP($C186,'07. BIA'!$B$6:$B$285,'07. BIA'!$E$6:$E$285,""),""))</f>
        <v/>
      </c>
      <c r="E186" s="136" t="str">
        <f>IF($C186="","",IFERROR(_xlfn.XLOOKUP($C186,'07. BIA'!$B$6:$B$285,'07. BIA'!$F$6:$F$285,""),""))</f>
        <v/>
      </c>
      <c r="F186" s="82"/>
      <c r="G186" s="79"/>
      <c r="H186" s="82"/>
      <c r="I186" s="83"/>
      <c r="J186" s="49"/>
      <c r="K186" s="78"/>
      <c r="L186" s="49"/>
      <c r="M186" s="232"/>
    </row>
    <row r="187" spans="1:13" ht="15" customHeight="1" x14ac:dyDescent="0.35">
      <c r="A187" s="231">
        <v>183</v>
      </c>
      <c r="B187" s="135" t="str">
        <f t="shared" si="5"/>
        <v/>
      </c>
      <c r="C187" s="78"/>
      <c r="D187" s="136" t="str">
        <f>IF($C187="","",IFERROR(_xlfn.XLOOKUP($C187,'07. BIA'!$B$6:$B$285,'07. BIA'!$E$6:$E$285,""),""))</f>
        <v/>
      </c>
      <c r="E187" s="136" t="str">
        <f>IF($C187="","",IFERROR(_xlfn.XLOOKUP($C187,'07. BIA'!$B$6:$B$285,'07. BIA'!$F$6:$F$285,""),""))</f>
        <v/>
      </c>
      <c r="F187" s="82"/>
      <c r="G187" s="79"/>
      <c r="H187" s="82"/>
      <c r="I187" s="83"/>
      <c r="J187" s="49"/>
      <c r="K187" s="78"/>
      <c r="L187" s="49"/>
      <c r="M187" s="232"/>
    </row>
    <row r="188" spans="1:13" ht="15" customHeight="1" x14ac:dyDescent="0.35">
      <c r="A188" s="231">
        <v>184</v>
      </c>
      <c r="B188" s="135" t="str">
        <f t="shared" si="5"/>
        <v/>
      </c>
      <c r="C188" s="78"/>
      <c r="D188" s="136" t="str">
        <f>IF($C188="","",IFERROR(_xlfn.XLOOKUP($C188,'07. BIA'!$B$6:$B$285,'07. BIA'!$E$6:$E$285,""),""))</f>
        <v/>
      </c>
      <c r="E188" s="136" t="str">
        <f>IF($C188="","",IFERROR(_xlfn.XLOOKUP($C188,'07. BIA'!$B$6:$B$285,'07. BIA'!$F$6:$F$285,""),""))</f>
        <v/>
      </c>
      <c r="F188" s="82"/>
      <c r="G188" s="79"/>
      <c r="H188" s="82"/>
      <c r="I188" s="83"/>
      <c r="J188" s="49"/>
      <c r="K188" s="78"/>
      <c r="L188" s="49"/>
      <c r="M188" s="232"/>
    </row>
    <row r="189" spans="1:13" ht="15" customHeight="1" x14ac:dyDescent="0.35">
      <c r="A189" s="231">
        <v>185</v>
      </c>
      <c r="B189" s="135" t="str">
        <f t="shared" si="5"/>
        <v/>
      </c>
      <c r="C189" s="78"/>
      <c r="D189" s="136" t="str">
        <f>IF($C189="","",IFERROR(_xlfn.XLOOKUP($C189,'07. BIA'!$B$6:$B$285,'07. BIA'!$E$6:$E$285,""),""))</f>
        <v/>
      </c>
      <c r="E189" s="136" t="str">
        <f>IF($C189="","",IFERROR(_xlfn.XLOOKUP($C189,'07. BIA'!$B$6:$B$285,'07. BIA'!$F$6:$F$285,""),""))</f>
        <v/>
      </c>
      <c r="F189" s="82"/>
      <c r="G189" s="79"/>
      <c r="H189" s="82"/>
      <c r="I189" s="83"/>
      <c r="J189" s="49"/>
      <c r="K189" s="78"/>
      <c r="L189" s="49"/>
      <c r="M189" s="232"/>
    </row>
    <row r="190" spans="1:13" ht="15" customHeight="1" x14ac:dyDescent="0.35">
      <c r="A190" s="231">
        <v>186</v>
      </c>
      <c r="B190" s="135" t="str">
        <f t="shared" si="5"/>
        <v/>
      </c>
      <c r="C190" s="78"/>
      <c r="D190" s="136" t="str">
        <f>IF($C190="","",IFERROR(_xlfn.XLOOKUP($C190,'07. BIA'!$B$6:$B$285,'07. BIA'!$E$6:$E$285,""),""))</f>
        <v/>
      </c>
      <c r="E190" s="136" t="str">
        <f>IF($C190="","",IFERROR(_xlfn.XLOOKUP($C190,'07. BIA'!$B$6:$B$285,'07. BIA'!$F$6:$F$285,""),""))</f>
        <v/>
      </c>
      <c r="F190" s="82"/>
      <c r="G190" s="79"/>
      <c r="H190" s="82"/>
      <c r="I190" s="83"/>
      <c r="J190" s="49"/>
      <c r="K190" s="78"/>
      <c r="L190" s="49"/>
      <c r="M190" s="232"/>
    </row>
    <row r="191" spans="1:13" ht="15" customHeight="1" x14ac:dyDescent="0.35">
      <c r="A191" s="231">
        <v>187</v>
      </c>
      <c r="B191" s="135" t="str">
        <f t="shared" si="5"/>
        <v/>
      </c>
      <c r="C191" s="78"/>
      <c r="D191" s="136" t="str">
        <f>IF($C191="","",IFERROR(_xlfn.XLOOKUP($C191,'07. BIA'!$B$6:$B$285,'07. BIA'!$E$6:$E$285,""),""))</f>
        <v/>
      </c>
      <c r="E191" s="136" t="str">
        <f>IF($C191="","",IFERROR(_xlfn.XLOOKUP($C191,'07. BIA'!$B$6:$B$285,'07. BIA'!$F$6:$F$285,""),""))</f>
        <v/>
      </c>
      <c r="F191" s="82"/>
      <c r="G191" s="79"/>
      <c r="H191" s="82"/>
      <c r="I191" s="83"/>
      <c r="J191" s="49"/>
      <c r="K191" s="78"/>
      <c r="L191" s="49"/>
      <c r="M191" s="232"/>
    </row>
    <row r="192" spans="1:13" ht="15" customHeight="1" x14ac:dyDescent="0.35">
      <c r="A192" s="231">
        <v>188</v>
      </c>
      <c r="B192" s="135" t="str">
        <f t="shared" si="5"/>
        <v/>
      </c>
      <c r="C192" s="78"/>
      <c r="D192" s="136" t="str">
        <f>IF($C192="","",IFERROR(_xlfn.XLOOKUP($C192,'07. BIA'!$B$6:$B$285,'07. BIA'!$E$6:$E$285,""),""))</f>
        <v/>
      </c>
      <c r="E192" s="136" t="str">
        <f>IF($C192="","",IFERROR(_xlfn.XLOOKUP($C192,'07. BIA'!$B$6:$B$285,'07. BIA'!$F$6:$F$285,""),""))</f>
        <v/>
      </c>
      <c r="F192" s="82"/>
      <c r="G192" s="79"/>
      <c r="H192" s="82"/>
      <c r="I192" s="83"/>
      <c r="J192" s="49"/>
      <c r="K192" s="78"/>
      <c r="L192" s="49"/>
      <c r="M192" s="232"/>
    </row>
    <row r="193" spans="1:13" ht="15" customHeight="1" x14ac:dyDescent="0.35">
      <c r="A193" s="231">
        <v>189</v>
      </c>
      <c r="B193" s="135" t="str">
        <f t="shared" si="5"/>
        <v/>
      </c>
      <c r="C193" s="78"/>
      <c r="D193" s="136" t="str">
        <f>IF($C193="","",IFERROR(_xlfn.XLOOKUP($C193,'07. BIA'!$B$6:$B$285,'07. BIA'!$E$6:$E$285,""),""))</f>
        <v/>
      </c>
      <c r="E193" s="136" t="str">
        <f>IF($C193="","",IFERROR(_xlfn.XLOOKUP($C193,'07. BIA'!$B$6:$B$285,'07. BIA'!$F$6:$F$285,""),""))</f>
        <v/>
      </c>
      <c r="F193" s="82"/>
      <c r="G193" s="79"/>
      <c r="H193" s="82"/>
      <c r="I193" s="83"/>
      <c r="J193" s="49"/>
      <c r="K193" s="78"/>
      <c r="L193" s="49"/>
      <c r="M193" s="232"/>
    </row>
    <row r="194" spans="1:13" ht="15" customHeight="1" x14ac:dyDescent="0.35">
      <c r="A194" s="231">
        <v>190</v>
      </c>
      <c r="B194" s="135" t="str">
        <f t="shared" si="5"/>
        <v/>
      </c>
      <c r="C194" s="78"/>
      <c r="D194" s="136" t="str">
        <f>IF($C194="","",IFERROR(_xlfn.XLOOKUP($C194,'07. BIA'!$B$6:$B$285,'07. BIA'!$E$6:$E$285,""),""))</f>
        <v/>
      </c>
      <c r="E194" s="136" t="str">
        <f>IF($C194="","",IFERROR(_xlfn.XLOOKUP($C194,'07. BIA'!$B$6:$B$285,'07. BIA'!$F$6:$F$285,""),""))</f>
        <v/>
      </c>
      <c r="F194" s="82"/>
      <c r="G194" s="79"/>
      <c r="H194" s="82"/>
      <c r="I194" s="83"/>
      <c r="J194" s="49"/>
      <c r="K194" s="78"/>
      <c r="L194" s="49"/>
      <c r="M194" s="232"/>
    </row>
    <row r="195" spans="1:13" ht="15" customHeight="1" x14ac:dyDescent="0.35">
      <c r="A195" s="231">
        <v>191</v>
      </c>
      <c r="B195" s="135" t="str">
        <f t="shared" si="5"/>
        <v/>
      </c>
      <c r="C195" s="78"/>
      <c r="D195" s="136" t="str">
        <f>IF($C195="","",IFERROR(_xlfn.XLOOKUP($C195,'07. BIA'!$B$6:$B$285,'07. BIA'!$E$6:$E$285,""),""))</f>
        <v/>
      </c>
      <c r="E195" s="136" t="str">
        <f>IF($C195="","",IFERROR(_xlfn.XLOOKUP($C195,'07. BIA'!$B$6:$B$285,'07. BIA'!$F$6:$F$285,""),""))</f>
        <v/>
      </c>
      <c r="F195" s="82"/>
      <c r="G195" s="79"/>
      <c r="H195" s="82"/>
      <c r="I195" s="83"/>
      <c r="J195" s="49"/>
      <c r="K195" s="78"/>
      <c r="L195" s="49"/>
      <c r="M195" s="232"/>
    </row>
    <row r="196" spans="1:13" ht="15" customHeight="1" x14ac:dyDescent="0.35">
      <c r="A196" s="231">
        <v>192</v>
      </c>
      <c r="B196" s="135" t="str">
        <f t="shared" si="5"/>
        <v/>
      </c>
      <c r="C196" s="78"/>
      <c r="D196" s="136" t="str">
        <f>IF($C196="","",IFERROR(_xlfn.XLOOKUP($C196,'07. BIA'!$B$6:$B$285,'07. BIA'!$E$6:$E$285,""),""))</f>
        <v/>
      </c>
      <c r="E196" s="136" t="str">
        <f>IF($C196="","",IFERROR(_xlfn.XLOOKUP($C196,'07. BIA'!$B$6:$B$285,'07. BIA'!$F$6:$F$285,""),""))</f>
        <v/>
      </c>
      <c r="F196" s="82"/>
      <c r="G196" s="79"/>
      <c r="H196" s="82"/>
      <c r="I196" s="83"/>
      <c r="J196" s="49"/>
      <c r="K196" s="78"/>
      <c r="L196" s="49"/>
      <c r="M196" s="232"/>
    </row>
    <row r="197" spans="1:13" ht="15" customHeight="1" x14ac:dyDescent="0.35">
      <c r="A197" s="231">
        <v>193</v>
      </c>
      <c r="B197" s="135" t="str">
        <f t="shared" ref="B197:B204" si="6">IF($I197="","","DEP-"&amp;TEXT($A197,"000"))</f>
        <v/>
      </c>
      <c r="C197" s="78"/>
      <c r="D197" s="136" t="str">
        <f>IF($C197="","",IFERROR(_xlfn.XLOOKUP($C197,'07. BIA'!$B$6:$B$285,'07. BIA'!$E$6:$E$285,""),""))</f>
        <v/>
      </c>
      <c r="E197" s="136" t="str">
        <f>IF($C197="","",IFERROR(_xlfn.XLOOKUP($C197,'07. BIA'!$B$6:$B$285,'07. BIA'!$F$6:$F$285,""),""))</f>
        <v/>
      </c>
      <c r="F197" s="82"/>
      <c r="G197" s="79"/>
      <c r="H197" s="82"/>
      <c r="I197" s="83"/>
      <c r="J197" s="49"/>
      <c r="K197" s="78"/>
      <c r="L197" s="49"/>
      <c r="M197" s="232"/>
    </row>
    <row r="198" spans="1:13" ht="15" customHeight="1" x14ac:dyDescent="0.35">
      <c r="A198" s="231">
        <v>194</v>
      </c>
      <c r="B198" s="135" t="str">
        <f t="shared" si="6"/>
        <v/>
      </c>
      <c r="C198" s="78"/>
      <c r="D198" s="136" t="str">
        <f>IF($C198="","",IFERROR(_xlfn.XLOOKUP($C198,'07. BIA'!$B$6:$B$285,'07. BIA'!$E$6:$E$285,""),""))</f>
        <v/>
      </c>
      <c r="E198" s="136" t="str">
        <f>IF($C198="","",IFERROR(_xlfn.XLOOKUP($C198,'07. BIA'!$B$6:$B$285,'07. BIA'!$F$6:$F$285,""),""))</f>
        <v/>
      </c>
      <c r="F198" s="82"/>
      <c r="G198" s="79"/>
      <c r="H198" s="82"/>
      <c r="I198" s="83"/>
      <c r="J198" s="49"/>
      <c r="K198" s="78"/>
      <c r="L198" s="49"/>
      <c r="M198" s="232"/>
    </row>
    <row r="199" spans="1:13" ht="15" customHeight="1" x14ac:dyDescent="0.35">
      <c r="A199" s="231">
        <v>195</v>
      </c>
      <c r="B199" s="135" t="str">
        <f t="shared" si="6"/>
        <v/>
      </c>
      <c r="C199" s="78"/>
      <c r="D199" s="136" t="str">
        <f>IF($C199="","",IFERROR(_xlfn.XLOOKUP($C199,'07. BIA'!$B$6:$B$285,'07. BIA'!$E$6:$E$285,""),""))</f>
        <v/>
      </c>
      <c r="E199" s="136" t="str">
        <f>IF($C199="","",IFERROR(_xlfn.XLOOKUP($C199,'07. BIA'!$B$6:$B$285,'07. BIA'!$F$6:$F$285,""),""))</f>
        <v/>
      </c>
      <c r="F199" s="82"/>
      <c r="G199" s="79"/>
      <c r="H199" s="82"/>
      <c r="I199" s="83"/>
      <c r="J199" s="49"/>
      <c r="K199" s="78"/>
      <c r="L199" s="49"/>
      <c r="M199" s="232"/>
    </row>
    <row r="200" spans="1:13" ht="15" customHeight="1" x14ac:dyDescent="0.35">
      <c r="A200" s="231">
        <v>196</v>
      </c>
      <c r="B200" s="135" t="str">
        <f t="shared" si="6"/>
        <v/>
      </c>
      <c r="C200" s="78"/>
      <c r="D200" s="136" t="str">
        <f>IF($C200="","",IFERROR(_xlfn.XLOOKUP($C200,'07. BIA'!$B$6:$B$285,'07. BIA'!$E$6:$E$285,""),""))</f>
        <v/>
      </c>
      <c r="E200" s="136" t="str">
        <f>IF($C200="","",IFERROR(_xlfn.XLOOKUP($C200,'07. BIA'!$B$6:$B$285,'07. BIA'!$F$6:$F$285,""),""))</f>
        <v/>
      </c>
      <c r="F200" s="82"/>
      <c r="G200" s="79"/>
      <c r="H200" s="82"/>
      <c r="I200" s="83"/>
      <c r="J200" s="49"/>
      <c r="K200" s="78"/>
      <c r="L200" s="49"/>
      <c r="M200" s="232"/>
    </row>
    <row r="201" spans="1:13" ht="15" customHeight="1" x14ac:dyDescent="0.35">
      <c r="A201" s="231">
        <v>197</v>
      </c>
      <c r="B201" s="135" t="str">
        <f t="shared" si="6"/>
        <v/>
      </c>
      <c r="C201" s="78"/>
      <c r="D201" s="136" t="str">
        <f>IF($C201="","",IFERROR(_xlfn.XLOOKUP($C201,'07. BIA'!$B$6:$B$285,'07. BIA'!$E$6:$E$285,""),""))</f>
        <v/>
      </c>
      <c r="E201" s="136" t="str">
        <f>IF($C201="","",IFERROR(_xlfn.XLOOKUP($C201,'07. BIA'!$B$6:$B$285,'07. BIA'!$F$6:$F$285,""),""))</f>
        <v/>
      </c>
      <c r="F201" s="82"/>
      <c r="G201" s="79"/>
      <c r="H201" s="82"/>
      <c r="I201" s="83"/>
      <c r="J201" s="49"/>
      <c r="K201" s="78"/>
      <c r="L201" s="49"/>
      <c r="M201" s="232"/>
    </row>
    <row r="202" spans="1:13" ht="15" customHeight="1" x14ac:dyDescent="0.35">
      <c r="A202" s="231">
        <v>198</v>
      </c>
      <c r="B202" s="135" t="str">
        <f t="shared" si="6"/>
        <v/>
      </c>
      <c r="C202" s="78"/>
      <c r="D202" s="136" t="str">
        <f>IF($C202="","",IFERROR(_xlfn.XLOOKUP($C202,'07. BIA'!$B$6:$B$285,'07. BIA'!$E$6:$E$285,""),""))</f>
        <v/>
      </c>
      <c r="E202" s="136" t="str">
        <f>IF($C202="","",IFERROR(_xlfn.XLOOKUP($C202,'07. BIA'!$B$6:$B$285,'07. BIA'!$F$6:$F$285,""),""))</f>
        <v/>
      </c>
      <c r="F202" s="82"/>
      <c r="G202" s="79"/>
      <c r="H202" s="82"/>
      <c r="I202" s="83"/>
      <c r="J202" s="49"/>
      <c r="K202" s="78"/>
      <c r="L202" s="49"/>
      <c r="M202" s="232"/>
    </row>
    <row r="203" spans="1:13" ht="15" customHeight="1" x14ac:dyDescent="0.35">
      <c r="A203" s="231">
        <v>199</v>
      </c>
      <c r="B203" s="135" t="str">
        <f t="shared" si="6"/>
        <v/>
      </c>
      <c r="C203" s="78"/>
      <c r="D203" s="136" t="str">
        <f>IF($C203="","",IFERROR(_xlfn.XLOOKUP($C203,'07. BIA'!$B$6:$B$285,'07. BIA'!$E$6:$E$285,""),""))</f>
        <v/>
      </c>
      <c r="E203" s="136" t="str">
        <f>IF($C203="","",IFERROR(_xlfn.XLOOKUP($C203,'07. BIA'!$B$6:$B$285,'07. BIA'!$F$6:$F$285,""),""))</f>
        <v/>
      </c>
      <c r="F203" s="82"/>
      <c r="G203" s="79"/>
      <c r="H203" s="82"/>
      <c r="I203" s="83"/>
      <c r="J203" s="49"/>
      <c r="K203" s="78"/>
      <c r="L203" s="49"/>
      <c r="M203" s="232"/>
    </row>
    <row r="204" spans="1:13" ht="15" customHeight="1" x14ac:dyDescent="0.35">
      <c r="A204" s="237">
        <v>200</v>
      </c>
      <c r="B204" s="238" t="str">
        <f t="shared" si="6"/>
        <v/>
      </c>
      <c r="C204" s="239"/>
      <c r="D204" s="240" t="str">
        <f>IF($C204="","",IFERROR(_xlfn.XLOOKUP($C204,'07. BIA'!$B$6:$B$285,'07. BIA'!$E$6:$E$285,""),""))</f>
        <v/>
      </c>
      <c r="E204" s="240" t="str">
        <f>IF($C204="","",IFERROR(_xlfn.XLOOKUP($C204,'07. BIA'!$B$6:$B$285,'07. BIA'!$F$6:$F$285,""),""))</f>
        <v/>
      </c>
      <c r="F204" s="241"/>
      <c r="G204" s="242"/>
      <c r="H204" s="241"/>
      <c r="I204" s="243"/>
      <c r="J204" s="214"/>
      <c r="K204" s="239"/>
      <c r="L204" s="214"/>
      <c r="M204" s="244"/>
    </row>
  </sheetData>
  <mergeCells count="2">
    <mergeCell ref="A1:M1"/>
    <mergeCell ref="A2:M2"/>
  </mergeCells>
  <dataValidations count="8">
    <dataValidation type="list" allowBlank="1" sqref="C5:C204" xr:uid="{00000000-0002-0000-0800-000000000000}">
      <formula1>BIAIDs</formula1>
    </dataValidation>
    <dataValidation type="list" allowBlank="1" sqref="F5:F204" xr:uid="{00000000-0002-0000-0800-000001000000}">
      <formula1>lstDepCat</formula1>
      <formula2>0</formula2>
    </dataValidation>
    <dataValidation type="list" allowBlank="1" sqref="K5:K204" xr:uid="{00000000-0002-0000-0800-000002000000}">
      <formula1>lstSPOF</formula1>
      <formula2>0</formula2>
    </dataValidation>
    <dataValidation type="list" allowBlank="1" sqref="H19:H204" xr:uid="{00000000-0002-0000-0800-000003000000}">
      <formula1>"Application"</formula1>
    </dataValidation>
    <dataValidation type="list" allowBlank="1" sqref="G12:G204" xr:uid="{00000000-0002-0000-0800-000004000000}">
      <formula1>IF(F12="ICT",ICT_List,IF(F12="Equipment",Equip_list,""))</formula1>
    </dataValidation>
    <dataValidation type="list" allowBlank="1" showInputMessage="1" showErrorMessage="1" sqref="H6:H12" xr:uid="{00000000-0002-0000-0800-000005000000}">
      <formula1>IF(AND(F6="ICT",G6="Application"),I_A,IF(AND(F6="ICT",G6="Service"),I_S,IF(AND(F6="Equipment",G6="Equipment"),E_E,IF(AND(F6="Equipment",G6="Application"),E_A,"No"))))</formula1>
    </dataValidation>
    <dataValidation type="list" allowBlank="1" sqref="G5:G11" xr:uid="{5217F368-A3AB-4984-B15D-B53DFC8FB270}">
      <formula1>IF(F5="ICT",ICT_List,IF(F5="Equipment / Building / Utilities",E_1,""))</formula1>
    </dataValidation>
    <dataValidation type="list" allowBlank="1" showInputMessage="1" showErrorMessage="1" sqref="H5" xr:uid="{ABC230D7-9BCA-4D82-BEDE-AD44DECA43D0}">
      <formula1>IF(AND(F5="ICT",G5="Application"),I_A,IF(AND(F5="ICT",G5="Service"),I_S,IF(AND(F5="Equipment / Building / Utilities",G5="Equipment / Building / Utilities"),E_E,"No")))</formula1>
    </dataValidation>
  </dataValidations>
  <pageMargins left="0.75" right="0.75" top="1" bottom="1" header="0.511811023622047" footer="0.51180555555555596"/>
  <pageSetup paperSize="9" orientation="portrait" horizontalDpi="300" verticalDpi="300"/>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92882"/>
  </sheetPr>
  <dimension ref="A1:R24"/>
  <sheetViews>
    <sheetView topLeftCell="B1" zoomScaleNormal="100" workbookViewId="0">
      <selection activeCell="C6" sqref="C6"/>
    </sheetView>
  </sheetViews>
  <sheetFormatPr defaultColWidth="9.1796875" defaultRowHeight="14.5" x14ac:dyDescent="0.35"/>
  <cols>
    <col min="1" max="1" width="27.6328125" style="39" bestFit="1" customWidth="1"/>
    <col min="2" max="2" width="18.453125" style="39" customWidth="1"/>
    <col min="3" max="3" width="23" style="39" bestFit="1" customWidth="1"/>
    <col min="4" max="4" width="31.7265625" style="39" bestFit="1" customWidth="1"/>
    <col min="5" max="5" width="28.6328125" style="39" bestFit="1" customWidth="1"/>
    <col min="6" max="6" width="23.54296875" style="39" bestFit="1" customWidth="1"/>
    <col min="7" max="7" width="32.7265625" style="39" bestFit="1" customWidth="1"/>
    <col min="8" max="8" width="24.90625" style="39" bestFit="1" customWidth="1"/>
    <col min="9" max="9" width="35.7265625" style="39" bestFit="1" customWidth="1"/>
    <col min="10" max="13" width="9.1796875" style="39"/>
    <col min="14" max="14" width="44.26953125" style="39" bestFit="1" customWidth="1"/>
    <col min="15" max="15" width="44.1796875" style="39" bestFit="1" customWidth="1"/>
    <col min="16" max="16" width="44.453125" style="39" bestFit="1" customWidth="1"/>
    <col min="17" max="17" width="48.7265625" style="39" customWidth="1"/>
    <col min="18" max="18" width="9.1796875" style="39"/>
    <col min="19" max="22" width="44.54296875" style="39" customWidth="1"/>
    <col min="23" max="23" width="9.1796875" style="39"/>
    <col min="24" max="27" width="44.26953125" style="39" customWidth="1"/>
    <col min="28" max="28" width="9.1796875" style="39"/>
    <col min="29" max="32" width="44.54296875" style="39" customWidth="1"/>
    <col min="33" max="33" width="9.1796875" style="39"/>
    <col min="34" max="34" width="43.26953125" style="39" bestFit="1" customWidth="1"/>
    <col min="35" max="35" width="43.54296875" style="39" bestFit="1" customWidth="1"/>
    <col min="36" max="36" width="44.26953125" style="39" bestFit="1" customWidth="1"/>
    <col min="37" max="37" width="43.7265625" style="39" bestFit="1" customWidth="1"/>
    <col min="38" max="38" width="9.1796875" style="39"/>
    <col min="39" max="39" width="43.26953125" style="39" bestFit="1" customWidth="1"/>
    <col min="40" max="40" width="43.54296875" style="39" bestFit="1" customWidth="1"/>
    <col min="41" max="41" width="44.26953125" style="39" bestFit="1" customWidth="1"/>
    <col min="42" max="42" width="43.453125" style="39" bestFit="1" customWidth="1"/>
    <col min="43" max="43" width="9.1796875" style="39"/>
    <col min="44" max="44" width="43" style="39" bestFit="1" customWidth="1"/>
    <col min="45" max="45" width="43.1796875" style="39" bestFit="1" customWidth="1"/>
    <col min="46" max="46" width="44.26953125" style="39" bestFit="1" customWidth="1"/>
    <col min="47" max="47" width="43.1796875" style="39" bestFit="1" customWidth="1"/>
    <col min="48" max="16384" width="9.1796875" style="39"/>
  </cols>
  <sheetData>
    <row r="1" spans="1:18" x14ac:dyDescent="0.35">
      <c r="A1" s="381" t="s">
        <v>324</v>
      </c>
      <c r="B1" s="320"/>
      <c r="C1" s="320"/>
      <c r="D1" s="320"/>
      <c r="E1" s="320"/>
      <c r="F1" s="320"/>
      <c r="G1" s="320"/>
      <c r="H1" s="320"/>
      <c r="I1" s="320"/>
      <c r="J1" s="320"/>
      <c r="K1" s="320"/>
      <c r="L1" s="320"/>
      <c r="M1" s="320"/>
      <c r="N1" s="320"/>
      <c r="O1" s="320"/>
      <c r="P1" s="320"/>
      <c r="Q1" s="320"/>
      <c r="R1" s="320"/>
    </row>
    <row r="2" spans="1:18" x14ac:dyDescent="0.35">
      <c r="A2" s="380" t="s">
        <v>325</v>
      </c>
      <c r="B2" s="320"/>
      <c r="C2" s="320"/>
      <c r="D2" s="320"/>
      <c r="E2" s="320"/>
      <c r="F2" s="320"/>
      <c r="G2" s="320"/>
      <c r="H2" s="320"/>
      <c r="I2" s="320"/>
      <c r="J2" s="320"/>
      <c r="K2" s="320"/>
      <c r="L2" s="320"/>
      <c r="M2" s="320"/>
      <c r="N2" s="320"/>
      <c r="O2" s="320"/>
      <c r="P2" s="320"/>
      <c r="Q2" s="320"/>
      <c r="R2" s="320"/>
    </row>
    <row r="3" spans="1:18" x14ac:dyDescent="0.35">
      <c r="C3"/>
      <c r="D3"/>
      <c r="E3"/>
      <c r="F3"/>
      <c r="G3"/>
      <c r="H3"/>
      <c r="I3"/>
    </row>
    <row r="4" spans="1:18" x14ac:dyDescent="0.35">
      <c r="A4" s="89" t="s">
        <v>327</v>
      </c>
      <c r="C4" s="89" t="s">
        <v>300</v>
      </c>
      <c r="D4" s="89" t="s">
        <v>301</v>
      </c>
      <c r="E4" s="89" t="s">
        <v>302</v>
      </c>
      <c r="F4" s="89" t="s">
        <v>303</v>
      </c>
      <c r="G4" s="89" t="s">
        <v>304</v>
      </c>
      <c r="H4" s="89" t="s">
        <v>305</v>
      </c>
      <c r="I4" s="89" t="s">
        <v>306</v>
      </c>
    </row>
    <row r="5" spans="1:18" x14ac:dyDescent="0.35">
      <c r="A5" s="90" t="str" cm="1">
        <f t="array" ref="A5:A11">lstDepCat</f>
        <v>People</v>
      </c>
      <c r="C5" s="310" t="s">
        <v>726</v>
      </c>
      <c r="D5" s="310" t="s">
        <v>727</v>
      </c>
      <c r="E5" s="310" t="s">
        <v>728</v>
      </c>
      <c r="F5" s="310" t="s">
        <v>729</v>
      </c>
      <c r="G5" s="310" t="s">
        <v>730</v>
      </c>
      <c r="H5" s="310" t="s">
        <v>731</v>
      </c>
      <c r="I5" s="310" t="s">
        <v>343</v>
      </c>
    </row>
    <row r="6" spans="1:18" ht="29" x14ac:dyDescent="0.35">
      <c r="A6" s="90" t="str">
        <v>ICT</v>
      </c>
      <c r="C6" s="310" t="s">
        <v>732</v>
      </c>
      <c r="D6" s="310" t="s">
        <v>733</v>
      </c>
      <c r="E6" s="310" t="s">
        <v>734</v>
      </c>
      <c r="F6" s="310" t="s">
        <v>735</v>
      </c>
      <c r="G6" s="310" t="s">
        <v>736</v>
      </c>
      <c r="H6" s="310" t="s">
        <v>737</v>
      </c>
      <c r="I6" s="310" t="s">
        <v>738</v>
      </c>
    </row>
    <row r="7" spans="1:18" ht="29" x14ac:dyDescent="0.35">
      <c r="A7" s="90" t="str">
        <v>Data / Info</v>
      </c>
      <c r="C7" s="310" t="s">
        <v>739</v>
      </c>
      <c r="D7" s="310" t="s">
        <v>740</v>
      </c>
      <c r="E7" s="310" t="s">
        <v>741</v>
      </c>
      <c r="F7" s="310" t="s">
        <v>742</v>
      </c>
      <c r="G7" s="310" t="s">
        <v>743</v>
      </c>
      <c r="H7" s="310" t="s">
        <v>744</v>
      </c>
      <c r="I7" s="310" t="s">
        <v>745</v>
      </c>
    </row>
    <row r="8" spans="1:18" ht="29" x14ac:dyDescent="0.35">
      <c r="A8" s="90" t="str">
        <v>3rd Party</v>
      </c>
      <c r="C8" s="310" t="s">
        <v>746</v>
      </c>
      <c r="D8" s="310" t="s">
        <v>747</v>
      </c>
      <c r="E8" s="310" t="s">
        <v>748</v>
      </c>
      <c r="F8" s="310" t="s">
        <v>749</v>
      </c>
      <c r="G8" s="310" t="s">
        <v>750</v>
      </c>
      <c r="H8" s="310" t="s">
        <v>751</v>
      </c>
      <c r="I8" s="310" t="s">
        <v>752</v>
      </c>
    </row>
    <row r="9" spans="1:18" x14ac:dyDescent="0.35">
      <c r="A9" s="90" t="str">
        <v>Equipment / Building / Utilities</v>
      </c>
      <c r="C9" s="310" t="s">
        <v>753</v>
      </c>
      <c r="D9" s="310" t="s">
        <v>754</v>
      </c>
      <c r="E9" s="310" t="s">
        <v>755</v>
      </c>
      <c r="F9" s="310" t="s">
        <v>756</v>
      </c>
      <c r="G9" s="310" t="s">
        <v>757</v>
      </c>
      <c r="H9" s="310" t="s">
        <v>758</v>
      </c>
      <c r="I9" s="310" t="s">
        <v>759</v>
      </c>
    </row>
    <row r="10" spans="1:18" x14ac:dyDescent="0.35">
      <c r="A10" s="90" t="str">
        <v>Pre-Service</v>
      </c>
      <c r="C10" s="311"/>
      <c r="D10" s="311"/>
      <c r="E10" s="311"/>
      <c r="F10" s="311"/>
      <c r="G10" s="311"/>
      <c r="H10" s="311"/>
      <c r="I10" s="311"/>
    </row>
    <row r="11" spans="1:18" x14ac:dyDescent="0.35">
      <c r="A11" s="90" t="str">
        <v>Post-Service</v>
      </c>
      <c r="C11" s="311"/>
      <c r="D11" s="312"/>
      <c r="E11" s="311"/>
      <c r="F11" s="311"/>
      <c r="G11" s="311"/>
      <c r="H11" s="311"/>
      <c r="I11" s="311"/>
    </row>
    <row r="12" spans="1:18" x14ac:dyDescent="0.35">
      <c r="C12" s="311"/>
      <c r="D12" s="311"/>
      <c r="E12" s="311"/>
      <c r="F12" s="311"/>
      <c r="G12" s="311"/>
      <c r="H12" s="311"/>
      <c r="I12" s="311"/>
    </row>
    <row r="13" spans="1:18" x14ac:dyDescent="0.35">
      <c r="C13" s="311"/>
      <c r="D13" s="311"/>
      <c r="E13" s="311"/>
      <c r="F13" s="311"/>
      <c r="G13" s="311"/>
      <c r="H13" s="311"/>
      <c r="I13" s="311"/>
    </row>
    <row r="14" spans="1:18" x14ac:dyDescent="0.35">
      <c r="C14" s="311"/>
      <c r="D14" s="311"/>
      <c r="E14" s="311"/>
      <c r="F14" s="311"/>
      <c r="G14" s="311"/>
      <c r="H14" s="311"/>
      <c r="I14" s="311"/>
    </row>
    <row r="15" spans="1:18" x14ac:dyDescent="0.35">
      <c r="C15" s="311"/>
      <c r="D15" s="311"/>
      <c r="E15" s="311"/>
      <c r="F15" s="311"/>
      <c r="G15" s="311"/>
      <c r="H15" s="311"/>
      <c r="I15" s="311"/>
    </row>
    <row r="16" spans="1:18" x14ac:dyDescent="0.35">
      <c r="C16" s="311"/>
      <c r="D16" s="311"/>
      <c r="E16" s="311"/>
      <c r="F16" s="311"/>
      <c r="G16" s="311"/>
      <c r="H16" s="311"/>
      <c r="I16" s="311"/>
    </row>
    <row r="17" spans="3:9" x14ac:dyDescent="0.35">
      <c r="C17" s="311"/>
      <c r="D17" s="311"/>
      <c r="E17" s="311"/>
      <c r="F17" s="311"/>
      <c r="G17" s="311"/>
      <c r="H17" s="311"/>
      <c r="I17" s="311"/>
    </row>
    <row r="18" spans="3:9" x14ac:dyDescent="0.35">
      <c r="C18" s="311"/>
      <c r="D18" s="311"/>
      <c r="E18" s="311"/>
      <c r="F18" s="311"/>
      <c r="G18" s="311"/>
      <c r="H18" s="311"/>
      <c r="I18" s="311"/>
    </row>
    <row r="19" spans="3:9" x14ac:dyDescent="0.35">
      <c r="C19" s="311"/>
      <c r="D19" s="311"/>
      <c r="E19" s="311"/>
      <c r="F19" s="311"/>
      <c r="G19" s="311"/>
      <c r="H19" s="311"/>
      <c r="I19" s="311"/>
    </row>
    <row r="20" spans="3:9" x14ac:dyDescent="0.35">
      <c r="C20" s="311"/>
      <c r="D20" s="311"/>
      <c r="E20" s="311"/>
      <c r="F20" s="311"/>
      <c r="G20" s="311"/>
      <c r="H20" s="311"/>
      <c r="I20" s="311"/>
    </row>
    <row r="21" spans="3:9" x14ac:dyDescent="0.35">
      <c r="C21" s="311"/>
      <c r="D21" s="311"/>
      <c r="E21" s="311"/>
      <c r="F21" s="311"/>
      <c r="G21" s="311"/>
      <c r="H21" s="311"/>
      <c r="I21" s="311"/>
    </row>
    <row r="22" spans="3:9" x14ac:dyDescent="0.35">
      <c r="C22" s="311"/>
      <c r="D22" s="311"/>
      <c r="E22" s="311"/>
      <c r="F22" s="311"/>
      <c r="G22" s="311"/>
      <c r="H22" s="311"/>
      <c r="I22" s="311"/>
    </row>
    <row r="23" spans="3:9" x14ac:dyDescent="0.35">
      <c r="C23" s="311"/>
      <c r="D23" s="311"/>
      <c r="E23" s="311"/>
      <c r="F23" s="311"/>
      <c r="G23" s="311"/>
      <c r="H23" s="311"/>
      <c r="I23" s="311"/>
    </row>
    <row r="24" spans="3:9" x14ac:dyDescent="0.35">
      <c r="C24" s="311"/>
      <c r="D24" s="311"/>
      <c r="E24" s="311"/>
      <c r="F24" s="311"/>
      <c r="G24" s="311"/>
      <c r="H24" s="311"/>
      <c r="I24" s="311"/>
    </row>
  </sheetData>
  <mergeCells count="2">
    <mergeCell ref="A2:R2"/>
    <mergeCell ref="A1:R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92882"/>
  </sheetPr>
  <dimension ref="A1:AC34"/>
  <sheetViews>
    <sheetView showGridLines="0" tabSelected="1" topLeftCell="D1" zoomScale="169" zoomScaleNormal="85" workbookViewId="0">
      <pane ySplit="4" topLeftCell="A5" activePane="bottomLeft" state="frozen"/>
      <selection pane="bottomLeft" activeCell="M5" sqref="M5"/>
    </sheetView>
  </sheetViews>
  <sheetFormatPr defaultColWidth="8.54296875" defaultRowHeight="14.5" x14ac:dyDescent="0.35"/>
  <cols>
    <col min="1" max="1" width="9.81640625" bestFit="1" customWidth="1"/>
    <col min="2" max="2" width="18.36328125" bestFit="1" customWidth="1"/>
    <col min="3" max="3" width="9" bestFit="1" customWidth="1"/>
    <col min="4" max="4" width="12.90625" bestFit="1" customWidth="1"/>
    <col min="5" max="5" width="25.6328125" bestFit="1" customWidth="1"/>
    <col min="6" max="6" width="21.26953125" bestFit="1" customWidth="1"/>
    <col min="7" max="7" width="36.36328125" bestFit="1" customWidth="1"/>
    <col min="8" max="8" width="36.54296875" bestFit="1" customWidth="1"/>
    <col min="9" max="9" width="32" bestFit="1" customWidth="1"/>
    <col min="10" max="10" width="24.54296875" bestFit="1" customWidth="1"/>
    <col min="11" max="11" width="26.7265625" bestFit="1" customWidth="1"/>
    <col min="12" max="12" width="26.1796875" bestFit="1" customWidth="1"/>
    <col min="13" max="13" width="24" bestFit="1" customWidth="1"/>
    <col min="14" max="14" width="23.453125" bestFit="1" customWidth="1"/>
    <col min="15" max="15" width="30.36328125" bestFit="1" customWidth="1"/>
    <col min="16" max="16" width="21.26953125" bestFit="1" customWidth="1"/>
    <col min="17" max="17" width="22.453125" bestFit="1" customWidth="1"/>
    <col min="18" max="18" width="13.6328125" bestFit="1" customWidth="1"/>
    <col min="19" max="19" width="17.1796875" bestFit="1" customWidth="1"/>
    <col min="20" max="20" width="19.08984375" bestFit="1" customWidth="1"/>
    <col min="21" max="21" width="15.81640625" bestFit="1" customWidth="1"/>
    <col min="22" max="22" width="21" bestFit="1" customWidth="1"/>
    <col min="23" max="23" width="16.6328125" bestFit="1" customWidth="1"/>
    <col min="24" max="24" width="13.7265625" bestFit="1" customWidth="1"/>
    <col min="25" max="25" width="23" bestFit="1" customWidth="1"/>
    <col min="26" max="26" width="21.26953125" bestFit="1" customWidth="1"/>
    <col min="27" max="27" width="21.81640625" bestFit="1" customWidth="1"/>
    <col min="28" max="28" width="36.81640625" bestFit="1" customWidth="1"/>
    <col min="29" max="29" width="33.08984375" bestFit="1" customWidth="1"/>
  </cols>
  <sheetData>
    <row r="1" spans="1:29" ht="18.5" x14ac:dyDescent="0.35">
      <c r="A1" s="314" t="s">
        <v>324</v>
      </c>
      <c r="B1" s="314"/>
      <c r="C1" s="314"/>
      <c r="D1" s="314"/>
      <c r="E1" s="315"/>
      <c r="F1" s="315"/>
      <c r="G1" s="315"/>
      <c r="H1" s="315"/>
      <c r="I1" s="315"/>
      <c r="J1" s="315"/>
      <c r="K1" s="315"/>
      <c r="L1" s="315"/>
      <c r="M1" s="315"/>
      <c r="N1" s="315"/>
      <c r="O1" s="315"/>
      <c r="P1" s="315"/>
      <c r="Q1" s="315"/>
      <c r="R1" s="315"/>
      <c r="S1" s="315"/>
      <c r="T1" s="315"/>
    </row>
    <row r="2" spans="1:29" x14ac:dyDescent="0.35">
      <c r="A2" s="316" t="s">
        <v>325</v>
      </c>
      <c r="B2" s="316"/>
      <c r="C2" s="316"/>
      <c r="D2" s="316"/>
      <c r="E2" s="315"/>
      <c r="F2" s="315"/>
      <c r="G2" s="315"/>
      <c r="H2" s="315"/>
      <c r="I2" s="315"/>
      <c r="J2" s="315"/>
      <c r="K2" s="315"/>
      <c r="L2" s="315"/>
      <c r="M2" s="315"/>
      <c r="N2" s="315"/>
      <c r="O2" s="315"/>
      <c r="P2" s="315"/>
      <c r="Q2" s="315"/>
      <c r="R2" s="315"/>
      <c r="S2" s="315"/>
      <c r="T2" s="315"/>
    </row>
    <row r="3" spans="1:29" x14ac:dyDescent="0.35">
      <c r="E3" s="77"/>
    </row>
    <row r="4" spans="1:29" ht="24" x14ac:dyDescent="0.35">
      <c r="A4" s="196" t="s">
        <v>326</v>
      </c>
      <c r="B4" s="197" t="s">
        <v>328</v>
      </c>
      <c r="C4" s="197" t="s">
        <v>713</v>
      </c>
      <c r="D4" s="197" t="s">
        <v>99</v>
      </c>
      <c r="E4" s="197" t="s">
        <v>327</v>
      </c>
      <c r="F4" s="197" t="s">
        <v>717</v>
      </c>
      <c r="G4" s="197" t="s">
        <v>329</v>
      </c>
      <c r="H4" s="197" t="s">
        <v>330</v>
      </c>
      <c r="I4" s="197" t="s">
        <v>331</v>
      </c>
      <c r="J4" s="197" t="s">
        <v>332</v>
      </c>
      <c r="K4" s="197" t="s">
        <v>333</v>
      </c>
      <c r="L4" s="198" t="s">
        <v>334</v>
      </c>
      <c r="M4" s="197" t="s">
        <v>335</v>
      </c>
      <c r="N4" s="198" t="s">
        <v>336</v>
      </c>
      <c r="O4" s="198" t="s">
        <v>337</v>
      </c>
      <c r="P4" s="198" t="s">
        <v>338</v>
      </c>
      <c r="Q4" s="198" t="s">
        <v>339</v>
      </c>
      <c r="R4" s="197" t="s">
        <v>318</v>
      </c>
      <c r="S4" s="199" t="s">
        <v>341</v>
      </c>
      <c r="T4" s="200" t="s">
        <v>342</v>
      </c>
      <c r="U4" s="196" t="s">
        <v>892</v>
      </c>
      <c r="V4" s="197" t="s">
        <v>295</v>
      </c>
      <c r="W4" s="197" t="s">
        <v>107</v>
      </c>
      <c r="X4" s="197" t="s">
        <v>885</v>
      </c>
      <c r="Y4" s="197" t="s">
        <v>893</v>
      </c>
      <c r="Z4" s="197" t="s">
        <v>894</v>
      </c>
      <c r="AA4" s="197" t="s">
        <v>921</v>
      </c>
      <c r="AB4" s="197" t="s">
        <v>922</v>
      </c>
      <c r="AC4" s="197" t="s">
        <v>923</v>
      </c>
    </row>
    <row r="5" spans="1:29" ht="28.5" customHeight="1" x14ac:dyDescent="0.35">
      <c r="A5" s="194">
        <v>1</v>
      </c>
      <c r="B5" s="144" t="str">
        <f t="shared" ref="B5:B30" si="0">IF($G5="","","RA-"&amp;TEXT($A5,"000"))</f>
        <v>RA-001</v>
      </c>
      <c r="C5" s="264" t="s">
        <v>954</v>
      </c>
      <c r="D5" s="265" t="s">
        <v>955</v>
      </c>
      <c r="E5" s="266" t="s">
        <v>300</v>
      </c>
      <c r="F5" s="145" t="str" cm="1">
        <f t="array" ref="F5">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f>
        <v>cb</v>
      </c>
      <c r="G5" s="267" t="s">
        <v>753</v>
      </c>
      <c r="H5" s="146" t="str">
        <f t="shared" ref="H5:H30" si="1">IF($G5="","","Inability to deliver the associated products/services due to ["&amp;$G5&amp;"]")</f>
        <v>Inability to deliver the associated products/services due to [Workforce evacuation]</v>
      </c>
      <c r="I5" s="147"/>
      <c r="J5" s="148"/>
      <c r="K5" s="268">
        <v>4</v>
      </c>
      <c r="L5" s="149" t="str">
        <f t="shared" ref="L5:L30" si="2">IF($K5="","",CHOOSE($K5,"Rare","Infrequent","Occasional","Frequent","Almost Certain"))</f>
        <v>Frequent</v>
      </c>
      <c r="M5" s="268">
        <v>4</v>
      </c>
      <c r="N5" s="149" t="str">
        <f t="shared" ref="N5:N30" si="3">IF($M5="","",CHOOSE($M5,"Negligible","Minor","Medium","Critical","Catastrophic"))</f>
        <v>Critical</v>
      </c>
      <c r="O5" s="149">
        <f>IF(OR($K5="",$M5=""),"",INDEX('20. ERM RA Guidance'!$E$79:$I$83,6-$K5,$M5))</f>
        <v>21</v>
      </c>
      <c r="P5" s="149" t="str">
        <f t="shared" ref="P5:P30" si="4">IF($O5="","",IF($O5&gt;=20,"Critical",IF($O5&gt;=12,"Significant",IF($O5&gt;=7,"Moderate","Low"))))</f>
        <v>Critical</v>
      </c>
      <c r="Q5" s="149">
        <f t="shared" ref="Q5:Q30" si="5">IF($P5="","",IF($P5="Critical",1,IF($P5="Significant",2,IF($P5="Moderate",3,4))))</f>
        <v>1</v>
      </c>
      <c r="R5" s="148"/>
      <c r="S5" s="150" t="str" cm="1">
        <f t="array" ref="S5">IF($B5="","",IFERROR(_xlfn.TEXTJOIN(",",TRUE,_xlfn.UNIQUE(_xlfn._xlws.FILTER('11. Strategies &amp; Solutions'!$C$5:$C$64,('11. Strategies &amp; Solutions'!$B$5:$B$64=$B5)*('11. Strategies &amp; Solutions'!$C$5:$C$64&lt;&gt;"")))),"Not Created"))</f>
        <v>SS-030</v>
      </c>
      <c r="T5" s="195" t="str" cm="1">
        <f t="array" ref="T5">IF($B5="","",_xlfn.LET(_xlpm.ss,_xlfn._xlws.FILTER('11. Strategies &amp; Solutions'!$C$5:$C$64,('11. Strategies &amp; Solutions'!$B$5:$B$64=$B5)*('11. Strategies &amp; Solutions'!$C$5:$C$64&lt;&gt;""),""),IFERROR(_xlfn.TEXTJOIN(",",TRUE,_xlfn.UNIQUE(_xlfn._xlws.FILTER('14. Recovery &amp; Response'!$B$6:$B$105,ISNUMBER(_xlfn.XMATCH('14. Recovery &amp; Response'!$C$6:$C$105,_xlpm.ss))*('14. Recovery &amp; Response'!$B$6:$B$105&lt;&gt;"")))),"Not Created")))</f>
        <v>RR-001</v>
      </c>
      <c r="U5" s="148"/>
      <c r="V5" s="258"/>
      <c r="W5" s="258"/>
      <c r="X5" s="148"/>
      <c r="Y5" s="148"/>
      <c r="Z5" s="149" t="str">
        <f t="shared" ref="Z5:Z30" si="6">IF($B5="","",IF(AND($C5&lt;&gt;"",$D5&lt;&gt;"",$E5&lt;&gt;"",$F5&lt;&gt;"",$G5&lt;&gt;"",$H5&lt;&gt;"",$J5&lt;&gt;"",$K5&lt;&gt;"",$M5&lt;&gt;"",$U5&lt;&gt;"",ISNUMBER($V5),ISNUMBER($W5),$X5&lt;&gt;"",$Y5&lt;&gt;""),"Complete","Incomplete"))</f>
        <v>Incomplete</v>
      </c>
      <c r="AA5" s="267"/>
      <c r="AB5" s="148"/>
      <c r="AC5" s="148"/>
    </row>
    <row r="6" spans="1:29" x14ac:dyDescent="0.35">
      <c r="A6" s="194">
        <v>2</v>
      </c>
      <c r="B6" s="144" t="str">
        <f t="shared" si="0"/>
        <v/>
      </c>
      <c r="C6" s="264"/>
      <c r="D6" s="265"/>
      <c r="E6" s="266"/>
      <c r="F6" s="145" t="str" cm="1">
        <f t="array" ref="F6">IF(C6="","",_xlfn.LET(_xlpm.bu,_xlfn.SCAN("",'07.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 ",""),"-",""),"/","")),_xlpm.key,IF(_xlpm.rawKey="data","datainfo",_xlpm.rawKey),IF(D6="",IFERROR(_xlfn.TEXTJOIN(",",TRUE,_xlfn.UNIQUE(_xlfn._xlws.FILTER(_xlpm.item,(_xlpm.bu=C6)*(_xlpm.item&lt;&gt;"")))),""),IF(E6="","",IFERROR(_xlfn.TEXTJOIN(",",TRUE,_xlfn.UNIQUE(_xlfn._xlws.FILTER(_xlpm.item,(_xlpm.bu=C6)*(_xlpm.div=D6)*(_xlpm.srcDep=_xlpm.key)*('07. BIA'!$H$6:$H$285="Yes")))),"")))))</f>
        <v/>
      </c>
      <c r="G6" s="267"/>
      <c r="H6" s="146" t="str">
        <f t="shared" si="1"/>
        <v/>
      </c>
      <c r="I6" s="147"/>
      <c r="J6" s="148"/>
      <c r="K6" s="268"/>
      <c r="L6" s="149" t="str">
        <f t="shared" si="2"/>
        <v/>
      </c>
      <c r="M6" s="268"/>
      <c r="N6" s="149" t="str">
        <f t="shared" si="3"/>
        <v/>
      </c>
      <c r="O6" s="149" t="str">
        <f>IF(OR($K6="",$M6=""),"",INDEX('20. ERM RA Guidance'!$E$79:$I$83,6-$K6,$M6))</f>
        <v/>
      </c>
      <c r="P6" s="149" t="str">
        <f t="shared" si="4"/>
        <v/>
      </c>
      <c r="Q6" s="149" t="str">
        <f t="shared" si="5"/>
        <v/>
      </c>
      <c r="R6" s="148"/>
      <c r="S6" s="150" t="str" cm="1">
        <f t="array" ref="S6">IF($B6="","",IFERROR(_xlfn.TEXTJOIN(",",TRUE,_xlfn.UNIQUE(_xlfn._xlws.FILTER('11. Strategies &amp; Solutions'!$C$5:$C$64,('11. Strategies &amp; Solutions'!$B$5:$B$64=$B6)*('11. Strategies &amp; Solutions'!$C$5:$C$64&lt;&gt;"")))),"Not Created"))</f>
        <v/>
      </c>
      <c r="T6" s="195" t="str" cm="1">
        <f t="array" ref="T6">IF($B6="","",_xlfn.LET(_xlpm.ss,_xlfn._xlws.FILTER('11. Strategies &amp; Solutions'!$C$5:$C$64,('11. Strategies &amp; Solutions'!$B$5:$B$64=$B6)*('11. Strategies &amp; Solutions'!$C$5:$C$64&lt;&gt;""),""),IFERROR(_xlfn.TEXTJOIN(",",TRUE,_xlfn.UNIQUE(_xlfn._xlws.FILTER('14. Recovery &amp; Response'!$B$6:$B$105,ISNUMBER(_xlfn.XMATCH('14. Recovery &amp; Response'!$C$6:$C$105,_xlpm.ss))*('14. Recovery &amp; Response'!$B$6:$B$105&lt;&gt;"")))),"Not Created")))</f>
        <v/>
      </c>
      <c r="U6" s="148"/>
      <c r="V6" s="258"/>
      <c r="W6" s="258"/>
      <c r="X6" s="148"/>
      <c r="Y6" s="148"/>
      <c r="Z6" s="149" t="str">
        <f t="shared" si="6"/>
        <v/>
      </c>
      <c r="AA6" s="267"/>
      <c r="AB6" s="148"/>
      <c r="AC6" s="148"/>
    </row>
    <row r="7" spans="1:29" x14ac:dyDescent="0.35">
      <c r="A7" s="194">
        <v>3</v>
      </c>
      <c r="B7" s="144" t="str">
        <f t="shared" si="0"/>
        <v/>
      </c>
      <c r="C7" s="264"/>
      <c r="D7" s="265"/>
      <c r="E7" s="266"/>
      <c r="F7" s="145" t="str" cm="1">
        <f t="array" ref="F7">IF(C7="","",_xlfn.LET(_xlpm.bu,_xlfn.SCAN("",'07.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",""),"-",""),"/","")),_xlpm.rawKey,LOWER(SUBSTITUTE(SUBSTITUTE(SUBSTITUTE(E7," ",""),"-",""),"/","")),_xlpm.key,IF(_xlpm.rawKey="data","datainfo",_xlpm.rawKey),IF(D7="",IFERROR(_xlfn.TEXTJOIN(",",TRUE,_xlfn.UNIQUE(_xlfn._xlws.FILTER(_xlpm.item,(_xlpm.bu=C7)*(_xlpm.item&lt;&gt;"")))),""),IF(E7="","",IFERROR(_xlfn.TEXTJOIN(",",TRUE,_xlfn.UNIQUE(_xlfn._xlws.FILTER(_xlpm.item,(_xlpm.bu=C7)*(_xlpm.div=D7)*(_xlpm.srcDep=_xlpm.key)*('07. BIA'!$H$6:$H$285="Yes")))),"")))))</f>
        <v/>
      </c>
      <c r="G7" s="267"/>
      <c r="H7" s="146" t="str">
        <f t="shared" si="1"/>
        <v/>
      </c>
      <c r="I7" s="147"/>
      <c r="J7" s="148"/>
      <c r="K7" s="268"/>
      <c r="L7" s="149" t="str">
        <f t="shared" si="2"/>
        <v/>
      </c>
      <c r="M7" s="268"/>
      <c r="N7" s="149" t="str">
        <f t="shared" si="3"/>
        <v/>
      </c>
      <c r="O7" s="149" t="str">
        <f>IF(OR($K7="",$M7=""),"",INDEX('20. ERM RA Guidance'!$E$79:$I$83,6-$K7,$M7))</f>
        <v/>
      </c>
      <c r="P7" s="149" t="str">
        <f t="shared" si="4"/>
        <v/>
      </c>
      <c r="Q7" s="149" t="str">
        <f t="shared" si="5"/>
        <v/>
      </c>
      <c r="R7" s="148"/>
      <c r="S7" s="150" t="str" cm="1">
        <f t="array" ref="S7">IF($B7="","",IFERROR(_xlfn.TEXTJOIN(",",TRUE,_xlfn.UNIQUE(_xlfn._xlws.FILTER('11. Strategies &amp; Solutions'!$C$5:$C$64,('11. Strategies &amp; Solutions'!$B$5:$B$64=$B7)*('11. Strategies &amp; Solutions'!$C$5:$C$64&lt;&gt;"")))),"Not Created"))</f>
        <v/>
      </c>
      <c r="T7" s="195" t="str" cm="1">
        <f t="array" ref="T7">IF($B7="","",_xlfn.LET(_xlpm.ss,_xlfn._xlws.FILTER('11. Strategies &amp; Solutions'!$C$5:$C$64,('11. Strategies &amp; Solutions'!$B$5:$B$64=$B7)*('11. Strategies &amp; Solutions'!$C$5:$C$64&lt;&gt;""),""),IFERROR(_xlfn.TEXTJOIN(",",TRUE,_xlfn.UNIQUE(_xlfn._xlws.FILTER('14. Recovery &amp; Response'!$B$6:$B$105,ISNUMBER(_xlfn.XMATCH('14. Recovery &amp; Response'!$C$6:$C$105,_xlpm.ss))*('14. Recovery &amp; Response'!$B$6:$B$105&lt;&gt;"")))),"Not Created")))</f>
        <v/>
      </c>
      <c r="U7" s="148"/>
      <c r="V7" s="258"/>
      <c r="W7" s="258"/>
      <c r="X7" s="148"/>
      <c r="Y7" s="148"/>
      <c r="Z7" s="149" t="str">
        <f t="shared" si="6"/>
        <v/>
      </c>
      <c r="AA7" s="267"/>
      <c r="AB7" s="148"/>
      <c r="AC7" s="148"/>
    </row>
    <row r="8" spans="1:29" x14ac:dyDescent="0.35">
      <c r="A8" s="194">
        <v>4</v>
      </c>
      <c r="B8" s="144" t="str">
        <f t="shared" si="0"/>
        <v/>
      </c>
      <c r="C8" s="264"/>
      <c r="D8" s="265"/>
      <c r="E8" s="266"/>
      <c r="F8" s="145" t="str" cm="1">
        <f t="array" ref="F8">IF(C8="","",_xlfn.LET(_xlpm.bu,_xlfn.SCAN("",'07.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",""),"-",""),"/","")),_xlpm.rawKey,LOWER(SUBSTITUTE(SUBSTITUTE(SUBSTITUTE(E8," ",""),"-",""),"/","")),_xlpm.key,IF(_xlpm.rawKey="data","datainfo",_xlpm.rawKey),IF(D8="",IFERROR(_xlfn.TEXTJOIN(",",TRUE,_xlfn.UNIQUE(_xlfn._xlws.FILTER(_xlpm.item,(_xlpm.bu=C8)*(_xlpm.item&lt;&gt;"")))),""),IF(E8="","",IFERROR(_xlfn.TEXTJOIN(",",TRUE,_xlfn.UNIQUE(_xlfn._xlws.FILTER(_xlpm.item,(_xlpm.bu=C8)*(_xlpm.div=D8)*(_xlpm.srcDep=_xlpm.key)*('07. BIA'!$H$6:$H$285="Yes")))),"")))))</f>
        <v/>
      </c>
      <c r="G8" s="267"/>
      <c r="H8" s="146" t="str">
        <f t="shared" si="1"/>
        <v/>
      </c>
      <c r="I8" s="147"/>
      <c r="J8" s="148"/>
      <c r="K8" s="268"/>
      <c r="L8" s="149" t="str">
        <f t="shared" si="2"/>
        <v/>
      </c>
      <c r="M8" s="268"/>
      <c r="N8" s="149" t="str">
        <f t="shared" si="3"/>
        <v/>
      </c>
      <c r="O8" s="149" t="str">
        <f>IF(OR($K8="",$M8=""),"",INDEX('20. ERM RA Guidance'!$E$79:$I$83,6-$K8,$M8))</f>
        <v/>
      </c>
      <c r="P8" s="149" t="str">
        <f t="shared" si="4"/>
        <v/>
      </c>
      <c r="Q8" s="149" t="str">
        <f t="shared" si="5"/>
        <v/>
      </c>
      <c r="R8" s="148"/>
      <c r="S8" s="150" t="str" cm="1">
        <f t="array" ref="S8">IF($B8="","",IFERROR(_xlfn.TEXTJOIN(",",TRUE,_xlfn.UNIQUE(_xlfn._xlws.FILTER('11. Strategies &amp; Solutions'!$C$5:$C$64,('11. Strategies &amp; Solutions'!$B$5:$B$64=$B8)*('11. Strategies &amp; Solutions'!$C$5:$C$64&lt;&gt;"")))),"Not Created"))</f>
        <v/>
      </c>
      <c r="T8" s="195" t="str" cm="1">
        <f t="array" ref="T8">IF($B8="","",_xlfn.LET(_xlpm.ss,_xlfn._xlws.FILTER('11. Strategies &amp; Solutions'!$C$5:$C$64,('11. Strategies &amp; Solutions'!$B$5:$B$64=$B8)*('11. Strategies &amp; Solutions'!$C$5:$C$64&lt;&gt;""),""),IFERROR(_xlfn.TEXTJOIN(",",TRUE,_xlfn.UNIQUE(_xlfn._xlws.FILTER('14. Recovery &amp; Response'!$B$6:$B$105,ISNUMBER(_xlfn.XMATCH('14. Recovery &amp; Response'!$C$6:$C$105,_xlpm.ss))*('14. Recovery &amp; Response'!$B$6:$B$105&lt;&gt;"")))),"Not Created")))</f>
        <v/>
      </c>
      <c r="U8" s="148"/>
      <c r="V8" s="258"/>
      <c r="W8" s="258"/>
      <c r="X8" s="148"/>
      <c r="Y8" s="148"/>
      <c r="Z8" s="149" t="str">
        <f t="shared" si="6"/>
        <v/>
      </c>
      <c r="AA8" s="267"/>
      <c r="AB8" s="148"/>
      <c r="AC8" s="148"/>
    </row>
    <row r="9" spans="1:29" x14ac:dyDescent="0.35">
      <c r="A9" s="194">
        <v>5</v>
      </c>
      <c r="B9" s="144" t="str">
        <f t="shared" si="0"/>
        <v/>
      </c>
      <c r="C9" s="264"/>
      <c r="D9" s="265"/>
      <c r="E9" s="266"/>
      <c r="F9" s="145" t="str" cm="1">
        <f t="array" ref="F9">IF(C9="","",_xlfn.LET(_xlpm.bu,_xlfn.SCAN("",'07.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",""),"-",""),"/","")),_xlpm.rawKey,LOWER(SUBSTITUTE(SUBSTITUTE(SUBSTITUTE(E9," ",""),"-",""),"/","")),_xlpm.key,IF(_xlpm.rawKey="data","datainfo",_xlpm.rawKey),IF(D9="",IFERROR(_xlfn.TEXTJOIN(",",TRUE,_xlfn.UNIQUE(_xlfn._xlws.FILTER(_xlpm.item,(_xlpm.bu=C9)*(_xlpm.item&lt;&gt;"")))),""),IF(E9="","",IFERROR(_xlfn.TEXTJOIN(",",TRUE,_xlfn.UNIQUE(_xlfn._xlws.FILTER(_xlpm.item,(_xlpm.bu=C9)*(_xlpm.div=D9)*(_xlpm.srcDep=_xlpm.key)*('07. BIA'!$H$6:$H$285="Yes")))),"")))))</f>
        <v/>
      </c>
      <c r="G9" s="267"/>
      <c r="H9" s="146" t="str">
        <f t="shared" si="1"/>
        <v/>
      </c>
      <c r="I9" s="147"/>
      <c r="J9" s="148"/>
      <c r="K9" s="268"/>
      <c r="L9" s="149" t="str">
        <f t="shared" si="2"/>
        <v/>
      </c>
      <c r="M9" s="268"/>
      <c r="N9" s="149" t="str">
        <f t="shared" si="3"/>
        <v/>
      </c>
      <c r="O9" s="149" t="str">
        <f>IF(OR($K9="",$M9=""),"",INDEX('20. ERM RA Guidance'!$E$79:$I$83,6-$K9,$M9))</f>
        <v/>
      </c>
      <c r="P9" s="149" t="str">
        <f t="shared" si="4"/>
        <v/>
      </c>
      <c r="Q9" s="149" t="str">
        <f t="shared" si="5"/>
        <v/>
      </c>
      <c r="R9" s="148"/>
      <c r="S9" s="150" t="str" cm="1">
        <f t="array" ref="S9">IF($B9="","",IFERROR(_xlfn.TEXTJOIN(",",TRUE,_xlfn.UNIQUE(_xlfn._xlws.FILTER('11. Strategies &amp; Solutions'!$C$5:$C$64,('11. Strategies &amp; Solutions'!$B$5:$B$64=$B9)*('11. Strategies &amp; Solutions'!$C$5:$C$64&lt;&gt;"")))),"Not Created"))</f>
        <v/>
      </c>
      <c r="T9" s="195" t="str" cm="1">
        <f t="array" ref="T9">IF($B9="","",_xlfn.LET(_xlpm.ss,_xlfn._xlws.FILTER('11. Strategies &amp; Solutions'!$C$5:$C$64,('11. Strategies &amp; Solutions'!$B$5:$B$64=$B9)*('11. Strategies &amp; Solutions'!$C$5:$C$64&lt;&gt;""),""),IFERROR(_xlfn.TEXTJOIN(",",TRUE,_xlfn.UNIQUE(_xlfn._xlws.FILTER('14. Recovery &amp; Response'!$B$6:$B$105,ISNUMBER(_xlfn.XMATCH('14. Recovery &amp; Response'!$C$6:$C$105,_xlpm.ss))*('14. Recovery &amp; Response'!$B$6:$B$105&lt;&gt;"")))),"Not Created")))</f>
        <v/>
      </c>
      <c r="U9" s="148"/>
      <c r="V9" s="258"/>
      <c r="W9" s="258"/>
      <c r="X9" s="148"/>
      <c r="Y9" s="148"/>
      <c r="Z9" s="149" t="str">
        <f t="shared" si="6"/>
        <v/>
      </c>
      <c r="AA9" s="267"/>
      <c r="AB9" s="148"/>
      <c r="AC9" s="148"/>
    </row>
    <row r="10" spans="1:29" x14ac:dyDescent="0.35">
      <c r="A10" s="194">
        <v>6</v>
      </c>
      <c r="B10" s="144" t="str">
        <f t="shared" si="0"/>
        <v/>
      </c>
      <c r="C10" s="264"/>
      <c r="D10" s="265"/>
      <c r="E10" s="266"/>
      <c r="F10" s="145" t="str" cm="1">
        <f t="array" ref="F10">IF(C10="","",_xlfn.LET(_xlpm.bu,_xlfn.SCAN("",'07.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",""),"-",""),"/","")),_xlpm.rawKey,LOWER(SUBSTITUTE(SUBSTITUTE(SUBSTITUTE(E10," ",""),"-",""),"/","")),_xlpm.key,IF(_xlpm.rawKey="data","datainfo",_xlpm.rawKey),IF(D10="",IFERROR(_xlfn.TEXTJOIN(",",TRUE,_xlfn.UNIQUE(_xlfn._xlws.FILTER(_xlpm.item,(_xlpm.bu=C10)*(_xlpm.item&lt;&gt;"")))),""),IF(E10="","",IFERROR(_xlfn.TEXTJOIN(",",TRUE,_xlfn.UNIQUE(_xlfn._xlws.FILTER(_xlpm.item,(_xlpm.bu=C10)*(_xlpm.div=D10)*(_xlpm.srcDep=_xlpm.key)*('07. BIA'!$H$6:$H$285="Yes")))),"")))))</f>
        <v/>
      </c>
      <c r="G10" s="267"/>
      <c r="H10" s="146" t="str">
        <f t="shared" si="1"/>
        <v/>
      </c>
      <c r="I10" s="147"/>
      <c r="J10" s="148"/>
      <c r="K10" s="268"/>
      <c r="L10" s="149" t="str">
        <f t="shared" si="2"/>
        <v/>
      </c>
      <c r="M10" s="268"/>
      <c r="N10" s="149" t="str">
        <f t="shared" si="3"/>
        <v/>
      </c>
      <c r="O10" s="149" t="str">
        <f>IF(OR($K10="",$M10=""),"",INDEX('20. ERM RA Guidance'!$E$79:$I$83,6-$K10,$M10))</f>
        <v/>
      </c>
      <c r="P10" s="149" t="str">
        <f t="shared" si="4"/>
        <v/>
      </c>
      <c r="Q10" s="149" t="str">
        <f t="shared" si="5"/>
        <v/>
      </c>
      <c r="R10" s="148"/>
      <c r="S10" s="150" t="str" cm="1">
        <f t="array" ref="S10">IF($B10="","",IFERROR(_xlfn.TEXTJOIN(",",TRUE,_xlfn.UNIQUE(_xlfn._xlws.FILTER('11. Strategies &amp; Solutions'!$C$5:$C$64,('11. Strategies &amp; Solutions'!$B$5:$B$64=$B10)*('11. Strategies &amp; Solutions'!$C$5:$C$64&lt;&gt;"")))),"Not Created"))</f>
        <v/>
      </c>
      <c r="T10" s="195" t="str" cm="1">
        <f t="array" ref="T10">IF($B10="","",_xlfn.LET(_xlpm.ss,_xlfn._xlws.FILTER('11. Strategies &amp; Solutions'!$C$5:$C$64,('11. Strategies &amp; Solutions'!$B$5:$B$64=$B10)*('11. Strategies &amp; Solutions'!$C$5:$C$64&lt;&gt;""),""),IFERROR(_xlfn.TEXTJOIN(",",TRUE,_xlfn.UNIQUE(_xlfn._xlws.FILTER('14. Recovery &amp; Response'!$B$6:$B$105,ISNUMBER(_xlfn.XMATCH('14. Recovery &amp; Response'!$C$6:$C$105,_xlpm.ss))*('14. Recovery &amp; Response'!$B$6:$B$105&lt;&gt;"")))),"Not Created")))</f>
        <v/>
      </c>
      <c r="U10" s="148"/>
      <c r="V10" s="258"/>
      <c r="W10" s="258"/>
      <c r="X10" s="148"/>
      <c r="Y10" s="148"/>
      <c r="Z10" s="149" t="str">
        <f t="shared" si="6"/>
        <v/>
      </c>
      <c r="AA10" s="267"/>
      <c r="AB10" s="148"/>
      <c r="AC10" s="148"/>
    </row>
    <row r="11" spans="1:29" x14ac:dyDescent="0.35">
      <c r="A11" s="194">
        <v>7</v>
      </c>
      <c r="B11" s="144" t="str">
        <f t="shared" si="0"/>
        <v/>
      </c>
      <c r="C11" s="264"/>
      <c r="D11" s="265"/>
      <c r="E11" s="266"/>
      <c r="F11" s="145" t="str" cm="1">
        <f t="array" ref="F11">IF(C11="","",_xlfn.LET(_xlpm.bu,_xlfn.SCAN("",'07.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",""),"-",""),"/","")),_xlpm.rawKey,LOWER(SUBSTITUTE(SUBSTITUTE(SUBSTITUTE(E11," ",""),"-",""),"/","")),_xlpm.key,IF(_xlpm.rawKey="data","datainfo",_xlpm.rawKey),IF(D11="",IFERROR(_xlfn.TEXTJOIN(",",TRUE,_xlfn.UNIQUE(_xlfn._xlws.FILTER(_xlpm.item,(_xlpm.bu=C11)*(_xlpm.item&lt;&gt;"")))),""),IF(E11="","",IFERROR(_xlfn.TEXTJOIN(",",TRUE,_xlfn.UNIQUE(_xlfn._xlws.FILTER(_xlpm.item,(_xlpm.bu=C11)*(_xlpm.div=D11)*(_xlpm.srcDep=_xlpm.key)*('07. BIA'!$H$6:$H$285="Yes")))),"")))))</f>
        <v/>
      </c>
      <c r="G11" s="267"/>
      <c r="H11" s="146" t="str">
        <f t="shared" si="1"/>
        <v/>
      </c>
      <c r="I11" s="147"/>
      <c r="J11" s="148"/>
      <c r="K11" s="268"/>
      <c r="L11" s="149" t="str">
        <f t="shared" si="2"/>
        <v/>
      </c>
      <c r="M11" s="268"/>
      <c r="N11" s="149" t="str">
        <f t="shared" si="3"/>
        <v/>
      </c>
      <c r="O11" s="149" t="str">
        <f>IF(OR($K11="",$M11=""),"",INDEX('20. ERM RA Guidance'!$E$79:$I$83,6-$K11,$M11))</f>
        <v/>
      </c>
      <c r="P11" s="149" t="str">
        <f t="shared" si="4"/>
        <v/>
      </c>
      <c r="Q11" s="149" t="str">
        <f t="shared" si="5"/>
        <v/>
      </c>
      <c r="R11" s="148"/>
      <c r="S11" s="150" t="str" cm="1">
        <f t="array" ref="S11">IF($B11="","",IFERROR(_xlfn.TEXTJOIN(",",TRUE,_xlfn.UNIQUE(_xlfn._xlws.FILTER('11. Strategies &amp; Solutions'!$C$5:$C$64,('11. Strategies &amp; Solutions'!$B$5:$B$64=$B11)*('11. Strategies &amp; Solutions'!$C$5:$C$64&lt;&gt;"")))),"Not Created"))</f>
        <v/>
      </c>
      <c r="T11" s="195" t="str" cm="1">
        <f t="array" ref="T11">IF($B11="","",_xlfn.LET(_xlpm.ss,_xlfn._xlws.FILTER('11. Strategies &amp; Solutions'!$C$5:$C$64,('11. Strategies &amp; Solutions'!$B$5:$B$64=$B11)*('11. Strategies &amp; Solutions'!$C$5:$C$64&lt;&gt;""),""),IFERROR(_xlfn.TEXTJOIN(",",TRUE,_xlfn.UNIQUE(_xlfn._xlws.FILTER('14. Recovery &amp; Response'!$B$6:$B$105,ISNUMBER(_xlfn.XMATCH('14. Recovery &amp; Response'!$C$6:$C$105,_xlpm.ss))*('14. Recovery &amp; Response'!$B$6:$B$105&lt;&gt;"")))),"Not Created")))</f>
        <v/>
      </c>
      <c r="U11" s="148"/>
      <c r="V11" s="258"/>
      <c r="W11" s="258"/>
      <c r="X11" s="148"/>
      <c r="Y11" s="148"/>
      <c r="Z11" s="149" t="str">
        <f t="shared" si="6"/>
        <v/>
      </c>
      <c r="AA11" s="267"/>
      <c r="AB11" s="148"/>
      <c r="AC11" s="148"/>
    </row>
    <row r="12" spans="1:29" x14ac:dyDescent="0.35">
      <c r="A12" s="194">
        <v>8</v>
      </c>
      <c r="B12" s="144" t="str">
        <f t="shared" si="0"/>
        <v/>
      </c>
      <c r="C12" s="264"/>
      <c r="D12" s="265"/>
      <c r="E12" s="266"/>
      <c r="F12" s="145" t="str" cm="1">
        <f t="array" ref="F12">IF(C12="","",_xlfn.LET(_xlpm.bu,_xlfn.SCAN("",'07.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",""),"-",""),"/","")),_xlpm.rawKey,LOWER(SUBSTITUTE(SUBSTITUTE(SUBSTITUTE(E12," ",""),"-",""),"/","")),_xlpm.key,IF(_xlpm.rawKey="data","datainfo",_xlpm.rawKey),IF(D12="",IFERROR(_xlfn.TEXTJOIN(",",TRUE,_xlfn.UNIQUE(_xlfn._xlws.FILTER(_xlpm.item,(_xlpm.bu=C12)*(_xlpm.item&lt;&gt;"")))),""),IF(E12="","",IFERROR(_xlfn.TEXTJOIN(",",TRUE,_xlfn.UNIQUE(_xlfn._xlws.FILTER(_xlpm.item,(_xlpm.bu=C12)*(_xlpm.div=D12)*(_xlpm.srcDep=_xlpm.key)*('07. BIA'!$H$6:$H$285="Yes")))),"")))))</f>
        <v/>
      </c>
      <c r="G12" s="267"/>
      <c r="H12" s="146" t="str">
        <f t="shared" si="1"/>
        <v/>
      </c>
      <c r="I12" s="147"/>
      <c r="J12" s="148"/>
      <c r="K12" s="268"/>
      <c r="L12" s="149" t="str">
        <f t="shared" si="2"/>
        <v/>
      </c>
      <c r="M12" s="268"/>
      <c r="N12" s="149" t="str">
        <f t="shared" si="3"/>
        <v/>
      </c>
      <c r="O12" s="149" t="str">
        <f>IF(OR($K12="",$M12=""),"",INDEX('20. ERM RA Guidance'!$E$79:$I$83,6-$K12,$M12))</f>
        <v/>
      </c>
      <c r="P12" s="149" t="str">
        <f t="shared" si="4"/>
        <v/>
      </c>
      <c r="Q12" s="149" t="str">
        <f t="shared" si="5"/>
        <v/>
      </c>
      <c r="R12" s="148"/>
      <c r="S12" s="150" t="str" cm="1">
        <f t="array" ref="S12">IF($B12="","",IFERROR(_xlfn.TEXTJOIN(",",TRUE,_xlfn.UNIQUE(_xlfn._xlws.FILTER('11. Strategies &amp; Solutions'!$C$5:$C$64,('11. Strategies &amp; Solutions'!$B$5:$B$64=$B12)*('11. Strategies &amp; Solutions'!$C$5:$C$64&lt;&gt;"")))),"Not Created"))</f>
        <v/>
      </c>
      <c r="T12" s="195" t="str" cm="1">
        <f t="array" ref="T12">IF($B12="","",_xlfn.LET(_xlpm.ss,_xlfn._xlws.FILTER('11. Strategies &amp; Solutions'!$C$5:$C$64,('11. Strategies &amp; Solutions'!$B$5:$B$64=$B12)*('11. Strategies &amp; Solutions'!$C$5:$C$64&lt;&gt;""),""),IFERROR(_xlfn.TEXTJOIN(",",TRUE,_xlfn.UNIQUE(_xlfn._xlws.FILTER('14. Recovery &amp; Response'!$B$6:$B$105,ISNUMBER(_xlfn.XMATCH('14. Recovery &amp; Response'!$C$6:$C$105,_xlpm.ss))*('14. Recovery &amp; Response'!$B$6:$B$105&lt;&gt;"")))),"Not Created")))</f>
        <v/>
      </c>
      <c r="U12" s="148"/>
      <c r="V12" s="258"/>
      <c r="W12" s="258"/>
      <c r="X12" s="148"/>
      <c r="Y12" s="148"/>
      <c r="Z12" s="149" t="str">
        <f t="shared" si="6"/>
        <v/>
      </c>
      <c r="AA12" s="267"/>
      <c r="AB12" s="148"/>
      <c r="AC12" s="148"/>
    </row>
    <row r="13" spans="1:29" x14ac:dyDescent="0.35">
      <c r="A13" s="194">
        <v>9</v>
      </c>
      <c r="B13" s="144" t="str">
        <f t="shared" si="0"/>
        <v/>
      </c>
      <c r="C13" s="264"/>
      <c r="D13" s="265"/>
      <c r="E13" s="266"/>
      <c r="F13" s="145" t="str" cm="1">
        <f t="array" ref="F13">IF(C13="","",_xlfn.LET(_xlpm.bu,_xlfn.SCAN("",'07.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",""),"-",""),"/","")),_xlpm.rawKey,LOWER(SUBSTITUTE(SUBSTITUTE(SUBSTITUTE(E13," ",""),"-",""),"/","")),_xlpm.key,IF(_xlpm.rawKey="data","datainfo",_xlpm.rawKey),IF(D13="",IFERROR(_xlfn.TEXTJOIN(",",TRUE,_xlfn.UNIQUE(_xlfn._xlws.FILTER(_xlpm.item,(_xlpm.bu=C13)*(_xlpm.item&lt;&gt;"")))),""),IF(E13="","",IFERROR(_xlfn.TEXTJOIN(",",TRUE,_xlfn.UNIQUE(_xlfn._xlws.FILTER(_xlpm.item,(_xlpm.bu=C13)*(_xlpm.div=D13)*(_xlpm.srcDep=_xlpm.key)*('07. BIA'!$H$6:$H$285="Yes")))),"")))))</f>
        <v/>
      </c>
      <c r="G13" s="267"/>
      <c r="H13" s="146" t="str">
        <f t="shared" si="1"/>
        <v/>
      </c>
      <c r="I13" s="147"/>
      <c r="J13" s="148"/>
      <c r="K13" s="268"/>
      <c r="L13" s="149" t="str">
        <f t="shared" si="2"/>
        <v/>
      </c>
      <c r="M13" s="268"/>
      <c r="N13" s="149" t="str">
        <f t="shared" si="3"/>
        <v/>
      </c>
      <c r="O13" s="149" t="str">
        <f>IF(OR($K13="",$M13=""),"",INDEX('20. ERM RA Guidance'!$E$79:$I$83,6-$K13,$M13))</f>
        <v/>
      </c>
      <c r="P13" s="149" t="str">
        <f t="shared" si="4"/>
        <v/>
      </c>
      <c r="Q13" s="149" t="str">
        <f t="shared" si="5"/>
        <v/>
      </c>
      <c r="R13" s="148"/>
      <c r="S13" s="150" t="str" cm="1">
        <f t="array" ref="S13">IF($B13="","",IFERROR(_xlfn.TEXTJOIN(",",TRUE,_xlfn.UNIQUE(_xlfn._xlws.FILTER('11. Strategies &amp; Solutions'!$C$5:$C$64,('11. Strategies &amp; Solutions'!$B$5:$B$64=$B13)*('11. Strategies &amp; Solutions'!$C$5:$C$64&lt;&gt;"")))),"Not Created"))</f>
        <v/>
      </c>
      <c r="T13" s="195" t="str" cm="1">
        <f t="array" ref="T13">IF($B13="","",_xlfn.LET(_xlpm.ss,_xlfn._xlws.FILTER('11. Strategies &amp; Solutions'!$C$5:$C$64,('11. Strategies &amp; Solutions'!$B$5:$B$64=$B13)*('11. Strategies &amp; Solutions'!$C$5:$C$64&lt;&gt;""),""),IFERROR(_xlfn.TEXTJOIN(",",TRUE,_xlfn.UNIQUE(_xlfn._xlws.FILTER('14. Recovery &amp; Response'!$B$6:$B$105,ISNUMBER(_xlfn.XMATCH('14. Recovery &amp; Response'!$C$6:$C$105,_xlpm.ss))*('14. Recovery &amp; Response'!$B$6:$B$105&lt;&gt;"")))),"Not Created")))</f>
        <v/>
      </c>
      <c r="U13" s="148"/>
      <c r="V13" s="258"/>
      <c r="W13" s="258"/>
      <c r="X13" s="148"/>
      <c r="Y13" s="148"/>
      <c r="Z13" s="149" t="str">
        <f t="shared" si="6"/>
        <v/>
      </c>
      <c r="AA13" s="267"/>
      <c r="AB13" s="148"/>
      <c r="AC13" s="148"/>
    </row>
    <row r="14" spans="1:29" x14ac:dyDescent="0.35">
      <c r="A14" s="194">
        <v>10</v>
      </c>
      <c r="B14" s="144" t="str">
        <f t="shared" si="0"/>
        <v/>
      </c>
      <c r="C14" s="264"/>
      <c r="D14" s="265"/>
      <c r="E14" s="266"/>
      <c r="F14" s="145" t="str" cm="1">
        <f t="array" ref="F14">IF(C14="","",_xlfn.LET(_xlpm.bu,_xlfn.SCAN("",'07.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",""),"-",""),"/","")),_xlpm.rawKey,LOWER(SUBSTITUTE(SUBSTITUTE(SUBSTITUTE(E14," ",""),"-",""),"/","")),_xlpm.key,IF(_xlpm.rawKey="data","datainfo",_xlpm.rawKey),IF(D14="",IFERROR(_xlfn.TEXTJOIN(",",TRUE,_xlfn.UNIQUE(_xlfn._xlws.FILTER(_xlpm.item,(_xlpm.bu=C14)*(_xlpm.item&lt;&gt;"")))),""),IF(E14="","",IFERROR(_xlfn.TEXTJOIN(",",TRUE,_xlfn.UNIQUE(_xlfn._xlws.FILTER(_xlpm.item,(_xlpm.bu=C14)*(_xlpm.div=D14)*(_xlpm.srcDep=_xlpm.key)*('07. BIA'!$H$6:$H$285="Yes")))),"")))))</f>
        <v/>
      </c>
      <c r="G14" s="267"/>
      <c r="H14" s="146" t="str">
        <f t="shared" si="1"/>
        <v/>
      </c>
      <c r="I14" s="147"/>
      <c r="J14" s="148"/>
      <c r="K14" s="268"/>
      <c r="L14" s="149" t="str">
        <f t="shared" si="2"/>
        <v/>
      </c>
      <c r="M14" s="268"/>
      <c r="N14" s="149" t="str">
        <f t="shared" si="3"/>
        <v/>
      </c>
      <c r="O14" s="149" t="str">
        <f>IF(OR($K14="",$M14=""),"",INDEX('20. ERM RA Guidance'!$E$79:$I$83,6-$K14,$M14))</f>
        <v/>
      </c>
      <c r="P14" s="149" t="str">
        <f t="shared" si="4"/>
        <v/>
      </c>
      <c r="Q14" s="149" t="str">
        <f t="shared" si="5"/>
        <v/>
      </c>
      <c r="R14" s="148"/>
      <c r="S14" s="150" t="str" cm="1">
        <f t="array" ref="S14">IF($B14="","",IFERROR(_xlfn.TEXTJOIN(",",TRUE,_xlfn.UNIQUE(_xlfn._xlws.FILTER('11. Strategies &amp; Solutions'!$C$5:$C$64,('11. Strategies &amp; Solutions'!$B$5:$B$64=$B14)*('11. Strategies &amp; Solutions'!$C$5:$C$64&lt;&gt;"")))),"Not Created"))</f>
        <v/>
      </c>
      <c r="T14" s="195" t="str" cm="1">
        <f t="array" ref="T14">IF($B14="","",_xlfn.LET(_xlpm.ss,_xlfn._xlws.FILTER('11. Strategies &amp; Solutions'!$C$5:$C$64,('11. Strategies &amp; Solutions'!$B$5:$B$64=$B14)*('11. Strategies &amp; Solutions'!$C$5:$C$64&lt;&gt;""),""),IFERROR(_xlfn.TEXTJOIN(",",TRUE,_xlfn.UNIQUE(_xlfn._xlws.FILTER('14. Recovery &amp; Response'!$B$6:$B$105,ISNUMBER(_xlfn.XMATCH('14. Recovery &amp; Response'!$C$6:$C$105,_xlpm.ss))*('14. Recovery &amp; Response'!$B$6:$B$105&lt;&gt;"")))),"Not Created")))</f>
        <v/>
      </c>
      <c r="U14" s="148"/>
      <c r="V14" s="258"/>
      <c r="W14" s="258"/>
      <c r="X14" s="148"/>
      <c r="Y14" s="148"/>
      <c r="Z14" s="149" t="str">
        <f t="shared" si="6"/>
        <v/>
      </c>
      <c r="AA14" s="267"/>
      <c r="AB14" s="148"/>
      <c r="AC14" s="148"/>
    </row>
    <row r="15" spans="1:29" x14ac:dyDescent="0.35">
      <c r="A15" s="194">
        <v>11</v>
      </c>
      <c r="B15" s="144" t="str">
        <f t="shared" si="0"/>
        <v/>
      </c>
      <c r="C15" s="264"/>
      <c r="D15" s="265"/>
      <c r="E15" s="266"/>
      <c r="F15" s="145" t="str" cm="1">
        <f t="array" ref="F15">IF(C15="","",_xlfn.LET(_xlpm.bu,_xlfn.SCAN("",'07.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",""),"-",""),"/","")),_xlpm.rawKey,LOWER(SUBSTITUTE(SUBSTITUTE(SUBSTITUTE(E15," ",""),"-",""),"/","")),_xlpm.key,IF(_xlpm.rawKey="data","datainfo",_xlpm.rawKey),IF(D15="",IFERROR(_xlfn.TEXTJOIN(",",TRUE,_xlfn.UNIQUE(_xlfn._xlws.FILTER(_xlpm.item,(_xlpm.bu=C15)*(_xlpm.item&lt;&gt;"")))),""),IF(E15="","",IFERROR(_xlfn.TEXTJOIN(",",TRUE,_xlfn.UNIQUE(_xlfn._xlws.FILTER(_xlpm.item,(_xlpm.bu=C15)*(_xlpm.div=D15)*(_xlpm.srcDep=_xlpm.key)*('07. BIA'!$H$6:$H$285="Yes")))),"")))))</f>
        <v/>
      </c>
      <c r="G15" s="267"/>
      <c r="H15" s="146" t="str">
        <f t="shared" si="1"/>
        <v/>
      </c>
      <c r="I15" s="147"/>
      <c r="J15" s="148"/>
      <c r="K15" s="268"/>
      <c r="L15" s="149" t="str">
        <f t="shared" si="2"/>
        <v/>
      </c>
      <c r="M15" s="268"/>
      <c r="N15" s="149" t="str">
        <f t="shared" si="3"/>
        <v/>
      </c>
      <c r="O15" s="149" t="str">
        <f>IF(OR($K15="",$M15=""),"",INDEX('20. ERM RA Guidance'!$E$79:$I$83,6-$K15,$M15))</f>
        <v/>
      </c>
      <c r="P15" s="149" t="str">
        <f t="shared" si="4"/>
        <v/>
      </c>
      <c r="Q15" s="149" t="str">
        <f t="shared" si="5"/>
        <v/>
      </c>
      <c r="R15" s="148"/>
      <c r="S15" s="150" t="str" cm="1">
        <f t="array" ref="S15">IF($B15="","",IFERROR(_xlfn.TEXTJOIN(",",TRUE,_xlfn.UNIQUE(_xlfn._xlws.FILTER('11. Strategies &amp; Solutions'!$C$5:$C$64,('11. Strategies &amp; Solutions'!$B$5:$B$64=$B15)*('11. Strategies &amp; Solutions'!$C$5:$C$64&lt;&gt;"")))),"Not Created"))</f>
        <v/>
      </c>
      <c r="T15" s="195" t="str" cm="1">
        <f t="array" ref="T15">IF($B15="","",_xlfn.LET(_xlpm.ss,_xlfn._xlws.FILTER('11. Strategies &amp; Solutions'!$C$5:$C$64,('11. Strategies &amp; Solutions'!$B$5:$B$64=$B15)*('11. Strategies &amp; Solutions'!$C$5:$C$64&lt;&gt;""),""),IFERROR(_xlfn.TEXTJOIN(",",TRUE,_xlfn.UNIQUE(_xlfn._xlws.FILTER('14. Recovery &amp; Response'!$B$6:$B$105,ISNUMBER(_xlfn.XMATCH('14. Recovery &amp; Response'!$C$6:$C$105,_xlpm.ss))*('14. Recovery &amp; Response'!$B$6:$B$105&lt;&gt;"")))),"Not Created")))</f>
        <v/>
      </c>
      <c r="U15" s="148"/>
      <c r="V15" s="258"/>
      <c r="W15" s="258"/>
      <c r="X15" s="148"/>
      <c r="Y15" s="148"/>
      <c r="Z15" s="149" t="str">
        <f t="shared" si="6"/>
        <v/>
      </c>
      <c r="AA15" s="267"/>
      <c r="AB15" s="148"/>
      <c r="AC15" s="148"/>
    </row>
    <row r="16" spans="1:29" x14ac:dyDescent="0.35">
      <c r="A16" s="194">
        <v>12</v>
      </c>
      <c r="B16" s="144" t="str">
        <f t="shared" si="0"/>
        <v/>
      </c>
      <c r="C16" s="264"/>
      <c r="D16" s="265"/>
      <c r="E16" s="266"/>
      <c r="F16" s="145" t="str" cm="1">
        <f t="array" ref="F16">IF(C16="","",_xlfn.LET(_xlpm.bu,_xlfn.SCAN("",'07.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",""),"-",""),"/","")),_xlpm.rawKey,LOWER(SUBSTITUTE(SUBSTITUTE(SUBSTITUTE(E16," ",""),"-",""),"/","")),_xlpm.key,IF(_xlpm.rawKey="data","datainfo",_xlpm.rawKey),IF(D16="",IFERROR(_xlfn.TEXTJOIN(",",TRUE,_xlfn.UNIQUE(_xlfn._xlws.FILTER(_xlpm.item,(_xlpm.bu=C16)*(_xlpm.item&lt;&gt;"")))),""),IF(E16="","",IFERROR(_xlfn.TEXTJOIN(",",TRUE,_xlfn.UNIQUE(_xlfn._xlws.FILTER(_xlpm.item,(_xlpm.bu=C16)*(_xlpm.div=D16)*(_xlpm.srcDep=_xlpm.key)*('07. BIA'!$H$6:$H$285="Yes")))),"")))))</f>
        <v/>
      </c>
      <c r="G16" s="267"/>
      <c r="H16" s="146" t="str">
        <f t="shared" si="1"/>
        <v/>
      </c>
      <c r="I16" s="147"/>
      <c r="J16" s="148"/>
      <c r="K16" s="268"/>
      <c r="L16" s="149" t="str">
        <f t="shared" si="2"/>
        <v/>
      </c>
      <c r="M16" s="268"/>
      <c r="N16" s="149" t="str">
        <f t="shared" si="3"/>
        <v/>
      </c>
      <c r="O16" s="149" t="str">
        <f>IF(OR($K16="",$M16=""),"",INDEX('20. ERM RA Guidance'!$E$79:$I$83,6-$K16,$M16))</f>
        <v/>
      </c>
      <c r="P16" s="149" t="str">
        <f t="shared" si="4"/>
        <v/>
      </c>
      <c r="Q16" s="149" t="str">
        <f t="shared" si="5"/>
        <v/>
      </c>
      <c r="R16" s="148"/>
      <c r="S16" s="150" t="str" cm="1">
        <f t="array" ref="S16">IF($B16="","",IFERROR(_xlfn.TEXTJOIN(",",TRUE,_xlfn.UNIQUE(_xlfn._xlws.FILTER('11. Strategies &amp; Solutions'!$C$5:$C$64,('11. Strategies &amp; Solutions'!$B$5:$B$64=$B16)*('11. Strategies &amp; Solutions'!$C$5:$C$64&lt;&gt;"")))),"Not Created"))</f>
        <v/>
      </c>
      <c r="T16" s="195" t="str" cm="1">
        <f t="array" ref="T16">IF($B16="","",_xlfn.LET(_xlpm.ss,_xlfn._xlws.FILTER('11. Strategies &amp; Solutions'!$C$5:$C$64,('11. Strategies &amp; Solutions'!$B$5:$B$64=$B16)*('11. Strategies &amp; Solutions'!$C$5:$C$64&lt;&gt;""),""),IFERROR(_xlfn.TEXTJOIN(",",TRUE,_xlfn.UNIQUE(_xlfn._xlws.FILTER('14. Recovery &amp; Response'!$B$6:$B$105,ISNUMBER(_xlfn.XMATCH('14. Recovery &amp; Response'!$C$6:$C$105,_xlpm.ss))*('14. Recovery &amp; Response'!$B$6:$B$105&lt;&gt;"")))),"Not Created")))</f>
        <v/>
      </c>
      <c r="U16" s="148"/>
      <c r="V16" s="258"/>
      <c r="W16" s="258"/>
      <c r="X16" s="148"/>
      <c r="Y16" s="148"/>
      <c r="Z16" s="149" t="str">
        <f t="shared" si="6"/>
        <v/>
      </c>
      <c r="AA16" s="267"/>
      <c r="AB16" s="148"/>
      <c r="AC16" s="148"/>
    </row>
    <row r="17" spans="1:29" x14ac:dyDescent="0.35">
      <c r="A17" s="194">
        <v>13</v>
      </c>
      <c r="B17" s="144" t="str">
        <f t="shared" si="0"/>
        <v/>
      </c>
      <c r="C17" s="264"/>
      <c r="D17" s="265"/>
      <c r="E17" s="266"/>
      <c r="F17" s="145" t="str" cm="1">
        <f t="array" ref="F17">IF(C17="","",_xlfn.LET(_xlpm.bu,_xlfn.SCAN("",'07.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",""),"-",""),"/","")),_xlpm.rawKey,LOWER(SUBSTITUTE(SUBSTITUTE(SUBSTITUTE(E17," ",""),"-",""),"/","")),_xlpm.key,IF(_xlpm.rawKey="data","datainfo",_xlpm.rawKey),IF(D17="",IFERROR(_xlfn.TEXTJOIN(",",TRUE,_xlfn.UNIQUE(_xlfn._xlws.FILTER(_xlpm.item,(_xlpm.bu=C17)*(_xlpm.item&lt;&gt;"")))),""),IF(E17="","",IFERROR(_xlfn.TEXTJOIN(",",TRUE,_xlfn.UNIQUE(_xlfn._xlws.FILTER(_xlpm.item,(_xlpm.bu=C17)*(_xlpm.div=D17)*(_xlpm.srcDep=_xlpm.key)*('07. BIA'!$H$6:$H$285="Yes")))),"")))))</f>
        <v/>
      </c>
      <c r="G17" s="267"/>
      <c r="H17" s="146" t="str">
        <f t="shared" si="1"/>
        <v/>
      </c>
      <c r="I17" s="147"/>
      <c r="J17" s="148"/>
      <c r="K17" s="268"/>
      <c r="L17" s="149" t="str">
        <f t="shared" si="2"/>
        <v/>
      </c>
      <c r="M17" s="268"/>
      <c r="N17" s="149" t="str">
        <f t="shared" si="3"/>
        <v/>
      </c>
      <c r="O17" s="149" t="str">
        <f>IF(OR($K17="",$M17=""),"",INDEX('20. ERM RA Guidance'!$E$79:$I$83,6-$K17,$M17))</f>
        <v/>
      </c>
      <c r="P17" s="149" t="str">
        <f t="shared" si="4"/>
        <v/>
      </c>
      <c r="Q17" s="149" t="str">
        <f t="shared" si="5"/>
        <v/>
      </c>
      <c r="R17" s="148"/>
      <c r="S17" s="150" t="str" cm="1">
        <f t="array" ref="S17">IF($B17="","",IFERROR(_xlfn.TEXTJOIN(",",TRUE,_xlfn.UNIQUE(_xlfn._xlws.FILTER('11. Strategies &amp; Solutions'!$C$5:$C$64,('11. Strategies &amp; Solutions'!$B$5:$B$64=$B17)*('11. Strategies &amp; Solutions'!$C$5:$C$64&lt;&gt;"")))),"Not Created"))</f>
        <v/>
      </c>
      <c r="T17" s="195" t="str" cm="1">
        <f t="array" ref="T17">IF($B17="","",_xlfn.LET(_xlpm.ss,_xlfn._xlws.FILTER('11. Strategies &amp; Solutions'!$C$5:$C$64,('11. Strategies &amp; Solutions'!$B$5:$B$64=$B17)*('11. Strategies &amp; Solutions'!$C$5:$C$64&lt;&gt;""),""),IFERROR(_xlfn.TEXTJOIN(",",TRUE,_xlfn.UNIQUE(_xlfn._xlws.FILTER('14. Recovery &amp; Response'!$B$6:$B$105,ISNUMBER(_xlfn.XMATCH('14. Recovery &amp; Response'!$C$6:$C$105,_xlpm.ss))*('14. Recovery &amp; Response'!$B$6:$B$105&lt;&gt;"")))),"Not Created")))</f>
        <v/>
      </c>
      <c r="U17" s="148"/>
      <c r="V17" s="258"/>
      <c r="W17" s="258"/>
      <c r="X17" s="148"/>
      <c r="Y17" s="148"/>
      <c r="Z17" s="149" t="str">
        <f t="shared" si="6"/>
        <v/>
      </c>
      <c r="AA17" s="267"/>
      <c r="AB17" s="148"/>
      <c r="AC17" s="148"/>
    </row>
    <row r="18" spans="1:29" x14ac:dyDescent="0.35">
      <c r="A18" s="194">
        <v>14</v>
      </c>
      <c r="B18" s="144" t="str">
        <f t="shared" si="0"/>
        <v/>
      </c>
      <c r="C18" s="264"/>
      <c r="D18" s="265"/>
      <c r="E18" s="266"/>
      <c r="F18" s="145" t="str" cm="1">
        <f t="array" ref="F18">IF(C18="","",_xlfn.LET(_xlpm.bu,_xlfn.SCAN("",'07.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",""),"-",""),"/","")),_xlpm.rawKey,LOWER(SUBSTITUTE(SUBSTITUTE(SUBSTITUTE(E18," ",""),"-",""),"/","")),_xlpm.key,IF(_xlpm.rawKey="data","datainfo",_xlpm.rawKey),IF(D18="",IFERROR(_xlfn.TEXTJOIN(",",TRUE,_xlfn.UNIQUE(_xlfn._xlws.FILTER(_xlpm.item,(_xlpm.bu=C18)*(_xlpm.item&lt;&gt;"")))),""),IF(E18="","",IFERROR(_xlfn.TEXTJOIN(",",TRUE,_xlfn.UNIQUE(_xlfn._xlws.FILTER(_xlpm.item,(_xlpm.bu=C18)*(_xlpm.div=D18)*(_xlpm.srcDep=_xlpm.key)*('07. BIA'!$H$6:$H$285="Yes")))),"")))))</f>
        <v/>
      </c>
      <c r="G18" s="267"/>
      <c r="H18" s="146" t="str">
        <f t="shared" si="1"/>
        <v/>
      </c>
      <c r="I18" s="147"/>
      <c r="J18" s="148"/>
      <c r="K18" s="268"/>
      <c r="L18" s="149" t="str">
        <f t="shared" si="2"/>
        <v/>
      </c>
      <c r="M18" s="268"/>
      <c r="N18" s="149" t="str">
        <f t="shared" si="3"/>
        <v/>
      </c>
      <c r="O18" s="149" t="str">
        <f>IF(OR($K18="",$M18=""),"",INDEX('20. ERM RA Guidance'!$E$79:$I$83,6-$K18,$M18))</f>
        <v/>
      </c>
      <c r="P18" s="149" t="str">
        <f t="shared" si="4"/>
        <v/>
      </c>
      <c r="Q18" s="149" t="str">
        <f t="shared" si="5"/>
        <v/>
      </c>
      <c r="R18" s="148"/>
      <c r="S18" s="150" t="str" cm="1">
        <f t="array" ref="S18">IF($B18="","",IFERROR(_xlfn.TEXTJOIN(",",TRUE,_xlfn.UNIQUE(_xlfn._xlws.FILTER('11. Strategies &amp; Solutions'!$C$5:$C$64,('11. Strategies &amp; Solutions'!$B$5:$B$64=$B18)*('11. Strategies &amp; Solutions'!$C$5:$C$64&lt;&gt;"")))),"Not Created"))</f>
        <v/>
      </c>
      <c r="T18" s="195" t="str" cm="1">
        <f t="array" ref="T18">IF($B18="","",_xlfn.LET(_xlpm.ss,_xlfn._xlws.FILTER('11. Strategies &amp; Solutions'!$C$5:$C$64,('11. Strategies &amp; Solutions'!$B$5:$B$64=$B18)*('11. Strategies &amp; Solutions'!$C$5:$C$64&lt;&gt;""),""),IFERROR(_xlfn.TEXTJOIN(",",TRUE,_xlfn.UNIQUE(_xlfn._xlws.FILTER('14. Recovery &amp; Response'!$B$6:$B$105,ISNUMBER(_xlfn.XMATCH('14. Recovery &amp; Response'!$C$6:$C$105,_xlpm.ss))*('14. Recovery &amp; Response'!$B$6:$B$105&lt;&gt;"")))),"Not Created")))</f>
        <v/>
      </c>
      <c r="U18" s="148"/>
      <c r="V18" s="258"/>
      <c r="W18" s="258"/>
      <c r="X18" s="148"/>
      <c r="Y18" s="148"/>
      <c r="Z18" s="149" t="str">
        <f t="shared" si="6"/>
        <v/>
      </c>
      <c r="AA18" s="267"/>
      <c r="AB18" s="148"/>
      <c r="AC18" s="148"/>
    </row>
    <row r="19" spans="1:29" x14ac:dyDescent="0.35">
      <c r="A19" s="194">
        <v>15</v>
      </c>
      <c r="B19" s="144" t="str">
        <f t="shared" si="0"/>
        <v/>
      </c>
      <c r="C19" s="264"/>
      <c r="D19" s="265"/>
      <c r="E19" s="266"/>
      <c r="F19" s="145" t="str" cm="1">
        <f t="array" ref="F19">IF(C19="","",_xlfn.LET(_xlpm.bu,_xlfn.SCAN("",'07.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",""),"-",""),"/","")),_xlpm.rawKey,LOWER(SUBSTITUTE(SUBSTITUTE(SUBSTITUTE(E19," ",""),"-",""),"/","")),_xlpm.key,IF(_xlpm.rawKey="data","datainfo",_xlpm.rawKey),IF(D19="",IFERROR(_xlfn.TEXTJOIN(",",TRUE,_xlfn.UNIQUE(_xlfn._xlws.FILTER(_xlpm.item,(_xlpm.bu=C19)*(_xlpm.item&lt;&gt;"")))),""),IF(E19="","",IFERROR(_xlfn.TEXTJOIN(",",TRUE,_xlfn.UNIQUE(_xlfn._xlws.FILTER(_xlpm.item,(_xlpm.bu=C19)*(_xlpm.div=D19)*(_xlpm.srcDep=_xlpm.key)*('07. BIA'!$H$6:$H$285="Yes")))),"")))))</f>
        <v/>
      </c>
      <c r="G19" s="267"/>
      <c r="H19" s="146" t="str">
        <f t="shared" si="1"/>
        <v/>
      </c>
      <c r="I19" s="147"/>
      <c r="J19" s="148"/>
      <c r="K19" s="268"/>
      <c r="L19" s="149" t="str">
        <f t="shared" si="2"/>
        <v/>
      </c>
      <c r="M19" s="268"/>
      <c r="N19" s="149" t="str">
        <f t="shared" si="3"/>
        <v/>
      </c>
      <c r="O19" s="149" t="str">
        <f>IF(OR($K19="",$M19=""),"",INDEX('20. ERM RA Guidance'!$E$79:$I$83,6-$K19,$M19))</f>
        <v/>
      </c>
      <c r="P19" s="149" t="str">
        <f t="shared" si="4"/>
        <v/>
      </c>
      <c r="Q19" s="149" t="str">
        <f t="shared" si="5"/>
        <v/>
      </c>
      <c r="R19" s="148"/>
      <c r="S19" s="150" t="str" cm="1">
        <f t="array" ref="S19">IF($B19="","",IFERROR(_xlfn.TEXTJOIN(",",TRUE,_xlfn.UNIQUE(_xlfn._xlws.FILTER('11. Strategies &amp; Solutions'!$C$5:$C$64,('11. Strategies &amp; Solutions'!$B$5:$B$64=$B19)*('11. Strategies &amp; Solutions'!$C$5:$C$64&lt;&gt;"")))),"Not Created"))</f>
        <v/>
      </c>
      <c r="T19" s="195" t="str" cm="1">
        <f t="array" ref="T19">IF($B19="","",_xlfn.LET(_xlpm.ss,_xlfn._xlws.FILTER('11. Strategies &amp; Solutions'!$C$5:$C$64,('11. Strategies &amp; Solutions'!$B$5:$B$64=$B19)*('11. Strategies &amp; Solutions'!$C$5:$C$64&lt;&gt;""),""),IFERROR(_xlfn.TEXTJOIN(",",TRUE,_xlfn.UNIQUE(_xlfn._xlws.FILTER('14. Recovery &amp; Response'!$B$6:$B$105,ISNUMBER(_xlfn.XMATCH('14. Recovery &amp; Response'!$C$6:$C$105,_xlpm.ss))*('14. Recovery &amp; Response'!$B$6:$B$105&lt;&gt;"")))),"Not Created")))</f>
        <v/>
      </c>
      <c r="U19" s="148"/>
      <c r="V19" s="258"/>
      <c r="W19" s="258"/>
      <c r="X19" s="148"/>
      <c r="Y19" s="148"/>
      <c r="Z19" s="149" t="str">
        <f t="shared" si="6"/>
        <v/>
      </c>
      <c r="AA19" s="267"/>
      <c r="AB19" s="148"/>
      <c r="AC19" s="148"/>
    </row>
    <row r="20" spans="1:29" x14ac:dyDescent="0.35">
      <c r="A20" s="194">
        <v>16</v>
      </c>
      <c r="B20" s="144" t="str">
        <f t="shared" si="0"/>
        <v/>
      </c>
      <c r="C20" s="264"/>
      <c r="D20" s="265"/>
      <c r="E20" s="266"/>
      <c r="F20" s="145" t="str" cm="1">
        <f t="array" ref="F20">IF(C20="","",_xlfn.LET(_xlpm.bu,_xlfn.SCAN("",'07.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",""),"-",""),"/","")),_xlpm.rawKey,LOWER(SUBSTITUTE(SUBSTITUTE(SUBSTITUTE(E20," ",""),"-",""),"/","")),_xlpm.key,IF(_xlpm.rawKey="data","datainfo",_xlpm.rawKey),IF(D20="",IFERROR(_xlfn.TEXTJOIN(",",TRUE,_xlfn.UNIQUE(_xlfn._xlws.FILTER(_xlpm.item,(_xlpm.bu=C20)*(_xlpm.item&lt;&gt;"")))),""),IF(E20="","",IFERROR(_xlfn.TEXTJOIN(",",TRUE,_xlfn.UNIQUE(_xlfn._xlws.FILTER(_xlpm.item,(_xlpm.bu=C20)*(_xlpm.div=D20)*(_xlpm.srcDep=_xlpm.key)*('07. BIA'!$H$6:$H$285="Yes")))),"")))))</f>
        <v/>
      </c>
      <c r="G20" s="267"/>
      <c r="H20" s="146" t="str">
        <f t="shared" si="1"/>
        <v/>
      </c>
      <c r="I20" s="147"/>
      <c r="J20" s="148"/>
      <c r="K20" s="268"/>
      <c r="L20" s="149" t="str">
        <f t="shared" si="2"/>
        <v/>
      </c>
      <c r="M20" s="268"/>
      <c r="N20" s="149" t="str">
        <f t="shared" si="3"/>
        <v/>
      </c>
      <c r="O20" s="149" t="str">
        <f>IF(OR($K20="",$M20=""),"",INDEX('20. ERM RA Guidance'!$E$79:$I$83,6-$K20,$M20))</f>
        <v/>
      </c>
      <c r="P20" s="149" t="str">
        <f t="shared" si="4"/>
        <v/>
      </c>
      <c r="Q20" s="149" t="str">
        <f t="shared" si="5"/>
        <v/>
      </c>
      <c r="R20" s="148"/>
      <c r="S20" s="150" t="str" cm="1">
        <f t="array" ref="S20">IF($B20="","",IFERROR(_xlfn.TEXTJOIN(",",TRUE,_xlfn.UNIQUE(_xlfn._xlws.FILTER('11. Strategies &amp; Solutions'!$C$5:$C$64,('11. Strategies &amp; Solutions'!$B$5:$B$64=$B20)*('11. Strategies &amp; Solutions'!$C$5:$C$64&lt;&gt;"")))),"Not Created"))</f>
        <v/>
      </c>
      <c r="T20" s="195" t="str" cm="1">
        <f t="array" ref="T20">IF($B20="","",_xlfn.LET(_xlpm.ss,_xlfn._xlws.FILTER('11. Strategies &amp; Solutions'!$C$5:$C$64,('11. Strategies &amp; Solutions'!$B$5:$B$64=$B20)*('11. Strategies &amp; Solutions'!$C$5:$C$64&lt;&gt;""),""),IFERROR(_xlfn.TEXTJOIN(",",TRUE,_xlfn.UNIQUE(_xlfn._xlws.FILTER('14. Recovery &amp; Response'!$B$6:$B$105,ISNUMBER(_xlfn.XMATCH('14. Recovery &amp; Response'!$C$6:$C$105,_xlpm.ss))*('14. Recovery &amp; Response'!$B$6:$B$105&lt;&gt;"")))),"Not Created")))</f>
        <v/>
      </c>
      <c r="U20" s="148"/>
      <c r="V20" s="258"/>
      <c r="W20" s="258"/>
      <c r="X20" s="148"/>
      <c r="Y20" s="148"/>
      <c r="Z20" s="149" t="str">
        <f t="shared" si="6"/>
        <v/>
      </c>
      <c r="AA20" s="267"/>
      <c r="AB20" s="148"/>
      <c r="AC20" s="148"/>
    </row>
    <row r="21" spans="1:29" x14ac:dyDescent="0.35">
      <c r="A21" s="194">
        <v>17</v>
      </c>
      <c r="B21" s="144" t="str">
        <f t="shared" si="0"/>
        <v/>
      </c>
      <c r="C21" s="264"/>
      <c r="D21" s="265"/>
      <c r="E21" s="266"/>
      <c r="F21" s="145" t="str" cm="1">
        <f t="array" ref="F21">IF(C21="","",_xlfn.LET(_xlpm.bu,_xlfn.SCAN("",'07.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",""),"-",""),"/","")),_xlpm.rawKey,LOWER(SUBSTITUTE(SUBSTITUTE(SUBSTITUTE(E21," ",""),"-",""),"/","")),_xlpm.key,IF(_xlpm.rawKey="data","datainfo",_xlpm.rawKey),IF(D21="",IFERROR(_xlfn.TEXTJOIN(",",TRUE,_xlfn.UNIQUE(_xlfn._xlws.FILTER(_xlpm.item,(_xlpm.bu=C21)*(_xlpm.item&lt;&gt;"")))),""),IF(E21="","",IFERROR(_xlfn.TEXTJOIN(",",TRUE,_xlfn.UNIQUE(_xlfn._xlws.FILTER(_xlpm.item,(_xlpm.bu=C21)*(_xlpm.div=D21)*(_xlpm.srcDep=_xlpm.key)*('07. BIA'!$H$6:$H$285="Yes")))),"")))))</f>
        <v/>
      </c>
      <c r="G21" s="267"/>
      <c r="H21" s="146" t="str">
        <f t="shared" si="1"/>
        <v/>
      </c>
      <c r="I21" s="147"/>
      <c r="J21" s="148"/>
      <c r="K21" s="268"/>
      <c r="L21" s="149" t="str">
        <f t="shared" si="2"/>
        <v/>
      </c>
      <c r="M21" s="268"/>
      <c r="N21" s="149" t="str">
        <f t="shared" si="3"/>
        <v/>
      </c>
      <c r="O21" s="149" t="str">
        <f>IF(OR($K21="",$M21=""),"",INDEX('20. ERM RA Guidance'!$E$79:$I$83,6-$K21,$M21))</f>
        <v/>
      </c>
      <c r="P21" s="149" t="str">
        <f t="shared" si="4"/>
        <v/>
      </c>
      <c r="Q21" s="149" t="str">
        <f t="shared" si="5"/>
        <v/>
      </c>
      <c r="R21" s="148"/>
      <c r="S21" s="150" t="str" cm="1">
        <f t="array" ref="S21">IF($B21="","",IFERROR(_xlfn.TEXTJOIN(",",TRUE,_xlfn.UNIQUE(_xlfn._xlws.FILTER('11. Strategies &amp; Solutions'!$C$5:$C$64,('11. Strategies &amp; Solutions'!$B$5:$B$64=$B21)*('11. Strategies &amp; Solutions'!$C$5:$C$64&lt;&gt;"")))),"Not Created"))</f>
        <v/>
      </c>
      <c r="T21" s="195" t="str" cm="1">
        <f t="array" ref="T21">IF($B21="","",_xlfn.LET(_xlpm.ss,_xlfn._xlws.FILTER('11. Strategies &amp; Solutions'!$C$5:$C$64,('11. Strategies &amp; Solutions'!$B$5:$B$64=$B21)*('11. Strategies &amp; Solutions'!$C$5:$C$64&lt;&gt;""),""),IFERROR(_xlfn.TEXTJOIN(",",TRUE,_xlfn.UNIQUE(_xlfn._xlws.FILTER('14. Recovery &amp; Response'!$B$6:$B$105,ISNUMBER(_xlfn.XMATCH('14. Recovery &amp; Response'!$C$6:$C$105,_xlpm.ss))*('14. Recovery &amp; Response'!$B$6:$B$105&lt;&gt;"")))),"Not Created")))</f>
        <v/>
      </c>
      <c r="U21" s="148"/>
      <c r="V21" s="258"/>
      <c r="W21" s="258"/>
      <c r="X21" s="148"/>
      <c r="Y21" s="148"/>
      <c r="Z21" s="149" t="str">
        <f t="shared" si="6"/>
        <v/>
      </c>
      <c r="AA21" s="267"/>
      <c r="AB21" s="148"/>
      <c r="AC21" s="148"/>
    </row>
    <row r="22" spans="1:29" x14ac:dyDescent="0.35">
      <c r="A22" s="194">
        <v>18</v>
      </c>
      <c r="B22" s="144" t="str">
        <f t="shared" si="0"/>
        <v/>
      </c>
      <c r="C22" s="264"/>
      <c r="D22" s="265"/>
      <c r="E22" s="266"/>
      <c r="F22" s="145" t="str" cm="1">
        <f t="array" ref="F22">IF(C22="","",_xlfn.LET(_xlpm.bu,_xlfn.SCAN("",'07.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",""),"-",""),"/","")),_xlpm.rawKey,LOWER(SUBSTITUTE(SUBSTITUTE(SUBSTITUTE(E22," ",""),"-",""),"/","")),_xlpm.key,IF(_xlpm.rawKey="data","datainfo",_xlpm.rawKey),IF(D22="",IFERROR(_xlfn.TEXTJOIN(",",TRUE,_xlfn.UNIQUE(_xlfn._xlws.FILTER(_xlpm.item,(_xlpm.bu=C22)*(_xlpm.item&lt;&gt;"")))),""),IF(E22="","",IFERROR(_xlfn.TEXTJOIN(",",TRUE,_xlfn.UNIQUE(_xlfn._xlws.FILTER(_xlpm.item,(_xlpm.bu=C22)*(_xlpm.div=D22)*(_xlpm.srcDep=_xlpm.key)*('07. BIA'!$H$6:$H$285="Yes")))),"")))))</f>
        <v/>
      </c>
      <c r="G22" s="267"/>
      <c r="H22" s="146" t="str">
        <f t="shared" si="1"/>
        <v/>
      </c>
      <c r="I22" s="147"/>
      <c r="J22" s="148"/>
      <c r="K22" s="268"/>
      <c r="L22" s="149" t="str">
        <f t="shared" si="2"/>
        <v/>
      </c>
      <c r="M22" s="268"/>
      <c r="N22" s="149" t="str">
        <f t="shared" si="3"/>
        <v/>
      </c>
      <c r="O22" s="149" t="str">
        <f>IF(OR($K22="",$M22=""),"",INDEX('20. ERM RA Guidance'!$E$79:$I$83,6-$K22,$M22))</f>
        <v/>
      </c>
      <c r="P22" s="149" t="str">
        <f t="shared" si="4"/>
        <v/>
      </c>
      <c r="Q22" s="149" t="str">
        <f t="shared" si="5"/>
        <v/>
      </c>
      <c r="R22" s="148"/>
      <c r="S22" s="150" t="str" cm="1">
        <f t="array" ref="S22">IF($B22="","",IFERROR(_xlfn.TEXTJOIN(",",TRUE,_xlfn.UNIQUE(_xlfn._xlws.FILTER('11. Strategies &amp; Solutions'!$C$5:$C$64,('11. Strategies &amp; Solutions'!$B$5:$B$64=$B22)*('11. Strategies &amp; Solutions'!$C$5:$C$64&lt;&gt;"")))),"Not Created"))</f>
        <v/>
      </c>
      <c r="T22" s="195" t="str" cm="1">
        <f t="array" ref="T22">IF($B22="","",_xlfn.LET(_xlpm.ss,_xlfn._xlws.FILTER('11. Strategies &amp; Solutions'!$C$5:$C$64,('11. Strategies &amp; Solutions'!$B$5:$B$64=$B22)*('11. Strategies &amp; Solutions'!$C$5:$C$64&lt;&gt;""),""),IFERROR(_xlfn.TEXTJOIN(",",TRUE,_xlfn.UNIQUE(_xlfn._xlws.FILTER('14. Recovery &amp; Response'!$B$6:$B$105,ISNUMBER(_xlfn.XMATCH('14. Recovery &amp; Response'!$C$6:$C$105,_xlpm.ss))*('14. Recovery &amp; Response'!$B$6:$B$105&lt;&gt;"")))),"Not Created")))</f>
        <v/>
      </c>
      <c r="U22" s="148"/>
      <c r="V22" s="258"/>
      <c r="W22" s="258"/>
      <c r="X22" s="148"/>
      <c r="Y22" s="148"/>
      <c r="Z22" s="149" t="str">
        <f t="shared" si="6"/>
        <v/>
      </c>
      <c r="AA22" s="267"/>
      <c r="AB22" s="148"/>
      <c r="AC22" s="148"/>
    </row>
    <row r="23" spans="1:29" x14ac:dyDescent="0.35">
      <c r="A23" s="194">
        <v>19</v>
      </c>
      <c r="B23" s="144" t="str">
        <f t="shared" si="0"/>
        <v/>
      </c>
      <c r="C23" s="264"/>
      <c r="D23" s="265"/>
      <c r="E23" s="266"/>
      <c r="F23" s="145" t="str" cm="1">
        <f t="array" ref="F23">IF(C23="","",_xlfn.LET(_xlpm.bu,_xlfn.SCAN("",'07.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",""),"-",""),"/","")),_xlpm.rawKey,LOWER(SUBSTITUTE(SUBSTITUTE(SUBSTITUTE(E23," ",""),"-",""),"/","")),_xlpm.key,IF(_xlpm.rawKey="data","datainfo",_xlpm.rawKey),IF(D23="",IFERROR(_xlfn.TEXTJOIN(",",TRUE,_xlfn.UNIQUE(_xlfn._xlws.FILTER(_xlpm.item,(_xlpm.bu=C23)*(_xlpm.item&lt;&gt;"")))),""),IF(E23="","",IFERROR(_xlfn.TEXTJOIN(",",TRUE,_xlfn.UNIQUE(_xlfn._xlws.FILTER(_xlpm.item,(_xlpm.bu=C23)*(_xlpm.div=D23)*(_xlpm.srcDep=_xlpm.key)*('07. BIA'!$H$6:$H$285="Yes")))),"")))))</f>
        <v/>
      </c>
      <c r="G23" s="267"/>
      <c r="H23" s="146" t="str">
        <f t="shared" si="1"/>
        <v/>
      </c>
      <c r="I23" s="147"/>
      <c r="J23" s="148"/>
      <c r="K23" s="268"/>
      <c r="L23" s="149" t="str">
        <f t="shared" si="2"/>
        <v/>
      </c>
      <c r="M23" s="268"/>
      <c r="N23" s="149" t="str">
        <f t="shared" si="3"/>
        <v/>
      </c>
      <c r="O23" s="149" t="str">
        <f>IF(OR($K23="",$M23=""),"",INDEX('20. ERM RA Guidance'!$E$79:$I$83,6-$K23,$M23))</f>
        <v/>
      </c>
      <c r="P23" s="149" t="str">
        <f t="shared" si="4"/>
        <v/>
      </c>
      <c r="Q23" s="149" t="str">
        <f t="shared" si="5"/>
        <v/>
      </c>
      <c r="R23" s="148"/>
      <c r="S23" s="150" t="str" cm="1">
        <f t="array" ref="S23">IF($B23="","",IFERROR(_xlfn.TEXTJOIN(",",TRUE,_xlfn.UNIQUE(_xlfn._xlws.FILTER('11. Strategies &amp; Solutions'!$C$5:$C$64,('11. Strategies &amp; Solutions'!$B$5:$B$64=$B23)*('11. Strategies &amp; Solutions'!$C$5:$C$64&lt;&gt;"")))),"Not Created"))</f>
        <v/>
      </c>
      <c r="T23" s="195" t="str" cm="1">
        <f t="array" ref="T23">IF($B23="","",_xlfn.LET(_xlpm.ss,_xlfn._xlws.FILTER('11. Strategies &amp; Solutions'!$C$5:$C$64,('11. Strategies &amp; Solutions'!$B$5:$B$64=$B23)*('11. Strategies &amp; Solutions'!$C$5:$C$64&lt;&gt;""),""),IFERROR(_xlfn.TEXTJOIN(",",TRUE,_xlfn.UNIQUE(_xlfn._xlws.FILTER('14. Recovery &amp; Response'!$B$6:$B$105,ISNUMBER(_xlfn.XMATCH('14. Recovery &amp; Response'!$C$6:$C$105,_xlpm.ss))*('14. Recovery &amp; Response'!$B$6:$B$105&lt;&gt;"")))),"Not Created")))</f>
        <v/>
      </c>
      <c r="U23" s="148"/>
      <c r="V23" s="258"/>
      <c r="W23" s="258"/>
      <c r="X23" s="148"/>
      <c r="Y23" s="148"/>
      <c r="Z23" s="149" t="str">
        <f t="shared" si="6"/>
        <v/>
      </c>
      <c r="AA23" s="267"/>
      <c r="AB23" s="148"/>
      <c r="AC23" s="148"/>
    </row>
    <row r="24" spans="1:29" x14ac:dyDescent="0.35">
      <c r="A24" s="194">
        <v>20</v>
      </c>
      <c r="B24" s="144" t="str">
        <f t="shared" si="0"/>
        <v/>
      </c>
      <c r="C24" s="264"/>
      <c r="D24" s="265"/>
      <c r="E24" s="266"/>
      <c r="F24" s="145" t="str" cm="1">
        <f t="array" ref="F24">IF(C24="","",_xlfn.LET(_xlpm.bu,_xlfn.SCAN("",'07.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",""),"-",""),"/","")),_xlpm.rawKey,LOWER(SUBSTITUTE(SUBSTITUTE(SUBSTITUTE(E24," ",""),"-",""),"/","")),_xlpm.key,IF(_xlpm.rawKey="data","datainfo",_xlpm.rawKey),IF(D24="",IFERROR(_xlfn.TEXTJOIN(",",TRUE,_xlfn.UNIQUE(_xlfn._xlws.FILTER(_xlpm.item,(_xlpm.bu=C24)*(_xlpm.item&lt;&gt;"")))),""),IF(E24="","",IFERROR(_xlfn.TEXTJOIN(",",TRUE,_xlfn.UNIQUE(_xlfn._xlws.FILTER(_xlpm.item,(_xlpm.bu=C24)*(_xlpm.div=D24)*(_xlpm.srcDep=_xlpm.key)*('07. BIA'!$H$6:$H$285="Yes")))),"")))))</f>
        <v/>
      </c>
      <c r="G24" s="267"/>
      <c r="H24" s="146" t="str">
        <f t="shared" si="1"/>
        <v/>
      </c>
      <c r="I24" s="147"/>
      <c r="J24" s="148"/>
      <c r="K24" s="268"/>
      <c r="L24" s="149" t="str">
        <f t="shared" si="2"/>
        <v/>
      </c>
      <c r="M24" s="268"/>
      <c r="N24" s="149" t="str">
        <f t="shared" si="3"/>
        <v/>
      </c>
      <c r="O24" s="149" t="str">
        <f>IF(OR($K24="",$M24=""),"",INDEX('20. ERM RA Guidance'!$E$79:$I$83,6-$K24,$M24))</f>
        <v/>
      </c>
      <c r="P24" s="149" t="str">
        <f t="shared" si="4"/>
        <v/>
      </c>
      <c r="Q24" s="149" t="str">
        <f t="shared" si="5"/>
        <v/>
      </c>
      <c r="R24" s="148"/>
      <c r="S24" s="150" t="str" cm="1">
        <f t="array" ref="S24">IF($B24="","",IFERROR(_xlfn.TEXTJOIN(",",TRUE,_xlfn.UNIQUE(_xlfn._xlws.FILTER('11. Strategies &amp; Solutions'!$C$5:$C$64,('11. Strategies &amp; Solutions'!$B$5:$B$64=$B24)*('11. Strategies &amp; Solutions'!$C$5:$C$64&lt;&gt;"")))),"Not Created"))</f>
        <v/>
      </c>
      <c r="T24" s="195" t="str" cm="1">
        <f t="array" ref="T24">IF($B24="","",_xlfn.LET(_xlpm.ss,_xlfn._xlws.FILTER('11. Strategies &amp; Solutions'!$C$5:$C$64,('11. Strategies &amp; Solutions'!$B$5:$B$64=$B24)*('11. Strategies &amp; Solutions'!$C$5:$C$64&lt;&gt;""),""),IFERROR(_xlfn.TEXTJOIN(",",TRUE,_xlfn.UNIQUE(_xlfn._xlws.FILTER('14. Recovery &amp; Response'!$B$6:$B$105,ISNUMBER(_xlfn.XMATCH('14. Recovery &amp; Response'!$C$6:$C$105,_xlpm.ss))*('14. Recovery &amp; Response'!$B$6:$B$105&lt;&gt;"")))),"Not Created")))</f>
        <v/>
      </c>
      <c r="U24" s="148"/>
      <c r="V24" s="258"/>
      <c r="W24" s="258"/>
      <c r="X24" s="148"/>
      <c r="Y24" s="148"/>
      <c r="Z24" s="149" t="str">
        <f t="shared" si="6"/>
        <v/>
      </c>
      <c r="AA24" s="267"/>
      <c r="AB24" s="148"/>
      <c r="AC24" s="148"/>
    </row>
    <row r="25" spans="1:29" x14ac:dyDescent="0.35">
      <c r="A25" s="194">
        <v>21</v>
      </c>
      <c r="B25" s="144" t="str">
        <f t="shared" si="0"/>
        <v/>
      </c>
      <c r="C25" s="264"/>
      <c r="D25" s="265"/>
      <c r="E25" s="266"/>
      <c r="F25" s="145" t="str" cm="1">
        <f t="array" ref="F25">IF(C25="","",_xlfn.LET(_xlpm.bu,_xlfn.SCAN("",'07.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",""),"-",""),"/","")),_xlpm.rawKey,LOWER(SUBSTITUTE(SUBSTITUTE(SUBSTITUTE(E25," ",""),"-",""),"/","")),_xlpm.key,IF(_xlpm.rawKey="data","datainfo",_xlpm.rawKey),IF(D25="",IFERROR(_xlfn.TEXTJOIN(",",TRUE,_xlfn.UNIQUE(_xlfn._xlws.FILTER(_xlpm.item,(_xlpm.bu=C25)*(_xlpm.item&lt;&gt;"")))),""),IF(E25="","",IFERROR(_xlfn.TEXTJOIN(",",TRUE,_xlfn.UNIQUE(_xlfn._xlws.FILTER(_xlpm.item,(_xlpm.bu=C25)*(_xlpm.div=D25)*(_xlpm.srcDep=_xlpm.key)*('07. BIA'!$H$6:$H$285="Yes")))),"")))))</f>
        <v/>
      </c>
      <c r="G25" s="267"/>
      <c r="H25" s="146" t="str">
        <f t="shared" si="1"/>
        <v/>
      </c>
      <c r="I25" s="147"/>
      <c r="J25" s="148"/>
      <c r="K25" s="268"/>
      <c r="L25" s="149" t="str">
        <f t="shared" si="2"/>
        <v/>
      </c>
      <c r="M25" s="268"/>
      <c r="N25" s="149" t="str">
        <f t="shared" si="3"/>
        <v/>
      </c>
      <c r="O25" s="149" t="str">
        <f>IF(OR($K25="",$M25=""),"",INDEX('20. ERM RA Guidance'!$E$79:$I$83,6-$K25,$M25))</f>
        <v/>
      </c>
      <c r="P25" s="149" t="str">
        <f t="shared" si="4"/>
        <v/>
      </c>
      <c r="Q25" s="149" t="str">
        <f t="shared" si="5"/>
        <v/>
      </c>
      <c r="R25" s="148"/>
      <c r="S25" s="150" t="str" cm="1">
        <f t="array" ref="S25">IF($B25="","",IFERROR(_xlfn.TEXTJOIN(",",TRUE,_xlfn.UNIQUE(_xlfn._xlws.FILTER('11. Strategies &amp; Solutions'!$C$5:$C$64,('11. Strategies &amp; Solutions'!$B$5:$B$64=$B25)*('11. Strategies &amp; Solutions'!$C$5:$C$64&lt;&gt;"")))),"Not Created"))</f>
        <v/>
      </c>
      <c r="T25" s="195" t="str" cm="1">
        <f t="array" ref="T25">IF($B25="","",_xlfn.LET(_xlpm.ss,_xlfn._xlws.FILTER('11. Strategies &amp; Solutions'!$C$5:$C$64,('11. Strategies &amp; Solutions'!$B$5:$B$64=$B25)*('11. Strategies &amp; Solutions'!$C$5:$C$64&lt;&gt;""),""),IFERROR(_xlfn.TEXTJOIN(",",TRUE,_xlfn.UNIQUE(_xlfn._xlws.FILTER('14. Recovery &amp; Response'!$B$6:$B$105,ISNUMBER(_xlfn.XMATCH('14. Recovery &amp; Response'!$C$6:$C$105,_xlpm.ss))*('14. Recovery &amp; Response'!$B$6:$B$105&lt;&gt;"")))),"Not Created")))</f>
        <v/>
      </c>
      <c r="U25" s="148"/>
      <c r="V25" s="258"/>
      <c r="W25" s="258"/>
      <c r="X25" s="148"/>
      <c r="Y25" s="148"/>
      <c r="Z25" s="149" t="str">
        <f t="shared" si="6"/>
        <v/>
      </c>
      <c r="AA25" s="267"/>
      <c r="AB25" s="148"/>
      <c r="AC25" s="148"/>
    </row>
    <row r="26" spans="1:29" x14ac:dyDescent="0.35">
      <c r="A26" s="194">
        <v>22</v>
      </c>
      <c r="B26" s="144" t="str">
        <f t="shared" si="0"/>
        <v/>
      </c>
      <c r="C26" s="264"/>
      <c r="D26" s="265"/>
      <c r="E26" s="266"/>
      <c r="F26" s="145" t="str" cm="1">
        <f t="array" ref="F26">IF(C26="","",_xlfn.LET(_xlpm.bu,_xlfn.SCAN("",'07.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",""),"-",""),"/","")),_xlpm.rawKey,LOWER(SUBSTITUTE(SUBSTITUTE(SUBSTITUTE(E26," ",""),"-",""),"/","")),_xlpm.key,IF(_xlpm.rawKey="data","datainfo",_xlpm.rawKey),IF(D26="",IFERROR(_xlfn.TEXTJOIN(",",TRUE,_xlfn.UNIQUE(_xlfn._xlws.FILTER(_xlpm.item,(_xlpm.bu=C26)*(_xlpm.item&lt;&gt;"")))),""),IF(E26="","",IFERROR(_xlfn.TEXTJOIN(",",TRUE,_xlfn.UNIQUE(_xlfn._xlws.FILTER(_xlpm.item,(_xlpm.bu=C26)*(_xlpm.div=D26)*(_xlpm.srcDep=_xlpm.key)*('07. BIA'!$H$6:$H$285="Yes")))),"")))))</f>
        <v/>
      </c>
      <c r="G26" s="267"/>
      <c r="H26" s="146" t="str">
        <f t="shared" si="1"/>
        <v/>
      </c>
      <c r="I26" s="147"/>
      <c r="J26" s="148"/>
      <c r="K26" s="268"/>
      <c r="L26" s="149" t="str">
        <f t="shared" si="2"/>
        <v/>
      </c>
      <c r="M26" s="268"/>
      <c r="N26" s="149" t="str">
        <f t="shared" si="3"/>
        <v/>
      </c>
      <c r="O26" s="149" t="str">
        <f>IF(OR($K26="",$M26=""),"",INDEX('20. ERM RA Guidance'!$E$79:$I$83,6-$K26,$M26))</f>
        <v/>
      </c>
      <c r="P26" s="149" t="str">
        <f t="shared" si="4"/>
        <v/>
      </c>
      <c r="Q26" s="149" t="str">
        <f t="shared" si="5"/>
        <v/>
      </c>
      <c r="R26" s="148"/>
      <c r="S26" s="150" t="str" cm="1">
        <f t="array" ref="S26">IF($B26="","",IFERROR(_xlfn.TEXTJOIN(",",TRUE,_xlfn.UNIQUE(_xlfn._xlws.FILTER('11. Strategies &amp; Solutions'!$C$5:$C$64,('11. Strategies &amp; Solutions'!$B$5:$B$64=$B26)*('11. Strategies &amp; Solutions'!$C$5:$C$64&lt;&gt;"")))),"Not Created"))</f>
        <v/>
      </c>
      <c r="T26" s="195" t="str" cm="1">
        <f t="array" ref="T26">IF($B26="","",_xlfn.LET(_xlpm.ss,_xlfn._xlws.FILTER('11. Strategies &amp; Solutions'!$C$5:$C$64,('11. Strategies &amp; Solutions'!$B$5:$B$64=$B26)*('11. Strategies &amp; Solutions'!$C$5:$C$64&lt;&gt;""),""),IFERROR(_xlfn.TEXTJOIN(",",TRUE,_xlfn.UNIQUE(_xlfn._xlws.FILTER('14. Recovery &amp; Response'!$B$6:$B$105,ISNUMBER(_xlfn.XMATCH('14. Recovery &amp; Response'!$C$6:$C$105,_xlpm.ss))*('14. Recovery &amp; Response'!$B$6:$B$105&lt;&gt;"")))),"Not Created")))</f>
        <v/>
      </c>
      <c r="U26" s="148"/>
      <c r="V26" s="258"/>
      <c r="W26" s="258"/>
      <c r="X26" s="148"/>
      <c r="Y26" s="148"/>
      <c r="Z26" s="149" t="str">
        <f t="shared" si="6"/>
        <v/>
      </c>
      <c r="AA26" s="267"/>
      <c r="AB26" s="148"/>
      <c r="AC26" s="148"/>
    </row>
    <row r="27" spans="1:29" x14ac:dyDescent="0.35">
      <c r="A27" s="194">
        <v>23</v>
      </c>
      <c r="B27" s="144" t="str">
        <f t="shared" si="0"/>
        <v/>
      </c>
      <c r="C27" s="264"/>
      <c r="D27" s="265"/>
      <c r="E27" s="266"/>
      <c r="F27" s="145" t="str" cm="1">
        <f t="array" ref="F27">IF(C27="","",_xlfn.LET(_xlpm.bu,_xlfn.SCAN("",'07.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",""),"-",""),"/","")),_xlpm.rawKey,LOWER(SUBSTITUTE(SUBSTITUTE(SUBSTITUTE(E27," ",""),"-",""),"/","")),_xlpm.key,IF(_xlpm.rawKey="data","datainfo",_xlpm.rawKey),IF(D27="",IFERROR(_xlfn.TEXTJOIN(",",TRUE,_xlfn.UNIQUE(_xlfn._xlws.FILTER(_xlpm.item,(_xlpm.bu=C27)*(_xlpm.item&lt;&gt;"")))),""),IF(E27="","",IFERROR(_xlfn.TEXTJOIN(",",TRUE,_xlfn.UNIQUE(_xlfn._xlws.FILTER(_xlpm.item,(_xlpm.bu=C27)*(_xlpm.div=D27)*(_xlpm.srcDep=_xlpm.key)*('07. BIA'!$H$6:$H$285="Yes")))),"")))))</f>
        <v/>
      </c>
      <c r="G27" s="267"/>
      <c r="H27" s="146" t="str">
        <f t="shared" si="1"/>
        <v/>
      </c>
      <c r="I27" s="147"/>
      <c r="J27" s="148"/>
      <c r="K27" s="268"/>
      <c r="L27" s="149" t="str">
        <f t="shared" si="2"/>
        <v/>
      </c>
      <c r="M27" s="268"/>
      <c r="N27" s="149" t="str">
        <f t="shared" si="3"/>
        <v/>
      </c>
      <c r="O27" s="149" t="str">
        <f>IF(OR($K27="",$M27=""),"",INDEX('20. ERM RA Guidance'!$E$79:$I$83,6-$K27,$M27))</f>
        <v/>
      </c>
      <c r="P27" s="149" t="str">
        <f t="shared" si="4"/>
        <v/>
      </c>
      <c r="Q27" s="149" t="str">
        <f t="shared" si="5"/>
        <v/>
      </c>
      <c r="R27" s="148"/>
      <c r="S27" s="150" t="str" cm="1">
        <f t="array" ref="S27">IF($B27="","",IFERROR(_xlfn.TEXTJOIN(",",TRUE,_xlfn.UNIQUE(_xlfn._xlws.FILTER('11. Strategies &amp; Solutions'!$C$5:$C$64,('11. Strategies &amp; Solutions'!$B$5:$B$64=$B27)*('11. Strategies &amp; Solutions'!$C$5:$C$64&lt;&gt;"")))),"Not Created"))</f>
        <v/>
      </c>
      <c r="T27" s="195" t="str" cm="1">
        <f t="array" ref="T27">IF($B27="","",_xlfn.LET(_xlpm.ss,_xlfn._xlws.FILTER('11. Strategies &amp; Solutions'!$C$5:$C$64,('11. Strategies &amp; Solutions'!$B$5:$B$64=$B27)*('11. Strategies &amp; Solutions'!$C$5:$C$64&lt;&gt;""),""),IFERROR(_xlfn.TEXTJOIN(",",TRUE,_xlfn.UNIQUE(_xlfn._xlws.FILTER('14. Recovery &amp; Response'!$B$6:$B$105,ISNUMBER(_xlfn.XMATCH('14. Recovery &amp; Response'!$C$6:$C$105,_xlpm.ss))*('14. Recovery &amp; Response'!$B$6:$B$105&lt;&gt;"")))),"Not Created")))</f>
        <v/>
      </c>
      <c r="U27" s="148"/>
      <c r="V27" s="258"/>
      <c r="W27" s="258"/>
      <c r="X27" s="148"/>
      <c r="Y27" s="148"/>
      <c r="Z27" s="149" t="str">
        <f t="shared" si="6"/>
        <v/>
      </c>
      <c r="AA27" s="267"/>
      <c r="AB27" s="148"/>
      <c r="AC27" s="148"/>
    </row>
    <row r="28" spans="1:29" x14ac:dyDescent="0.35">
      <c r="A28" s="194">
        <v>24</v>
      </c>
      <c r="B28" s="144" t="str">
        <f t="shared" si="0"/>
        <v/>
      </c>
      <c r="C28" s="264"/>
      <c r="D28" s="265"/>
      <c r="E28" s="266"/>
      <c r="F28" s="145" t="str" cm="1">
        <f t="array" ref="F28">IF(C28="","",_xlfn.LET(_xlpm.bu,_xlfn.SCAN("",'07.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",""),"-",""),"/","")),_xlpm.rawKey,LOWER(SUBSTITUTE(SUBSTITUTE(SUBSTITUTE(E28," ",""),"-",""),"/","")),_xlpm.key,IF(_xlpm.rawKey="data","datainfo",_xlpm.rawKey),IF(D28="",IFERROR(_xlfn.TEXTJOIN(",",TRUE,_xlfn.UNIQUE(_xlfn._xlws.FILTER(_xlpm.item,(_xlpm.bu=C28)*(_xlpm.item&lt;&gt;"")))),""),IF(E28="","",IFERROR(_xlfn.TEXTJOIN(",",TRUE,_xlfn.UNIQUE(_xlfn._xlws.FILTER(_xlpm.item,(_xlpm.bu=C28)*(_xlpm.div=D28)*(_xlpm.srcDep=_xlpm.key)*('07. BIA'!$H$6:$H$285="Yes")))),"")))))</f>
        <v/>
      </c>
      <c r="G28" s="267"/>
      <c r="H28" s="146" t="str">
        <f t="shared" si="1"/>
        <v/>
      </c>
      <c r="I28" s="147"/>
      <c r="J28" s="148"/>
      <c r="K28" s="268"/>
      <c r="L28" s="149" t="str">
        <f t="shared" si="2"/>
        <v/>
      </c>
      <c r="M28" s="268"/>
      <c r="N28" s="149" t="str">
        <f t="shared" si="3"/>
        <v/>
      </c>
      <c r="O28" s="149" t="str">
        <f>IF(OR($K28="",$M28=""),"",INDEX('20. ERM RA Guidance'!$E$79:$I$83,6-$K28,$M28))</f>
        <v/>
      </c>
      <c r="P28" s="149" t="str">
        <f t="shared" si="4"/>
        <v/>
      </c>
      <c r="Q28" s="149" t="str">
        <f t="shared" si="5"/>
        <v/>
      </c>
      <c r="R28" s="148"/>
      <c r="S28" s="150" t="str" cm="1">
        <f t="array" ref="S28">IF($B28="","",IFERROR(_xlfn.TEXTJOIN(",",TRUE,_xlfn.UNIQUE(_xlfn._xlws.FILTER('11. Strategies &amp; Solutions'!$C$5:$C$64,('11. Strategies &amp; Solutions'!$B$5:$B$64=$B28)*('11. Strategies &amp; Solutions'!$C$5:$C$64&lt;&gt;"")))),"Not Created"))</f>
        <v/>
      </c>
      <c r="T28" s="195" t="str" cm="1">
        <f t="array" ref="T28">IF($B28="","",_xlfn.LET(_xlpm.ss,_xlfn._xlws.FILTER('11. Strategies &amp; Solutions'!$C$5:$C$64,('11. Strategies &amp; Solutions'!$B$5:$B$64=$B28)*('11. Strategies &amp; Solutions'!$C$5:$C$64&lt;&gt;""),""),IFERROR(_xlfn.TEXTJOIN(",",TRUE,_xlfn.UNIQUE(_xlfn._xlws.FILTER('14. Recovery &amp; Response'!$B$6:$B$105,ISNUMBER(_xlfn.XMATCH('14. Recovery &amp; Response'!$C$6:$C$105,_xlpm.ss))*('14. Recovery &amp; Response'!$B$6:$B$105&lt;&gt;"")))),"Not Created")))</f>
        <v/>
      </c>
      <c r="U28" s="148"/>
      <c r="V28" s="258"/>
      <c r="W28" s="258"/>
      <c r="X28" s="148"/>
      <c r="Y28" s="148"/>
      <c r="Z28" s="149" t="str">
        <f t="shared" si="6"/>
        <v/>
      </c>
      <c r="AA28" s="267"/>
      <c r="AB28" s="148"/>
      <c r="AC28" s="148"/>
    </row>
    <row r="29" spans="1:29" x14ac:dyDescent="0.35">
      <c r="A29" s="194">
        <v>25</v>
      </c>
      <c r="B29" s="144" t="str">
        <f t="shared" si="0"/>
        <v/>
      </c>
      <c r="C29" s="264"/>
      <c r="D29" s="265"/>
      <c r="E29" s="266"/>
      <c r="F29" s="145" t="str" cm="1">
        <f t="array" ref="F29">IF(C29="","",_xlfn.LET(_xlpm.bu,_xlfn.SCAN("",'07.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",""),"-",""),"/","")),_xlpm.rawKey,LOWER(SUBSTITUTE(SUBSTITUTE(SUBSTITUTE(E29," ",""),"-",""),"/","")),_xlpm.key,IF(_xlpm.rawKey="data","datainfo",_xlpm.rawKey),IF(D29="",IFERROR(_xlfn.TEXTJOIN(",",TRUE,_xlfn.UNIQUE(_xlfn._xlws.FILTER(_xlpm.item,(_xlpm.bu=C29)*(_xlpm.item&lt;&gt;"")))),""),IF(E29="","",IFERROR(_xlfn.TEXTJOIN(",",TRUE,_xlfn.UNIQUE(_xlfn._xlws.FILTER(_xlpm.item,(_xlpm.bu=C29)*(_xlpm.div=D29)*(_xlpm.srcDep=_xlpm.key)*('07. BIA'!$H$6:$H$285="Yes")))),"")))))</f>
        <v/>
      </c>
      <c r="G29" s="267"/>
      <c r="H29" s="146" t="str">
        <f t="shared" si="1"/>
        <v/>
      </c>
      <c r="I29" s="147"/>
      <c r="J29" s="148"/>
      <c r="K29" s="268"/>
      <c r="L29" s="149" t="str">
        <f t="shared" si="2"/>
        <v/>
      </c>
      <c r="M29" s="268"/>
      <c r="N29" s="149" t="str">
        <f t="shared" si="3"/>
        <v/>
      </c>
      <c r="O29" s="149" t="str">
        <f>IF(OR($K29="",$M29=""),"",INDEX('20. ERM RA Guidance'!$E$79:$I$83,6-$K29,$M29))</f>
        <v/>
      </c>
      <c r="P29" s="149" t="str">
        <f t="shared" si="4"/>
        <v/>
      </c>
      <c r="Q29" s="149" t="str">
        <f t="shared" si="5"/>
        <v/>
      </c>
      <c r="R29" s="148"/>
      <c r="S29" s="150" t="str" cm="1">
        <f t="array" ref="S29">IF($B29="","",IFERROR(_xlfn.TEXTJOIN(",",TRUE,_xlfn.UNIQUE(_xlfn._xlws.FILTER('11. Strategies &amp; Solutions'!$C$5:$C$64,('11. Strategies &amp; Solutions'!$B$5:$B$64=$B29)*('11. Strategies &amp; Solutions'!$C$5:$C$64&lt;&gt;"")))),"Not Created"))</f>
        <v/>
      </c>
      <c r="T29" s="195" t="str" cm="1">
        <f t="array" ref="T29">IF($B29="","",_xlfn.LET(_xlpm.ss,_xlfn._xlws.FILTER('11. Strategies &amp; Solutions'!$C$5:$C$64,('11. Strategies &amp; Solutions'!$B$5:$B$64=$B29)*('11. Strategies &amp; Solutions'!$C$5:$C$64&lt;&gt;""),""),IFERROR(_xlfn.TEXTJOIN(",",TRUE,_xlfn.UNIQUE(_xlfn._xlws.FILTER('14. Recovery &amp; Response'!$B$6:$B$105,ISNUMBER(_xlfn.XMATCH('14. Recovery &amp; Response'!$C$6:$C$105,_xlpm.ss))*('14. Recovery &amp; Response'!$B$6:$B$105&lt;&gt;"")))),"Not Created")))</f>
        <v/>
      </c>
      <c r="U29" s="148"/>
      <c r="V29" s="258"/>
      <c r="W29" s="258"/>
      <c r="X29" s="148"/>
      <c r="Y29" s="148"/>
      <c r="Z29" s="149" t="str">
        <f t="shared" si="6"/>
        <v/>
      </c>
      <c r="AA29" s="267"/>
      <c r="AB29" s="148"/>
      <c r="AC29" s="148"/>
    </row>
    <row r="30" spans="1:29" x14ac:dyDescent="0.35">
      <c r="A30" s="194">
        <v>26</v>
      </c>
      <c r="B30" s="144" t="str">
        <f t="shared" si="0"/>
        <v/>
      </c>
      <c r="C30" s="264"/>
      <c r="D30" s="265"/>
      <c r="E30" s="266"/>
      <c r="F30" s="145" t="str" cm="1">
        <f t="array" ref="F30">IF(C30="","",_xlfn.LET(_xlpm.bu,_xlfn.SCAN("",'07.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",""),"-",""),"/","")),_xlpm.rawKey,LOWER(SUBSTITUTE(SUBSTITUTE(SUBSTITUTE(E30," ",""),"-",""),"/","")),_xlpm.key,IF(_xlpm.rawKey="data","datainfo",_xlpm.rawKey),IF(D30="",IFERROR(_xlfn.TEXTJOIN(",",TRUE,_xlfn.UNIQUE(_xlfn._xlws.FILTER(_xlpm.item,(_xlpm.bu=C30)*(_xlpm.item&lt;&gt;"")))),""),IF(E30="","",IFERROR(_xlfn.TEXTJOIN(",",TRUE,_xlfn.UNIQUE(_xlfn._xlws.FILTER(_xlpm.item,(_xlpm.bu=C30)*(_xlpm.div=D30)*(_xlpm.srcDep=_xlpm.key)*('07. BIA'!$H$6:$H$285="Yes")))),"")))))</f>
        <v/>
      </c>
      <c r="G30" s="267"/>
      <c r="H30" s="146" t="str">
        <f t="shared" si="1"/>
        <v/>
      </c>
      <c r="I30" s="147"/>
      <c r="J30" s="148"/>
      <c r="K30" s="268"/>
      <c r="L30" s="149" t="str">
        <f t="shared" si="2"/>
        <v/>
      </c>
      <c r="M30" s="268"/>
      <c r="N30" s="149" t="str">
        <f t="shared" si="3"/>
        <v/>
      </c>
      <c r="O30" s="149" t="str">
        <f>IF(OR($K30="",$M30=""),"",INDEX('20. ERM RA Guidance'!$E$79:$I$83,6-$K30,$M30))</f>
        <v/>
      </c>
      <c r="P30" s="149" t="str">
        <f t="shared" si="4"/>
        <v/>
      </c>
      <c r="Q30" s="149" t="str">
        <f t="shared" si="5"/>
        <v/>
      </c>
      <c r="R30" s="148"/>
      <c r="S30" s="150" t="str" cm="1">
        <f t="array" ref="S30">IF($B30="","",IFERROR(_xlfn.TEXTJOIN(",",TRUE,_xlfn.UNIQUE(_xlfn._xlws.FILTER('11. Strategies &amp; Solutions'!$C$5:$C$64,('11. Strategies &amp; Solutions'!$B$5:$B$64=$B30)*('11. Strategies &amp; Solutions'!$C$5:$C$64&lt;&gt;"")))),"Not Created"))</f>
        <v/>
      </c>
      <c r="T30" s="195" t="str" cm="1">
        <f t="array" ref="T30">IF($B30="","",_xlfn.LET(_xlpm.ss,_xlfn._xlws.FILTER('11. Strategies &amp; Solutions'!$C$5:$C$64,('11. Strategies &amp; Solutions'!$B$5:$B$64=$B30)*('11. Strategies &amp; Solutions'!$C$5:$C$64&lt;&gt;""),""),IFERROR(_xlfn.TEXTJOIN(",",TRUE,_xlfn.UNIQUE(_xlfn._xlws.FILTER('14. Recovery &amp; Response'!$B$6:$B$105,ISNUMBER(_xlfn.XMATCH('14. Recovery &amp; Response'!$C$6:$C$105,_xlpm.ss))*('14. Recovery &amp; Response'!$B$6:$B$105&lt;&gt;"")))),"Not Created")))</f>
        <v/>
      </c>
      <c r="U30" s="148"/>
      <c r="V30" s="258"/>
      <c r="W30" s="258"/>
      <c r="X30" s="148"/>
      <c r="Y30" s="148"/>
      <c r="Z30" s="149" t="str">
        <f t="shared" si="6"/>
        <v/>
      </c>
      <c r="AA30" s="267"/>
      <c r="AB30" s="148"/>
      <c r="AC30" s="148"/>
    </row>
    <row r="31" spans="1:29" x14ac:dyDescent="0.35">
      <c r="A31" s="194">
        <v>27</v>
      </c>
      <c r="B31" s="151" t="str">
        <f t="shared" ref="B31:B34" si="7">IF($G31="","","RA-"&amp;TEXT($A31,"000"))</f>
        <v/>
      </c>
      <c r="C31" s="264"/>
      <c r="D31" s="265"/>
      <c r="E31" s="266"/>
      <c r="F31" s="145" t="str" cm="1">
        <f t="array" ref="F31">IF(C31="","",_xlfn.LET(_xlpm.bu,_xlfn.SCAN("",'07.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",""),"-",""),"/","")),_xlpm.rawKey,LOWER(SUBSTITUTE(SUBSTITUTE(SUBSTITUTE(E31," ",""),"-",""),"/","")),_xlpm.key,IF(_xlpm.rawKey="data","datainfo",_xlpm.rawKey),IF(D31="",IFERROR(_xlfn.TEXTJOIN(",",TRUE,_xlfn.UNIQUE(_xlfn._xlws.FILTER(_xlpm.item,(_xlpm.bu=C31)*(_xlpm.item&lt;&gt;"")))),""),IF(E31="","",IFERROR(_xlfn.TEXTJOIN(",",TRUE,_xlfn.UNIQUE(_xlfn._xlws.FILTER(_xlpm.item,(_xlpm.bu=C31)*(_xlpm.div=D31)*(_xlpm.srcDep=_xlpm.key)*('07. BIA'!$H$6:$H$285="Yes")))),"")))))</f>
        <v/>
      </c>
      <c r="G31" s="267"/>
      <c r="H31" s="146" t="str">
        <f t="shared" ref="H31:H34" si="8">IF($G31="","","Inability to deliver the associated products/services due to ["&amp;$G31&amp;"]")</f>
        <v/>
      </c>
      <c r="I31" s="147"/>
      <c r="J31" s="148"/>
      <c r="K31" s="268"/>
      <c r="L31" s="149" t="str">
        <f t="shared" ref="L31:L34" si="9">IF($K31="","",CHOOSE($K31,"Rare","Infrequent","Occasional","Frequent","Almost Certain"))</f>
        <v/>
      </c>
      <c r="M31" s="268"/>
      <c r="N31" s="149" t="str">
        <f t="shared" ref="N31:N34" si="10">IF($M31="","",CHOOSE($M31,"Negligible","Minor","Medium","Critical","Catastrophic"))</f>
        <v/>
      </c>
      <c r="O31" s="149" t="str">
        <f>IF(OR($K31="",$M31=""),"",INDEX('20. ERM RA Guidance'!$E$79:$I$83,6-$K31,$M31))</f>
        <v/>
      </c>
      <c r="P31" s="149" t="str">
        <f t="shared" ref="P31:P34" si="11">IF($O31="","",IF($O31&gt;=20,"Critical",IF($O31&gt;=12,"Significant",IF($O31&gt;=7,"Moderate","Low"))))</f>
        <v/>
      </c>
      <c r="Q31" s="149" t="str">
        <f t="shared" ref="Q31:Q34" si="12">IF($P31="","",IF($P31="Critical",1,IF($P31="Significant",2,IF($P31="Moderate",3,4))))</f>
        <v/>
      </c>
      <c r="R31" s="148"/>
      <c r="S31" s="150" t="str" cm="1">
        <f t="array" ref="S31">IF($B31="","",IFERROR(_xlfn.TEXTJOIN(",",TRUE,_xlfn.UNIQUE(_xlfn._xlws.FILTER('11. Strategies &amp; Solutions'!$C$5:$C$64,('11. Strategies &amp; Solutions'!$B$5:$B$64=$B31)*('11. Strategies &amp; Solutions'!$C$5:$C$64&lt;&gt;"")))),"Not Created"))</f>
        <v/>
      </c>
      <c r="T31" s="195" t="str" cm="1">
        <f t="array" ref="T31">IF($B31="","",_xlfn.LET(_xlpm.ss,_xlfn._xlws.FILTER('11. Strategies &amp; Solutions'!$C$5:$C$64,('11. Strategies &amp; Solutions'!$B$5:$B$64=$B31)*('11. Strategies &amp; Solutions'!$C$5:$C$64&lt;&gt;""),""),IFERROR(_xlfn.TEXTJOIN(",",TRUE,_xlfn.UNIQUE(_xlfn._xlws.FILTER('14. Recovery &amp; Response'!$B$6:$B$105,ISNUMBER(_xlfn.XMATCH('14. Recovery &amp; Response'!$C$6:$C$105,_xlpm.ss))*('14. Recovery &amp; Response'!$B$6:$B$105&lt;&gt;"")))),"Not Created")))</f>
        <v/>
      </c>
      <c r="U31" s="148"/>
      <c r="V31" s="258"/>
      <c r="W31" s="258"/>
      <c r="X31" s="148"/>
      <c r="Y31" s="148"/>
      <c r="Z31" s="149" t="str">
        <f t="shared" ref="Z31:Z34" si="13">IF($B31="","",IF(AND($C31&lt;&gt;"",$D31&lt;&gt;"",$E31&lt;&gt;"",$F31&lt;&gt;"",$G31&lt;&gt;"",$H31&lt;&gt;"",$J31&lt;&gt;"",$K31&lt;&gt;"",$M31&lt;&gt;"",$U31&lt;&gt;"",ISNUMBER($V31),ISNUMBER($W31),$X31&lt;&gt;"",$Y31&lt;&gt;""),"Complete","Incomplete"))</f>
        <v/>
      </c>
      <c r="AA31" s="267"/>
      <c r="AB31" s="148"/>
      <c r="AC31" s="148"/>
    </row>
    <row r="32" spans="1:29" x14ac:dyDescent="0.35">
      <c r="A32" s="194">
        <v>28</v>
      </c>
      <c r="B32" s="151" t="str">
        <f t="shared" si="7"/>
        <v/>
      </c>
      <c r="C32" s="264"/>
      <c r="D32" s="265"/>
      <c r="E32" s="266"/>
      <c r="F32" s="145" t="str" cm="1">
        <f t="array" ref="F32">IF(C32="","",_xlfn.LET(_xlpm.bu,_xlfn.SCAN("",'07.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",""),"-",""),"/","")),_xlpm.rawKey,LOWER(SUBSTITUTE(SUBSTITUTE(SUBSTITUTE(E32," ",""),"-",""),"/","")),_xlpm.key,IF(_xlpm.rawKey="data","datainfo",_xlpm.rawKey),IF(D32="",IFERROR(_xlfn.TEXTJOIN(",",TRUE,_xlfn.UNIQUE(_xlfn._xlws.FILTER(_xlpm.item,(_xlpm.bu=C32)*(_xlpm.item&lt;&gt;"")))),""),IF(E32="","",IFERROR(_xlfn.TEXTJOIN(",",TRUE,_xlfn.UNIQUE(_xlfn._xlws.FILTER(_xlpm.item,(_xlpm.bu=C32)*(_xlpm.div=D32)*(_xlpm.srcDep=_xlpm.key)*('07. BIA'!$H$6:$H$285="Yes")))),"")))))</f>
        <v/>
      </c>
      <c r="G32" s="267"/>
      <c r="H32" s="146" t="str">
        <f t="shared" si="8"/>
        <v/>
      </c>
      <c r="I32" s="147"/>
      <c r="J32" s="148"/>
      <c r="K32" s="268"/>
      <c r="L32" s="149" t="str">
        <f t="shared" si="9"/>
        <v/>
      </c>
      <c r="M32" s="268"/>
      <c r="N32" s="149" t="str">
        <f t="shared" si="10"/>
        <v/>
      </c>
      <c r="O32" s="149" t="str">
        <f>IF(OR($K32="",$M32=""),"",INDEX('20. ERM RA Guidance'!$E$79:$I$83,6-$K32,$M32))</f>
        <v/>
      </c>
      <c r="P32" s="149" t="str">
        <f t="shared" si="11"/>
        <v/>
      </c>
      <c r="Q32" s="149" t="str">
        <f t="shared" si="12"/>
        <v/>
      </c>
      <c r="R32" s="148"/>
      <c r="S32" s="150" t="str" cm="1">
        <f t="array" ref="S32">IF($B32="","",IFERROR(_xlfn.TEXTJOIN(",",TRUE,_xlfn.UNIQUE(_xlfn._xlws.FILTER('11. Strategies &amp; Solutions'!$C$5:$C$64,('11. Strategies &amp; Solutions'!$B$5:$B$64=$B32)*('11. Strategies &amp; Solutions'!$C$5:$C$64&lt;&gt;"")))),"Not Created"))</f>
        <v/>
      </c>
      <c r="T32" s="195" t="str" cm="1">
        <f t="array" ref="T32">IF($B32="","",_xlfn.LET(_xlpm.ss,_xlfn._xlws.FILTER('11. Strategies &amp; Solutions'!$C$5:$C$64,('11. Strategies &amp; Solutions'!$B$5:$B$64=$B32)*('11. Strategies &amp; Solutions'!$C$5:$C$64&lt;&gt;""),""),IFERROR(_xlfn.TEXTJOIN(",",TRUE,_xlfn.UNIQUE(_xlfn._xlws.FILTER('14. Recovery &amp; Response'!$B$6:$B$105,ISNUMBER(_xlfn.XMATCH('14. Recovery &amp; Response'!$C$6:$C$105,_xlpm.ss))*('14. Recovery &amp; Response'!$B$6:$B$105&lt;&gt;"")))),"Not Created")))</f>
        <v/>
      </c>
      <c r="U32" s="148"/>
      <c r="V32" s="258"/>
      <c r="W32" s="258"/>
      <c r="X32" s="148"/>
      <c r="Y32" s="148"/>
      <c r="Z32" s="149" t="str">
        <f t="shared" si="13"/>
        <v/>
      </c>
      <c r="AA32" s="267"/>
      <c r="AB32" s="148"/>
      <c r="AC32" s="148"/>
    </row>
    <row r="33" spans="1:29" x14ac:dyDescent="0.35">
      <c r="A33" s="194">
        <v>29</v>
      </c>
      <c r="B33" s="151" t="str">
        <f t="shared" si="7"/>
        <v/>
      </c>
      <c r="C33" s="264"/>
      <c r="D33" s="265"/>
      <c r="E33" s="266"/>
      <c r="F33" s="145" t="str" cm="1">
        <f t="array" ref="F33">IF(C33="","",_xlfn.LET(_xlpm.bu,_xlfn.SCAN("",'07.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",""),"-",""),"/","")),_xlpm.rawKey,LOWER(SUBSTITUTE(SUBSTITUTE(SUBSTITUTE(E33," ",""),"-",""),"/","")),_xlpm.key,IF(_xlpm.rawKey="data","datainfo",_xlpm.rawKey),IF(D33="",IFERROR(_xlfn.TEXTJOIN(",",TRUE,_xlfn.UNIQUE(_xlfn._xlws.FILTER(_xlpm.item,(_xlpm.bu=C33)*(_xlpm.item&lt;&gt;"")))),""),IF(E33="","",IFERROR(_xlfn.TEXTJOIN(",",TRUE,_xlfn.UNIQUE(_xlfn._xlws.FILTER(_xlpm.item,(_xlpm.bu=C33)*(_xlpm.div=D33)*(_xlpm.srcDep=_xlpm.key)*('07. BIA'!$H$6:$H$285="Yes")))),"")))))</f>
        <v/>
      </c>
      <c r="G33" s="267"/>
      <c r="H33" s="146" t="str">
        <f t="shared" si="8"/>
        <v/>
      </c>
      <c r="I33" s="147"/>
      <c r="J33" s="148"/>
      <c r="K33" s="268"/>
      <c r="L33" s="149" t="str">
        <f t="shared" si="9"/>
        <v/>
      </c>
      <c r="M33" s="268"/>
      <c r="N33" s="149" t="str">
        <f t="shared" si="10"/>
        <v/>
      </c>
      <c r="O33" s="149" t="str">
        <f>IF(OR($K33="",$M33=""),"",INDEX('20. ERM RA Guidance'!$E$79:$I$83,6-$K33,$M33))</f>
        <v/>
      </c>
      <c r="P33" s="149" t="str">
        <f t="shared" si="11"/>
        <v/>
      </c>
      <c r="Q33" s="149" t="str">
        <f t="shared" si="12"/>
        <v/>
      </c>
      <c r="R33" s="148"/>
      <c r="S33" s="150" t="str" cm="1">
        <f t="array" ref="S33">IF($B33="","",IFERROR(_xlfn.TEXTJOIN(",",TRUE,_xlfn.UNIQUE(_xlfn._xlws.FILTER('11. Strategies &amp; Solutions'!$C$5:$C$64,('11. Strategies &amp; Solutions'!$B$5:$B$64=$B33)*('11. Strategies &amp; Solutions'!$C$5:$C$64&lt;&gt;"")))),"Not Created"))</f>
        <v/>
      </c>
      <c r="T33" s="195" t="str" cm="1">
        <f t="array" ref="T33">IF($B33="","",_xlfn.LET(_xlpm.ss,_xlfn._xlws.FILTER('11. Strategies &amp; Solutions'!$C$5:$C$64,('11. Strategies &amp; Solutions'!$B$5:$B$64=$B33)*('11. Strategies &amp; Solutions'!$C$5:$C$64&lt;&gt;""),""),IFERROR(_xlfn.TEXTJOIN(",",TRUE,_xlfn.UNIQUE(_xlfn._xlws.FILTER('14. Recovery &amp; Response'!$B$6:$B$105,ISNUMBER(_xlfn.XMATCH('14. Recovery &amp; Response'!$C$6:$C$105,_xlpm.ss))*('14. Recovery &amp; Response'!$B$6:$B$105&lt;&gt;"")))),"Not Created")))</f>
        <v/>
      </c>
      <c r="U33" s="148"/>
      <c r="V33" s="258"/>
      <c r="W33" s="258"/>
      <c r="X33" s="148"/>
      <c r="Y33" s="148"/>
      <c r="Z33" s="149" t="str">
        <f t="shared" si="13"/>
        <v/>
      </c>
      <c r="AA33" s="267"/>
      <c r="AB33" s="148"/>
      <c r="AC33" s="148"/>
    </row>
    <row r="34" spans="1:29" x14ac:dyDescent="0.35">
      <c r="A34" s="194">
        <v>30</v>
      </c>
      <c r="B34" s="151" t="str">
        <f t="shared" si="7"/>
        <v/>
      </c>
      <c r="C34" s="264"/>
      <c r="D34" s="265"/>
      <c r="E34" s="266"/>
      <c r="F34" s="145" t="str" cm="1">
        <f t="array" ref="F34">IF(C34="","",_xlfn.LET(_xlpm.bu,_xlfn.SCAN("",'07.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",""),"-",""),"/","")),_xlpm.rawKey,LOWER(SUBSTITUTE(SUBSTITUTE(SUBSTITUTE(E34," ",""),"-",""),"/","")),_xlpm.key,IF(_xlpm.rawKey="data","datainfo",_xlpm.rawKey),IF(D34="",IFERROR(_xlfn.TEXTJOIN(",",TRUE,_xlfn.UNIQUE(_xlfn._xlws.FILTER(_xlpm.item,(_xlpm.bu=C34)*(_xlpm.item&lt;&gt;"")))),""),IF(E34="","",IFERROR(_xlfn.TEXTJOIN(",",TRUE,_xlfn.UNIQUE(_xlfn._xlws.FILTER(_xlpm.item,(_xlpm.bu=C34)*(_xlpm.div=D34)*(_xlpm.srcDep=_xlpm.key)*('07. BIA'!$H$6:$H$285="Yes")))),"")))))</f>
        <v/>
      </c>
      <c r="G34" s="267"/>
      <c r="H34" s="146" t="str">
        <f t="shared" si="8"/>
        <v/>
      </c>
      <c r="I34" s="147"/>
      <c r="J34" s="148"/>
      <c r="K34" s="268"/>
      <c r="L34" s="149" t="str">
        <f t="shared" si="9"/>
        <v/>
      </c>
      <c r="M34" s="268"/>
      <c r="N34" s="149" t="str">
        <f t="shared" si="10"/>
        <v/>
      </c>
      <c r="O34" s="149" t="str">
        <f>IF(OR($K34="",$M34=""),"",INDEX('20. ERM RA Guidance'!$E$79:$I$83,6-$K34,$M34))</f>
        <v/>
      </c>
      <c r="P34" s="149" t="str">
        <f t="shared" si="11"/>
        <v/>
      </c>
      <c r="Q34" s="149" t="str">
        <f t="shared" si="12"/>
        <v/>
      </c>
      <c r="R34" s="148"/>
      <c r="S34" s="150" t="str" cm="1">
        <f t="array" ref="S34">IF($B34="","",IFERROR(_xlfn.TEXTJOIN(",",TRUE,_xlfn.UNIQUE(_xlfn._xlws.FILTER('11. Strategies &amp; Solutions'!$C$5:$C$64,('11. Strategies &amp; Solutions'!$B$5:$B$64=$B34)*('11. Strategies &amp; Solutions'!$C$5:$C$64&lt;&gt;"")))),"Not Created"))</f>
        <v/>
      </c>
      <c r="T34" s="195" t="str" cm="1">
        <f t="array" ref="T34">IF($B34="","",_xlfn.LET(_xlpm.ss,_xlfn._xlws.FILTER('11. Strategies &amp; Solutions'!$C$5:$C$64,('11. Strategies &amp; Solutions'!$B$5:$B$64=$B34)*('11. Strategies &amp; Solutions'!$C$5:$C$64&lt;&gt;""),""),IFERROR(_xlfn.TEXTJOIN(",",TRUE,_xlfn.UNIQUE(_xlfn._xlws.FILTER('14. Recovery &amp; Response'!$B$6:$B$105,ISNUMBER(_xlfn.XMATCH('14. Recovery &amp; Response'!$C$6:$C$105,_xlpm.ss))*('14. Recovery &amp; Response'!$B$6:$B$105&lt;&gt;"")))),"Not Created")))</f>
        <v/>
      </c>
      <c r="U34" s="148"/>
      <c r="V34" s="258"/>
      <c r="W34" s="258"/>
      <c r="X34" s="148"/>
      <c r="Y34" s="148"/>
      <c r="Z34" s="149" t="str">
        <f t="shared" si="13"/>
        <v/>
      </c>
      <c r="AA34" s="267"/>
      <c r="AB34" s="148"/>
      <c r="AC34" s="148"/>
    </row>
  </sheetData>
  <mergeCells count="2">
    <mergeCell ref="A2:T2"/>
    <mergeCell ref="A1:T1"/>
  </mergeCells>
  <phoneticPr fontId="52" type="noConversion"/>
  <conditionalFormatting sqref="B5:B34">
    <cfRule type="expression" dxfId="119" priority="231">
      <formula>AND($B5&lt;&gt;"",COUNTIF(StrategyRiskIDs,$B5)=0)</formula>
    </cfRule>
  </conditionalFormatting>
  <conditionalFormatting sqref="P5:P34 Z5:Z34">
    <cfRule type="cellIs" dxfId="118" priority="227" operator="equal">
      <formula>"Low"</formula>
    </cfRule>
    <cfRule type="cellIs" dxfId="117" priority="228" operator="equal">
      <formula>"Moderate"</formula>
    </cfRule>
    <cfRule type="cellIs" dxfId="116" priority="229" operator="equal">
      <formula>"Significant"</formula>
    </cfRule>
    <cfRule type="cellIs" dxfId="115" priority="230" operator="equal">
      <formula>"Critical"</formula>
    </cfRule>
  </conditionalFormatting>
  <dataValidations count="5">
    <dataValidation type="list" allowBlank="1" sqref="K5:K34 M5:M34" xr:uid="{00000000-0002-0000-0A00-000000000000}">
      <formula1>"1,2,3,4,5"</formula1>
      <formula2>0</formula2>
    </dataValidation>
    <dataValidation type="list" allowBlank="1" showInputMessage="1" showErrorMessage="1" sqref="E5:E34" xr:uid="{78058653-C238-42D1-9E08-161056D5FCAD}">
      <formula1>lstDepCat</formula1>
    </dataValidation>
    <dataValidation type="list" allowBlank="1" showInputMessage="1" showErrorMessage="1" sqref="C5:C34" xr:uid="{28C80054-92F1-44D3-BC2D-3D67001AE54C}">
      <formula1>BusinessUnit</formula1>
    </dataValidation>
    <dataValidation type="list" allowBlank="1" showInputMessage="1" showErrorMessage="1" sqref="D5:D34" xr:uid="{A7763737-ACF5-4165-8CB6-4413BB7EB24A}">
      <formula1>DivisionSite</formula1>
    </dataValidation>
    <dataValidation type="list" allowBlank="1" showInputMessage="1" showErrorMessage="1" sqref="AA5:AA34" xr:uid="{162CCB7F-697B-450E-AFA6-65DBD72342B0}">
      <formula1>"Yes,No,To Assess,Not Applicable"</formula1>
    </dataValidation>
  </dataValidations>
  <pageMargins left="0.75" right="0.75" top="1" bottom="1" header="0.511811023622047" footer="0.51180555555555596"/>
  <pageSetup paperSize="9" orientation="portrait" horizontalDpi="300" verticalDpi="300"/>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Scenario not listed" error="Select a listed disruption or enter a justified custom scenario." promptTitle="Select a disruption" prompt="Choose the closest operational disruption or enter a custom scenario." xr:uid="{94F796E4-850A-4C58-90FB-B6C70535346A}">
          <x14:formula1>
            <xm:f>OFFSET('09. Risk Assumption Map'!$C$5,0,MATCH(E5,'09. Risk Assumption Map'!$C$4:$I$4,0)-1,5,1)</xm:f>
          </x14:formula1>
          <xm:sqref>G5:G34</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9137"/>
  </sheetPr>
  <dimension ref="A1:W64"/>
  <sheetViews>
    <sheetView showGridLines="0" topLeftCell="M1" zoomScale="182" zoomScaleNormal="100" workbookViewId="0">
      <pane ySplit="4" topLeftCell="A34" activePane="bottomLeft" state="frozen"/>
      <selection pane="bottomLeft" activeCell="Q34" sqref="Q34:S34"/>
    </sheetView>
  </sheetViews>
  <sheetFormatPr defaultColWidth="8.54296875" defaultRowHeight="14.5" x14ac:dyDescent="0.35"/>
  <cols>
    <col min="1" max="1" width="3.81640625" bestFit="1" customWidth="1"/>
    <col min="2" max="2" width="7.08984375" bestFit="1" customWidth="1"/>
    <col min="3" max="3" width="6.90625" bestFit="1" customWidth="1"/>
    <col min="4" max="4" width="11.81640625" bestFit="1" customWidth="1"/>
    <col min="5" max="5" width="15.54296875" bestFit="1" customWidth="1"/>
    <col min="6" max="6" width="18.54296875" bestFit="1" customWidth="1"/>
    <col min="7" max="7" width="18" bestFit="1" customWidth="1"/>
    <col min="8" max="8" width="8.453125" bestFit="1" customWidth="1"/>
    <col min="9" max="9" width="38.26953125" bestFit="1" customWidth="1"/>
    <col min="10" max="10" width="6.90625" bestFit="1" customWidth="1"/>
    <col min="11" max="11" width="3.54296875" bestFit="1" customWidth="1"/>
    <col min="12" max="12" width="8.54296875" bestFit="1" customWidth="1"/>
    <col min="13" max="13" width="11.36328125" bestFit="1" customWidth="1"/>
    <col min="14" max="14" width="27.81640625" bestFit="1" customWidth="1"/>
    <col min="15" max="15" width="5.1796875" bestFit="1" customWidth="1"/>
    <col min="16" max="16" width="12.6328125" bestFit="1" customWidth="1"/>
    <col min="17" max="17" width="9.90625" bestFit="1" customWidth="1"/>
    <col min="18" max="18" width="9.08984375" bestFit="1" customWidth="1"/>
    <col min="19" max="19" width="15.81640625" bestFit="1" customWidth="1"/>
    <col min="20" max="20" width="6.6328125" bestFit="1" customWidth="1"/>
    <col min="21" max="21" width="8.54296875" bestFit="1" customWidth="1"/>
    <col min="22" max="22" width="14" bestFit="1" customWidth="1"/>
    <col min="23" max="23" width="8.54296875" bestFit="1" customWidth="1"/>
  </cols>
  <sheetData>
    <row r="1" spans="1:23" ht="27.75" customHeight="1" x14ac:dyDescent="0.35">
      <c r="A1" s="314" t="s">
        <v>344</v>
      </c>
      <c r="B1" s="315"/>
      <c r="C1" s="315"/>
      <c r="D1" s="315"/>
      <c r="E1" s="315"/>
      <c r="F1" s="315"/>
      <c r="G1" s="315"/>
      <c r="H1" s="315"/>
      <c r="I1" s="315"/>
      <c r="J1" s="315"/>
      <c r="K1" s="315"/>
      <c r="L1" s="315"/>
      <c r="M1" s="315"/>
      <c r="N1" s="315"/>
      <c r="O1" s="315"/>
      <c r="P1" s="315"/>
      <c r="Q1" s="315"/>
      <c r="R1" s="315"/>
      <c r="S1" s="315"/>
      <c r="T1" s="315"/>
      <c r="U1" s="315"/>
      <c r="V1" s="315"/>
      <c r="W1" s="315"/>
    </row>
    <row r="2" spans="1:23" ht="18" customHeight="1" x14ac:dyDescent="0.35">
      <c r="A2" s="316" t="s">
        <v>345</v>
      </c>
      <c r="B2" s="315"/>
      <c r="C2" s="315"/>
      <c r="D2" s="315"/>
      <c r="E2" s="315"/>
      <c r="F2" s="315"/>
      <c r="G2" s="315"/>
      <c r="H2" s="315"/>
      <c r="I2" s="315"/>
      <c r="J2" s="315"/>
      <c r="K2" s="315"/>
      <c r="L2" s="315"/>
      <c r="M2" s="315"/>
      <c r="N2" s="315"/>
      <c r="O2" s="315"/>
      <c r="P2" s="315"/>
      <c r="Q2" s="315"/>
      <c r="R2" s="315"/>
      <c r="S2" s="315"/>
      <c r="T2" s="315"/>
      <c r="U2" s="315"/>
      <c r="V2" s="315"/>
      <c r="W2" s="315"/>
    </row>
    <row r="4" spans="1:23" ht="25.5" customHeight="1" x14ac:dyDescent="0.35">
      <c r="A4" s="163" t="s">
        <v>237</v>
      </c>
      <c r="B4" s="162" t="s">
        <v>383</v>
      </c>
      <c r="C4" s="162" t="s">
        <v>760</v>
      </c>
      <c r="D4" s="162" t="s">
        <v>761</v>
      </c>
      <c r="E4" s="162" t="s">
        <v>377</v>
      </c>
      <c r="F4" s="162" t="s">
        <v>762</v>
      </c>
      <c r="G4" s="164" t="s">
        <v>763</v>
      </c>
      <c r="H4" s="162" t="s">
        <v>379</v>
      </c>
      <c r="I4" s="162" t="s">
        <v>787</v>
      </c>
      <c r="J4" s="167" t="s">
        <v>300</v>
      </c>
      <c r="K4" s="167" t="s">
        <v>301</v>
      </c>
      <c r="L4" s="168" t="s">
        <v>303</v>
      </c>
      <c r="M4" s="168" t="s">
        <v>353</v>
      </c>
      <c r="N4" s="168" t="s">
        <v>304</v>
      </c>
      <c r="O4" s="168" t="s">
        <v>354</v>
      </c>
      <c r="P4" s="162" t="s">
        <v>347</v>
      </c>
      <c r="Q4" s="162" t="s">
        <v>348</v>
      </c>
      <c r="R4" s="162" t="s">
        <v>349</v>
      </c>
      <c r="S4" s="162" t="s">
        <v>350</v>
      </c>
      <c r="T4" s="164" t="s">
        <v>5</v>
      </c>
      <c r="U4" s="164" t="s">
        <v>352</v>
      </c>
      <c r="V4" s="165" t="s">
        <v>342</v>
      </c>
      <c r="W4" s="162" t="s">
        <v>318</v>
      </c>
    </row>
    <row r="5" spans="1:23" x14ac:dyDescent="0.35">
      <c r="A5" s="161">
        <v>1</v>
      </c>
      <c r="B5" s="153"/>
      <c r="C5" s="154" t="str">
        <f t="shared" ref="C5:C36" si="0">IF($B5="","","SS-"&amp;TEXT($A5,"000"))</f>
        <v/>
      </c>
      <c r="D5" s="155" t="str" cm="1">
        <f t="array" ref="D5">IF($B5="","",IFERROR(_xlfn.XLOOKUP($B5,INDEX(RiskAssessment[],0,2),INDEX(RiskAssessment[],0,5),""),""))</f>
        <v/>
      </c>
      <c r="E5" s="156" t="str" cm="1">
        <f t="array" ref="E5">IF($B5="","",IFERROR(_xlfn.XLOOKUP($B5,INDEX(RiskAssessment[],0,2),INDEX(RiskAssessment[],0,7),""),""))</f>
        <v/>
      </c>
      <c r="F5" s="156" t="str" cm="1">
        <f t="array" ref="F5">IF($B5="","",IFERROR(_xlfn.XLOOKUP($B5,INDEX(RiskAssessment[],0,2),INDEX(RiskAssessment[],0,8),""),""))</f>
        <v/>
      </c>
      <c r="G5" s="259" t="str">
        <f>IF($B5="","",_xlfn.XLOOKUP($B5,'10. Risk Assessment'!$B$5:$B$34,'10. Risk Assessment'!$F$5:$F$34,""))</f>
        <v/>
      </c>
      <c r="H5" s="157"/>
      <c r="I5" s="166"/>
      <c r="J5" s="153"/>
      <c r="K5" s="153"/>
      <c r="L5" s="153"/>
      <c r="M5" s="153"/>
      <c r="N5" s="153"/>
      <c r="O5" s="153"/>
      <c r="P5" s="166"/>
      <c r="Q5" s="269"/>
      <c r="R5" s="269"/>
      <c r="S5" s="269"/>
      <c r="T5" s="155" t="str" cm="1">
        <f t="array" aca="1" ref="T5" ca="1">IF($B5="","",_xlfn.LET(_xlpm.flag,$J5:$O5,_xlpm.total,COUNTIFS('12. Requirements Register'!$C$5:$C$304,$C5,'12. Requirements Register'!$E$5:$E$304,$J$4:$O$4),_xlpm.readyCount,COUNTIFS('12. Requirements Register'!$C$5:$C$304,$C5,'12. Requirements Register'!$E$5:$E$304,$J$4:$O$4,'12. Requirements Register'!$M$5:$M$304,"Ready"),_xlpm.reqOK,SUM(--(_xlpm.flag="Yes")*--(_xlpm.total&gt;0)*--(_xlpm.readyCount=_xlpm.total))=COUNTIF(_xlpm.flag,"Yes"),_xlpm.core,AND($H5&lt;&gt;"",$I5&lt;&gt;"",$P5&lt;&gt;"",$Q5&lt;&gt;"",$R5&lt;&gt;"",$V5&lt;&gt;"",$V5&lt;&gt;"Not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f>
        <v/>
      </c>
      <c r="U5" s="155" t="str">
        <f>IF($B5="","",IF(COUNTIFS($B$5:$B$64,$B5,$G$5:$G$64,$G5,$H$5:$H$64,$H5)&gt;1,"DUPLICATE","OK"))</f>
        <v/>
      </c>
      <c r="V5" s="158" t="str" cm="1">
        <f t="array" ref="V5">IF($C5="","",IFERROR(_xlfn.LET(_xlpm.x,_xlfn.UNIQUE(_xlfn._xlws.FILTER('14. Recovery &amp; Response'!$B$6:$B$105,('14. Recovery &amp; Response'!$C$6:$C$105=$C5)*('14. Recovery &amp; Response'!$B$6:$B$105&lt;&gt;""))),_xlfn.TEXTJOIN(",",TRUE,_xlpm.x)),"Not Created"))</f>
        <v/>
      </c>
      <c r="W5" s="166"/>
    </row>
    <row r="6" spans="1:23" x14ac:dyDescent="0.35">
      <c r="A6" s="161">
        <v>2</v>
      </c>
      <c r="B6" s="153"/>
      <c r="C6" s="154" t="str">
        <f t="shared" si="0"/>
        <v/>
      </c>
      <c r="D6" s="155" t="str" cm="1">
        <f t="array" ref="D6">IF($B6="","",IFERROR(_xlfn.XLOOKUP($B6,INDEX(RiskAssessment[],0,2),INDEX(RiskAssessment[],0,5),""),""))</f>
        <v/>
      </c>
      <c r="E6" s="156" t="str" cm="1">
        <f t="array" ref="E6">IF($B6="","",IFERROR(_xlfn.XLOOKUP($B6,INDEX(RiskAssessment[],0,2),INDEX(RiskAssessment[],0,7),""),""))</f>
        <v/>
      </c>
      <c r="F6" s="156" t="str" cm="1">
        <f t="array" ref="F6">IF($B6="","",IFERROR(_xlfn.XLOOKUP($B6,INDEX(RiskAssessment[],0,2),INDEX(RiskAssessment[],0,8),""),""))</f>
        <v/>
      </c>
      <c r="G6" s="259" t="str">
        <f>IF($B6="","",_xlfn.XLOOKUP($B6,'10. Risk Assessment'!$B$5:$B$34,'10. Risk Assessment'!$F$5:$F$34,""))</f>
        <v/>
      </c>
      <c r="H6" s="157"/>
      <c r="I6" s="166"/>
      <c r="J6" s="153"/>
      <c r="K6" s="153"/>
      <c r="L6" s="153"/>
      <c r="M6" s="153"/>
      <c r="N6" s="153"/>
      <c r="O6" s="153"/>
      <c r="P6" s="166"/>
      <c r="Q6" s="269"/>
      <c r="R6" s="269"/>
      <c r="S6" s="269"/>
      <c r="T6" s="155" t="str" cm="1">
        <f t="array" aca="1" ref="T6" ca="1">IF($B6="","",_xlfn.LET(_xlpm.flag,$J6:$O6,_xlpm.total,COUNTIFS('12. Requirements Register'!$C$5:$C$304,$C6,'12. Requirements Register'!$E$5:$E$304,$J$4:$O$4),_xlpm.readyCount,COUNTIFS('12. Requirements Register'!$C$5:$C$304,$C6,'12. Requirements Register'!$E$5:$E$304,$J$4:$O$4,'12. Requirements Register'!$M$5:$M$304,"Ready"),_xlpm.reqOK,SUM(--(_xlpm.flag="Yes")*--(_xlpm.total&gt;0)*--(_xlpm.readyCount=_xlpm.total))=COUNTIF(_xlpm.flag,"Yes"),_xlpm.core,AND($H6&lt;&gt;"",$I6&lt;&gt;"",$P6&lt;&gt;"",$Q6&lt;&gt;"",$R6&lt;&gt;"",$V6&lt;&gt;"",$V6&lt;&gt;"Not Created"),IF($S6&lt;&gt;"",IF(AND($S6&lt;=TODAY(),_xlpm.core,_xlpm.reqOK),"Completed","Incomplete"),IF($Q6="","Planned",IF(TODAY()&lt;$Q6,"Planned",IF($R6="","In Progress",IF(TODAY()&lt;=$R6,"In Progress","Overdue")))))))</f>
        <v/>
      </c>
      <c r="U6" s="155" t="str">
        <f t="shared" ref="U6:U64" si="1">IF($B6="","",IF(COUNTIFS($B$5:$B$64,$B6,$G$5:$G$64,$G6,$H$5:$H$64,$H6)&gt;1,"DUPLICATE","OK"))</f>
        <v/>
      </c>
      <c r="V6" s="158" t="str" cm="1">
        <f t="array" ref="V6">IF($C6="","",IFERROR(_xlfn.LET(_xlpm.x,_xlfn.UNIQUE(_xlfn._xlws.FILTER('14. Recovery &amp; Response'!$B$6:$B$105,('14. Recovery &amp; Response'!$C$6:$C$105=$C6)*('14. Recovery &amp; Response'!$B$6:$B$105&lt;&gt;""))),_xlfn.TEXTJOIN(",",TRUE,_xlpm.x)),"Not Created"))</f>
        <v/>
      </c>
      <c r="W6" s="166"/>
    </row>
    <row r="7" spans="1:23" x14ac:dyDescent="0.35">
      <c r="A7" s="161">
        <v>3</v>
      </c>
      <c r="B7" s="153"/>
      <c r="C7" s="154" t="str">
        <f t="shared" si="0"/>
        <v/>
      </c>
      <c r="D7" s="155" t="str" cm="1">
        <f t="array" ref="D7">IF($B7="","",IFERROR(_xlfn.XLOOKUP($B7,INDEX(RiskAssessment[],0,2),INDEX(RiskAssessment[],0,5),""),""))</f>
        <v/>
      </c>
      <c r="E7" s="156" t="str" cm="1">
        <f t="array" ref="E7">IF($B7="","",IFERROR(_xlfn.XLOOKUP($B7,INDEX(RiskAssessment[],0,2),INDEX(RiskAssessment[],0,7),""),""))</f>
        <v/>
      </c>
      <c r="F7" s="156" t="str" cm="1">
        <f t="array" ref="F7">IF($B7="","",IFERROR(_xlfn.XLOOKUP($B7,INDEX(RiskAssessment[],0,2),INDEX(RiskAssessment[],0,8),""),""))</f>
        <v/>
      </c>
      <c r="G7" s="259" t="str">
        <f>IF($B7="","",_xlfn.XLOOKUP($B7,'10. Risk Assessment'!$B$5:$B$34,'10. Risk Assessment'!$F$5:$F$34,""))</f>
        <v/>
      </c>
      <c r="H7" s="157"/>
      <c r="I7" s="166"/>
      <c r="J7" s="153"/>
      <c r="K7" s="153"/>
      <c r="L7" s="153"/>
      <c r="M7" s="153"/>
      <c r="N7" s="153"/>
      <c r="O7" s="153"/>
      <c r="P7" s="166"/>
      <c r="Q7" s="269"/>
      <c r="R7" s="269"/>
      <c r="S7" s="269"/>
      <c r="T7" s="155" t="str" cm="1">
        <f t="array" aca="1" ref="T7" ca="1">IF($B7="","",_xlfn.LET(_xlpm.flag,$J7:$O7,_xlpm.total,COUNTIFS('12. Requirements Register'!$C$5:$C$304,$C7,'12. Requirements Register'!$E$5:$E$304,$J$4:$O$4),_xlpm.readyCount,COUNTIFS('12. Requirements Register'!$C$5:$C$304,$C7,'12. Requirements Register'!$E$5:$E$304,$J$4:$O$4,'12. Requirements Register'!$M$5:$M$304,"Ready"),_xlpm.reqOK,SUM(--(_xlpm.flag="Yes")*--(_xlpm.total&gt;0)*--(_xlpm.readyCount=_xlpm.total))=COUNTIF(_xlpm.flag,"Yes"),_xlpm.core,AND($H7&lt;&gt;"",$I7&lt;&gt;"",$P7&lt;&gt;"",$Q7&lt;&gt;"",$R7&lt;&gt;"",$V7&lt;&gt;"",$V7&lt;&gt;"Not Created"),IF($S7&lt;&gt;"",IF(AND($S7&lt;=TODAY(),_xlpm.core,_xlpm.reqOK),"Completed","Incomplete"),IF($Q7="","Planned",IF(TODAY()&lt;$Q7,"Planned",IF($R7="","In Progress",IF(TODAY()&lt;=$R7,"In Progress","Overdue")))))))</f>
        <v/>
      </c>
      <c r="U7" s="155" t="str">
        <f t="shared" si="1"/>
        <v/>
      </c>
      <c r="V7" s="158" t="str" cm="1">
        <f t="array" ref="V7">IF($C7="","",IFERROR(_xlfn.LET(_xlpm.x,_xlfn.UNIQUE(_xlfn._xlws.FILTER('14. Recovery &amp; Response'!$B$6:$B$105,('14. Recovery &amp; Response'!$C$6:$C$105=$C7)*('14. Recovery &amp; Response'!$B$6:$B$105&lt;&gt;""))),_xlfn.TEXTJOIN(",",TRUE,_xlpm.x)),"Not Created"))</f>
        <v/>
      </c>
      <c r="W7" s="166"/>
    </row>
    <row r="8" spans="1:23" x14ac:dyDescent="0.35">
      <c r="A8" s="161">
        <v>4</v>
      </c>
      <c r="B8" s="153"/>
      <c r="C8" s="154" t="str">
        <f t="shared" si="0"/>
        <v/>
      </c>
      <c r="D8" s="155" t="str" cm="1">
        <f t="array" ref="D8">IF($B8="","",IFERROR(_xlfn.XLOOKUP($B8,INDEX(RiskAssessment[],0,2),INDEX(RiskAssessment[],0,5),""),""))</f>
        <v/>
      </c>
      <c r="E8" s="156" t="str" cm="1">
        <f t="array" ref="E8">IF($B8="","",IFERROR(_xlfn.XLOOKUP($B8,INDEX(RiskAssessment[],0,2),INDEX(RiskAssessment[],0,7),""),""))</f>
        <v/>
      </c>
      <c r="F8" s="156" t="str" cm="1">
        <f t="array" ref="F8">IF($B8="","",IFERROR(_xlfn.XLOOKUP($B8,INDEX(RiskAssessment[],0,2),INDEX(RiskAssessment[],0,8),""),""))</f>
        <v/>
      </c>
      <c r="G8" s="259" t="str">
        <f>IF($B8="","",_xlfn.XLOOKUP($B8,'10. Risk Assessment'!$B$5:$B$34,'10. Risk Assessment'!$F$5:$F$34,""))</f>
        <v/>
      </c>
      <c r="H8" s="157"/>
      <c r="I8" s="166"/>
      <c r="J8" s="153"/>
      <c r="K8" s="153"/>
      <c r="L8" s="153"/>
      <c r="M8" s="153"/>
      <c r="N8" s="153"/>
      <c r="O8" s="153"/>
      <c r="P8" s="166"/>
      <c r="Q8" s="269"/>
      <c r="R8" s="269"/>
      <c r="S8" s="269"/>
      <c r="T8" s="155" t="str" cm="1">
        <f t="array" aca="1" ref="T8" ca="1">IF($B8="","",_xlfn.LET(_xlpm.flag,$J8:$O8,_xlpm.total,COUNTIFS('12. Requirements Register'!$C$5:$C$304,$C8,'12. Requirements Register'!$E$5:$E$304,$J$4:$O$4),_xlpm.readyCount,COUNTIFS('12. Requirements Register'!$C$5:$C$304,$C8,'12. Requirements Register'!$E$5:$E$304,$J$4:$O$4,'12. Requirements Register'!$M$5:$M$304,"Ready"),_xlpm.reqOK,SUM(--(_xlpm.flag="Yes")*--(_xlpm.total&gt;0)*--(_xlpm.readyCount=_xlpm.total))=COUNTIF(_xlpm.flag,"Yes"),_xlpm.core,AND($H8&lt;&gt;"",$I8&lt;&gt;"",$P8&lt;&gt;"",$Q8&lt;&gt;"",$R8&lt;&gt;"",$V8&lt;&gt;"",$V8&lt;&gt;"Not Created"),IF($S8&lt;&gt;"",IF(AND($S8&lt;=TODAY(),_xlpm.core,_xlpm.reqOK),"Completed","Incomplete"),IF($Q8="","Planned",IF(TODAY()&lt;$Q8,"Planned",IF($R8="","In Progress",IF(TODAY()&lt;=$R8,"In Progress","Overdue")))))))</f>
        <v/>
      </c>
      <c r="U8" s="155" t="str">
        <f t="shared" si="1"/>
        <v/>
      </c>
      <c r="V8" s="158" t="str" cm="1">
        <f t="array" ref="V8">IF($C8="","",IFERROR(_xlfn.LET(_xlpm.x,_xlfn.UNIQUE(_xlfn._xlws.FILTER('14. Recovery &amp; Response'!$B$6:$B$105,('14. Recovery &amp; Response'!$C$6:$C$105=$C8)*('14. Recovery &amp; Response'!$B$6:$B$105&lt;&gt;""))),_xlfn.TEXTJOIN(",",TRUE,_xlpm.x)),"Not Created"))</f>
        <v/>
      </c>
      <c r="W8" s="166"/>
    </row>
    <row r="9" spans="1:23" x14ac:dyDescent="0.35">
      <c r="A9" s="161">
        <v>5</v>
      </c>
      <c r="B9" s="153"/>
      <c r="C9" s="154" t="str">
        <f t="shared" si="0"/>
        <v/>
      </c>
      <c r="D9" s="155" t="str" cm="1">
        <f t="array" ref="D9">IF($B9="","",IFERROR(_xlfn.XLOOKUP($B9,INDEX(RiskAssessment[],0,2),INDEX(RiskAssessment[],0,5),""),""))</f>
        <v/>
      </c>
      <c r="E9" s="156" t="str" cm="1">
        <f t="array" ref="E9">IF($B9="","",IFERROR(_xlfn.XLOOKUP($B9,INDEX(RiskAssessment[],0,2),INDEX(RiskAssessment[],0,7),""),""))</f>
        <v/>
      </c>
      <c r="F9" s="156" t="str" cm="1">
        <f t="array" ref="F9">IF($B9="","",IFERROR(_xlfn.XLOOKUP($B9,INDEX(RiskAssessment[],0,2),INDEX(RiskAssessment[],0,8),""),""))</f>
        <v/>
      </c>
      <c r="G9" s="259" t="str">
        <f>IF($B9="","",_xlfn.XLOOKUP($B9,'10. Risk Assessment'!$B$5:$B$34,'10. Risk Assessment'!$F$5:$F$34,""))</f>
        <v/>
      </c>
      <c r="H9" s="157"/>
      <c r="I9" s="166"/>
      <c r="J9" s="153"/>
      <c r="K9" s="153"/>
      <c r="L9" s="153"/>
      <c r="M9" s="153"/>
      <c r="N9" s="153"/>
      <c r="O9" s="153"/>
      <c r="P9" s="166"/>
      <c r="Q9" s="269"/>
      <c r="R9" s="269"/>
      <c r="S9" s="269"/>
      <c r="T9" s="155" t="str" cm="1">
        <f t="array" aca="1" ref="T9" ca="1">IF($B9="","",_xlfn.LET(_xlpm.flag,$J9:$O9,_xlpm.total,COUNTIFS('12. Requirements Register'!$C$5:$C$304,$C9,'12. Requirements Register'!$E$5:$E$304,$J$4:$O$4),_xlpm.readyCount,COUNTIFS('12. Requirements Register'!$C$5:$C$304,$C9,'12. Requirements Register'!$E$5:$E$304,$J$4:$O$4,'12. Requirements Register'!$M$5:$M$304,"Ready"),_xlpm.reqOK,SUM(--(_xlpm.flag="Yes")*--(_xlpm.total&gt;0)*--(_xlpm.readyCount=_xlpm.total))=COUNTIF(_xlpm.flag,"Yes"),_xlpm.core,AND($H9&lt;&gt;"",$I9&lt;&gt;"",$P9&lt;&gt;"",$Q9&lt;&gt;"",$R9&lt;&gt;"",$V9&lt;&gt;"",$V9&lt;&gt;"Not Created"),IF($S9&lt;&gt;"",IF(AND($S9&lt;=TODAY(),_xlpm.core,_xlpm.reqOK),"Completed","Incomplete"),IF($Q9="","Planned",IF(TODAY()&lt;$Q9,"Planned",IF($R9="","In Progress",IF(TODAY()&lt;=$R9,"In Progress","Overdue")))))))</f>
        <v/>
      </c>
      <c r="U9" s="155" t="str">
        <f t="shared" si="1"/>
        <v/>
      </c>
      <c r="V9" s="158" t="str" cm="1">
        <f t="array" ref="V9">IF($C9="","",IFERROR(_xlfn.LET(_xlpm.x,_xlfn.UNIQUE(_xlfn._xlws.FILTER('14. Recovery &amp; Response'!$B$6:$B$105,('14. Recovery &amp; Response'!$C$6:$C$105=$C9)*('14. Recovery &amp; Response'!$B$6:$B$105&lt;&gt;""))),_xlfn.TEXTJOIN(",",TRUE,_xlpm.x)),"Not Created"))</f>
        <v/>
      </c>
      <c r="W9" s="166"/>
    </row>
    <row r="10" spans="1:23" x14ac:dyDescent="0.35">
      <c r="A10" s="161">
        <v>6</v>
      </c>
      <c r="B10" s="153"/>
      <c r="C10" s="154" t="str">
        <f t="shared" si="0"/>
        <v/>
      </c>
      <c r="D10" s="155" t="str" cm="1">
        <f t="array" ref="D10">IF($B10="","",IFERROR(_xlfn.XLOOKUP($B10,INDEX(RiskAssessment[],0,2),INDEX(RiskAssessment[],0,5),""),""))</f>
        <v/>
      </c>
      <c r="E10" s="156" t="str" cm="1">
        <f t="array" ref="E10">IF($B10="","",IFERROR(_xlfn.XLOOKUP($B10,INDEX(RiskAssessment[],0,2),INDEX(RiskAssessment[],0,7),""),""))</f>
        <v/>
      </c>
      <c r="F10" s="156" t="str" cm="1">
        <f t="array" ref="F10">IF($B10="","",IFERROR(_xlfn.XLOOKUP($B10,INDEX(RiskAssessment[],0,2),INDEX(RiskAssessment[],0,8),""),""))</f>
        <v/>
      </c>
      <c r="G10" s="259" t="str">
        <f>IF($B10="","",_xlfn.XLOOKUP($B10,'10. Risk Assessment'!$B$5:$B$34,'10. Risk Assessment'!$F$5:$F$34,""))</f>
        <v/>
      </c>
      <c r="H10" s="157"/>
      <c r="I10" s="166"/>
      <c r="J10" s="153"/>
      <c r="K10" s="153"/>
      <c r="L10" s="153"/>
      <c r="M10" s="153"/>
      <c r="N10" s="153"/>
      <c r="O10" s="153"/>
      <c r="P10" s="166"/>
      <c r="Q10" s="269"/>
      <c r="R10" s="269"/>
      <c r="S10" s="269"/>
      <c r="T10" s="155" t="str" cm="1">
        <f t="array" aca="1" ref="T10" ca="1">IF($B10="","",_xlfn.LET(_xlpm.flag,$J10:$O10,_xlpm.total,COUNTIFS('12. Requirements Register'!$C$5:$C$304,$C10,'12. Requirements Register'!$E$5:$E$304,$J$4:$O$4),_xlpm.readyCount,COUNTIFS('12. Requirements Register'!$C$5:$C$304,$C10,'12. Requirements Register'!$E$5:$E$304,$J$4:$O$4,'12. Requirements Register'!$M$5:$M$304,"Ready"),_xlpm.reqOK,SUM(--(_xlpm.flag="Yes")*--(_xlpm.total&gt;0)*--(_xlpm.readyCount=_xlpm.total))=COUNTIF(_xlpm.flag,"Yes"),_xlpm.core,AND($H10&lt;&gt;"",$I10&lt;&gt;"",$P10&lt;&gt;"",$Q10&lt;&gt;"",$R10&lt;&gt;"",$V10&lt;&gt;"",$V10&lt;&gt;"Not Created"),IF($S10&lt;&gt;"",IF(AND($S10&lt;=TODAY(),_xlpm.core,_xlpm.reqOK),"Completed","Incomplete"),IF($Q10="","Planned",IF(TODAY()&lt;$Q10,"Planned",IF($R10="","In Progress",IF(TODAY()&lt;=$R10,"In Progress","Overdue")))))))</f>
        <v/>
      </c>
      <c r="U10" s="155" t="str">
        <f t="shared" si="1"/>
        <v/>
      </c>
      <c r="V10" s="158" t="str" cm="1">
        <f t="array" ref="V10">IF($C10="","",IFERROR(_xlfn.LET(_xlpm.x,_xlfn.UNIQUE(_xlfn._xlws.FILTER('14. Recovery &amp; Response'!$B$6:$B$105,('14. Recovery &amp; Response'!$C$6:$C$105=$C10)*('14. Recovery &amp; Response'!$B$6:$B$105&lt;&gt;""))),_xlfn.TEXTJOIN(",",TRUE,_xlpm.x)),"Not Created"))</f>
        <v/>
      </c>
      <c r="W10" s="166"/>
    </row>
    <row r="11" spans="1:23" x14ac:dyDescent="0.35">
      <c r="A11" s="161">
        <v>7</v>
      </c>
      <c r="B11" s="153"/>
      <c r="C11" s="154" t="str">
        <f t="shared" si="0"/>
        <v/>
      </c>
      <c r="D11" s="155" t="str" cm="1">
        <f t="array" ref="D11">IF($B11="","",IFERROR(_xlfn.XLOOKUP($B11,INDEX(RiskAssessment[],0,2),INDEX(RiskAssessment[],0,5),""),""))</f>
        <v/>
      </c>
      <c r="E11" s="156" t="str" cm="1">
        <f t="array" ref="E11">IF($B11="","",IFERROR(_xlfn.XLOOKUP($B11,INDEX(RiskAssessment[],0,2),INDEX(RiskAssessment[],0,7),""),""))</f>
        <v/>
      </c>
      <c r="F11" s="156" t="str" cm="1">
        <f t="array" ref="F11">IF($B11="","",IFERROR(_xlfn.XLOOKUP($B11,INDEX(RiskAssessment[],0,2),INDEX(RiskAssessment[],0,8),""),""))</f>
        <v/>
      </c>
      <c r="G11" s="259" t="str">
        <f>IF($B11="","",_xlfn.XLOOKUP($B11,'10. Risk Assessment'!$B$5:$B$34,'10. Risk Assessment'!$F$5:$F$34,""))</f>
        <v/>
      </c>
      <c r="H11" s="157"/>
      <c r="I11" s="166"/>
      <c r="J11" s="153"/>
      <c r="K11" s="153"/>
      <c r="L11" s="153"/>
      <c r="M11" s="153"/>
      <c r="N11" s="153"/>
      <c r="O11" s="153"/>
      <c r="P11" s="166"/>
      <c r="Q11" s="269"/>
      <c r="R11" s="269"/>
      <c r="S11" s="269"/>
      <c r="T11" s="155" t="str" cm="1">
        <f t="array" aca="1" ref="T11" ca="1">IF($B11="","",_xlfn.LET(_xlpm.flag,$J11:$O11,_xlpm.total,COUNTIFS('12. Requirements Register'!$C$5:$C$304,$C11,'12. Requirements Register'!$E$5:$E$304,$J$4:$O$4),_xlpm.readyCount,COUNTIFS('12. Requirements Register'!$C$5:$C$304,$C11,'12. Requirements Register'!$E$5:$E$304,$J$4:$O$4,'12. Requirements Register'!$M$5:$M$304,"Ready"),_xlpm.reqOK,SUM(--(_xlpm.flag="Yes")*--(_xlpm.total&gt;0)*--(_xlpm.readyCount=_xlpm.total))=COUNTIF(_xlpm.flag,"Yes"),_xlpm.core,AND($H11&lt;&gt;"",$I11&lt;&gt;"",$P11&lt;&gt;"",$Q11&lt;&gt;"",$R11&lt;&gt;"",$V11&lt;&gt;"",$V11&lt;&gt;"Not Created"),IF($S11&lt;&gt;"",IF(AND($S11&lt;=TODAY(),_xlpm.core,_xlpm.reqOK),"Completed","Incomplete"),IF($Q11="","Planned",IF(TODAY()&lt;$Q11,"Planned",IF($R11="","In Progress",IF(TODAY()&lt;=$R11,"In Progress","Overdue")))))))</f>
        <v/>
      </c>
      <c r="U11" s="155" t="str">
        <f t="shared" si="1"/>
        <v/>
      </c>
      <c r="V11" s="158" t="str" cm="1">
        <f t="array" ref="V11">IF($C11="","",IFERROR(_xlfn.LET(_xlpm.x,_xlfn.UNIQUE(_xlfn._xlws.FILTER('14. Recovery &amp; Response'!$B$6:$B$105,('14. Recovery &amp; Response'!$C$6:$C$105=$C11)*('14. Recovery &amp; Response'!$B$6:$B$105&lt;&gt;""))),_xlfn.TEXTJOIN(",",TRUE,_xlpm.x)),"Not Created"))</f>
        <v/>
      </c>
      <c r="W11" s="166"/>
    </row>
    <row r="12" spans="1:23" x14ac:dyDescent="0.35">
      <c r="A12" s="161">
        <v>8</v>
      </c>
      <c r="B12" s="153"/>
      <c r="C12" s="154" t="str">
        <f t="shared" si="0"/>
        <v/>
      </c>
      <c r="D12" s="155" t="str" cm="1">
        <f t="array" ref="D12">IF($B12="","",IFERROR(_xlfn.XLOOKUP($B12,INDEX(RiskAssessment[],0,2),INDEX(RiskAssessment[],0,5),""),""))</f>
        <v/>
      </c>
      <c r="E12" s="156" t="str" cm="1">
        <f t="array" ref="E12">IF($B12="","",IFERROR(_xlfn.XLOOKUP($B12,INDEX(RiskAssessment[],0,2),INDEX(RiskAssessment[],0,7),""),""))</f>
        <v/>
      </c>
      <c r="F12" s="156" t="str" cm="1">
        <f t="array" ref="F12">IF($B12="","",IFERROR(_xlfn.XLOOKUP($B12,INDEX(RiskAssessment[],0,2),INDEX(RiskAssessment[],0,8),""),""))</f>
        <v/>
      </c>
      <c r="G12" s="259" t="str">
        <f>IF($B12="","",_xlfn.XLOOKUP($B12,'10. Risk Assessment'!$B$5:$B$34,'10. Risk Assessment'!$F$5:$F$34,""))</f>
        <v/>
      </c>
      <c r="H12" s="157"/>
      <c r="I12" s="166"/>
      <c r="J12" s="153"/>
      <c r="K12" s="153"/>
      <c r="L12" s="153"/>
      <c r="M12" s="153"/>
      <c r="N12" s="153"/>
      <c r="O12" s="153"/>
      <c r="P12" s="166"/>
      <c r="Q12" s="269"/>
      <c r="R12" s="269"/>
      <c r="S12" s="269"/>
      <c r="T12" s="155" t="str" cm="1">
        <f t="array" aca="1" ref="T12" ca="1">IF($B12="","",_xlfn.LET(_xlpm.flag,$J12:$O12,_xlpm.total,COUNTIFS('12. Requirements Register'!$C$5:$C$304,$C12,'12. Requirements Register'!$E$5:$E$304,$J$4:$O$4),_xlpm.readyCount,COUNTIFS('12. Requirements Register'!$C$5:$C$304,$C12,'12. Requirements Register'!$E$5:$E$304,$J$4:$O$4,'12. Requirements Register'!$M$5:$M$304,"Ready"),_xlpm.reqOK,SUM(--(_xlpm.flag="Yes")*--(_xlpm.total&gt;0)*--(_xlpm.readyCount=_xlpm.total))=COUNTIF(_xlpm.flag,"Yes"),_xlpm.core,AND($H12&lt;&gt;"",$I12&lt;&gt;"",$P12&lt;&gt;"",$Q12&lt;&gt;"",$R12&lt;&gt;"",$V12&lt;&gt;"",$V12&lt;&gt;"Not Created"),IF($S12&lt;&gt;"",IF(AND($S12&lt;=TODAY(),_xlpm.core,_xlpm.reqOK),"Completed","Incomplete"),IF($Q12="","Planned",IF(TODAY()&lt;$Q12,"Planned",IF($R12="","In Progress",IF(TODAY()&lt;=$R12,"In Progress","Overdue")))))))</f>
        <v/>
      </c>
      <c r="U12" s="155" t="str">
        <f t="shared" si="1"/>
        <v/>
      </c>
      <c r="V12" s="158" t="str" cm="1">
        <f t="array" ref="V12">IF($C12="","",IFERROR(_xlfn.LET(_xlpm.x,_xlfn.UNIQUE(_xlfn._xlws.FILTER('14. Recovery &amp; Response'!$B$6:$B$105,('14. Recovery &amp; Response'!$C$6:$C$105=$C12)*('14. Recovery &amp; Response'!$B$6:$B$105&lt;&gt;""))),_xlfn.TEXTJOIN(",",TRUE,_xlpm.x)),"Not Created"))</f>
        <v/>
      </c>
      <c r="W12" s="166"/>
    </row>
    <row r="13" spans="1:23" x14ac:dyDescent="0.35">
      <c r="A13" s="161">
        <v>9</v>
      </c>
      <c r="B13" s="153"/>
      <c r="C13" s="154" t="str">
        <f t="shared" si="0"/>
        <v/>
      </c>
      <c r="D13" s="155" t="str" cm="1">
        <f t="array" ref="D13">IF($B13="","",IFERROR(_xlfn.XLOOKUP($B13,INDEX(RiskAssessment[],0,2),INDEX(RiskAssessment[],0,5),""),""))</f>
        <v/>
      </c>
      <c r="E13" s="156" t="str" cm="1">
        <f t="array" ref="E13">IF($B13="","",IFERROR(_xlfn.XLOOKUP($B13,INDEX(RiskAssessment[],0,2),INDEX(RiskAssessment[],0,7),""),""))</f>
        <v/>
      </c>
      <c r="F13" s="156" t="str" cm="1">
        <f t="array" ref="F13">IF($B13="","",IFERROR(_xlfn.XLOOKUP($B13,INDEX(RiskAssessment[],0,2),INDEX(RiskAssessment[],0,8),""),""))</f>
        <v/>
      </c>
      <c r="G13" s="259" t="str">
        <f>IF($B13="","",_xlfn.XLOOKUP($B13,'10. Risk Assessment'!$B$5:$B$34,'10. Risk Assessment'!$F$5:$F$34,""))</f>
        <v/>
      </c>
      <c r="H13" s="157"/>
      <c r="I13" s="166"/>
      <c r="J13" s="153"/>
      <c r="K13" s="153"/>
      <c r="L13" s="153"/>
      <c r="M13" s="153"/>
      <c r="N13" s="153"/>
      <c r="O13" s="153"/>
      <c r="P13" s="166"/>
      <c r="Q13" s="269"/>
      <c r="R13" s="269"/>
      <c r="S13" s="269"/>
      <c r="T13" s="155" t="str" cm="1">
        <f t="array" aca="1" ref="T13" ca="1">IF($B13="","",_xlfn.LET(_xlpm.flag,$J13:$O13,_xlpm.total,COUNTIFS('12. Requirements Register'!$C$5:$C$304,$C13,'12. Requirements Register'!$E$5:$E$304,$J$4:$O$4),_xlpm.readyCount,COUNTIFS('12. Requirements Register'!$C$5:$C$304,$C13,'12. Requirements Register'!$E$5:$E$304,$J$4:$O$4,'12. Requirements Register'!$M$5:$M$304,"Ready"),_xlpm.reqOK,SUM(--(_xlpm.flag="Yes")*--(_xlpm.total&gt;0)*--(_xlpm.readyCount=_xlpm.total))=COUNTIF(_xlpm.flag,"Yes"),_xlpm.core,AND($H13&lt;&gt;"",$I13&lt;&gt;"",$P13&lt;&gt;"",$Q13&lt;&gt;"",$R13&lt;&gt;"",$V13&lt;&gt;"",$V13&lt;&gt;"Not Created"),IF($S13&lt;&gt;"",IF(AND($S13&lt;=TODAY(),_xlpm.core,_xlpm.reqOK),"Completed","Incomplete"),IF($Q13="","Planned",IF(TODAY()&lt;$Q13,"Planned",IF($R13="","In Progress",IF(TODAY()&lt;=$R13,"In Progress","Overdue")))))))</f>
        <v/>
      </c>
      <c r="U13" s="155" t="str">
        <f t="shared" si="1"/>
        <v/>
      </c>
      <c r="V13" s="158" t="str" cm="1">
        <f t="array" ref="V13">IF($C13="","",IFERROR(_xlfn.LET(_xlpm.x,_xlfn.UNIQUE(_xlfn._xlws.FILTER('14. Recovery &amp; Response'!$B$6:$B$105,('14. Recovery &amp; Response'!$C$6:$C$105=$C13)*('14. Recovery &amp; Response'!$B$6:$B$105&lt;&gt;""))),_xlfn.TEXTJOIN(",",TRUE,_xlpm.x)),"Not Created"))</f>
        <v/>
      </c>
      <c r="W13" s="166"/>
    </row>
    <row r="14" spans="1:23" x14ac:dyDescent="0.35">
      <c r="A14" s="161">
        <v>10</v>
      </c>
      <c r="B14" s="153"/>
      <c r="C14" s="154" t="str">
        <f t="shared" si="0"/>
        <v/>
      </c>
      <c r="D14" s="155" t="str" cm="1">
        <f t="array" ref="D14">IF($B14="","",IFERROR(_xlfn.XLOOKUP($B14,INDEX(RiskAssessment[],0,2),INDEX(RiskAssessment[],0,5),""),""))</f>
        <v/>
      </c>
      <c r="E14" s="156" t="str" cm="1">
        <f t="array" ref="E14">IF($B14="","",IFERROR(_xlfn.XLOOKUP($B14,INDEX(RiskAssessment[],0,2),INDEX(RiskAssessment[],0,7),""),""))</f>
        <v/>
      </c>
      <c r="F14" s="156" t="str" cm="1">
        <f t="array" ref="F14">IF($B14="","",IFERROR(_xlfn.XLOOKUP($B14,INDEX(RiskAssessment[],0,2),INDEX(RiskAssessment[],0,8),""),""))</f>
        <v/>
      </c>
      <c r="G14" s="259" t="str">
        <f>IF($B14="","",_xlfn.XLOOKUP($B14,'10. Risk Assessment'!$B$5:$B$34,'10. Risk Assessment'!$F$5:$F$34,""))</f>
        <v/>
      </c>
      <c r="H14" s="157"/>
      <c r="I14" s="166"/>
      <c r="J14" s="153"/>
      <c r="K14" s="153"/>
      <c r="L14" s="153"/>
      <c r="M14" s="153"/>
      <c r="N14" s="153"/>
      <c r="O14" s="153"/>
      <c r="P14" s="166"/>
      <c r="Q14" s="269"/>
      <c r="R14" s="269"/>
      <c r="S14" s="269"/>
      <c r="T14" s="155" t="str" cm="1">
        <f t="array" aca="1" ref="T14" ca="1">IF($B14="","",_xlfn.LET(_xlpm.flag,$J14:$O14,_xlpm.total,COUNTIFS('12. Requirements Register'!$C$5:$C$304,$C14,'12. Requirements Register'!$E$5:$E$304,$J$4:$O$4),_xlpm.readyCount,COUNTIFS('12. Requirements Register'!$C$5:$C$304,$C14,'12. Requirements Register'!$E$5:$E$304,$J$4:$O$4,'12. Requirements Register'!$M$5:$M$304,"Ready"),_xlpm.reqOK,SUM(--(_xlpm.flag="Yes")*--(_xlpm.total&gt;0)*--(_xlpm.readyCount=_xlpm.total))=COUNTIF(_xlpm.flag,"Yes"),_xlpm.core,AND($H14&lt;&gt;"",$I14&lt;&gt;"",$P14&lt;&gt;"",$Q14&lt;&gt;"",$R14&lt;&gt;"",$V14&lt;&gt;"",$V14&lt;&gt;"Not Created"),IF($S14&lt;&gt;"",IF(AND($S14&lt;=TODAY(),_xlpm.core,_xlpm.reqOK),"Completed","Incomplete"),IF($Q14="","Planned",IF(TODAY()&lt;$Q14,"Planned",IF($R14="","In Progress",IF(TODAY()&lt;=$R14,"In Progress","Overdue")))))))</f>
        <v/>
      </c>
      <c r="U14" s="155" t="str">
        <f t="shared" si="1"/>
        <v/>
      </c>
      <c r="V14" s="158" t="str" cm="1">
        <f t="array" ref="V14">IF($C14="","",IFERROR(_xlfn.LET(_xlpm.x,_xlfn.UNIQUE(_xlfn._xlws.FILTER('14. Recovery &amp; Response'!$B$6:$B$105,('14. Recovery &amp; Response'!$C$6:$C$105=$C14)*('14. Recovery &amp; Response'!$B$6:$B$105&lt;&gt;""))),_xlfn.TEXTJOIN(",",TRUE,_xlpm.x)),"Not Created"))</f>
        <v/>
      </c>
      <c r="W14" s="166"/>
    </row>
    <row r="15" spans="1:23" x14ac:dyDescent="0.35">
      <c r="A15" s="161">
        <v>11</v>
      </c>
      <c r="B15" s="153"/>
      <c r="C15" s="154" t="str">
        <f t="shared" si="0"/>
        <v/>
      </c>
      <c r="D15" s="155" t="str" cm="1">
        <f t="array" ref="D15">IF($B15="","",IFERROR(_xlfn.XLOOKUP($B15,INDEX(RiskAssessment[],0,2),INDEX(RiskAssessment[],0,5),""),""))</f>
        <v/>
      </c>
      <c r="E15" s="156" t="str" cm="1">
        <f t="array" ref="E15">IF($B15="","",IFERROR(_xlfn.XLOOKUP($B15,INDEX(RiskAssessment[],0,2),INDEX(RiskAssessment[],0,7),""),""))</f>
        <v/>
      </c>
      <c r="F15" s="156" t="str" cm="1">
        <f t="array" ref="F15">IF($B15="","",IFERROR(_xlfn.XLOOKUP($B15,INDEX(RiskAssessment[],0,2),INDEX(RiskAssessment[],0,8),""),""))</f>
        <v/>
      </c>
      <c r="G15" s="259" t="str">
        <f>IF($B15="","",_xlfn.XLOOKUP($B15,'10. Risk Assessment'!$B$5:$B$34,'10. Risk Assessment'!$F$5:$F$34,""))</f>
        <v/>
      </c>
      <c r="H15" s="157"/>
      <c r="I15" s="166"/>
      <c r="J15" s="153"/>
      <c r="K15" s="153"/>
      <c r="L15" s="153"/>
      <c r="M15" s="153"/>
      <c r="N15" s="153"/>
      <c r="O15" s="153"/>
      <c r="P15" s="166"/>
      <c r="Q15" s="269"/>
      <c r="R15" s="269"/>
      <c r="S15" s="269"/>
      <c r="T15" s="155" t="str" cm="1">
        <f t="array" aca="1" ref="T15" ca="1">IF($B15="","",_xlfn.LET(_xlpm.flag,$J15:$O15,_xlpm.total,COUNTIFS('12. Requirements Register'!$C$5:$C$304,$C15,'12. Requirements Register'!$E$5:$E$304,$J$4:$O$4),_xlpm.readyCount,COUNTIFS('12. Requirements Register'!$C$5:$C$304,$C15,'12. Requirements Register'!$E$5:$E$304,$J$4:$O$4,'12. Requirements Register'!$M$5:$M$304,"Ready"),_xlpm.reqOK,SUM(--(_xlpm.flag="Yes")*--(_xlpm.total&gt;0)*--(_xlpm.readyCount=_xlpm.total))=COUNTIF(_xlpm.flag,"Yes"),_xlpm.core,AND($H15&lt;&gt;"",$I15&lt;&gt;"",$P15&lt;&gt;"",$Q15&lt;&gt;"",$R15&lt;&gt;"",$V15&lt;&gt;"",$V15&lt;&gt;"Not Created"),IF($S15&lt;&gt;"",IF(AND($S15&lt;=TODAY(),_xlpm.core,_xlpm.reqOK),"Completed","Incomplete"),IF($Q15="","Planned",IF(TODAY()&lt;$Q15,"Planned",IF($R15="","In Progress",IF(TODAY()&lt;=$R15,"In Progress","Overdue")))))))</f>
        <v/>
      </c>
      <c r="U15" s="155" t="str">
        <f t="shared" si="1"/>
        <v/>
      </c>
      <c r="V15" s="158" t="str" cm="1">
        <f t="array" ref="V15">IF($C15="","",IFERROR(_xlfn.LET(_xlpm.x,_xlfn.UNIQUE(_xlfn._xlws.FILTER('14. Recovery &amp; Response'!$B$6:$B$105,('14. Recovery &amp; Response'!$C$6:$C$105=$C15)*('14. Recovery &amp; Response'!$B$6:$B$105&lt;&gt;""))),_xlfn.TEXTJOIN(",",TRUE,_xlpm.x)),"Not Created"))</f>
        <v/>
      </c>
      <c r="W15" s="166"/>
    </row>
    <row r="16" spans="1:23" x14ac:dyDescent="0.35">
      <c r="A16" s="161">
        <v>12</v>
      </c>
      <c r="B16" s="153"/>
      <c r="C16" s="154" t="str">
        <f t="shared" si="0"/>
        <v/>
      </c>
      <c r="D16" s="155" t="str" cm="1">
        <f t="array" ref="D16">IF($B16="","",IFERROR(_xlfn.XLOOKUP($B16,INDEX(RiskAssessment[],0,2),INDEX(RiskAssessment[],0,5),""),""))</f>
        <v/>
      </c>
      <c r="E16" s="156" t="str" cm="1">
        <f t="array" ref="E16">IF($B16="","",IFERROR(_xlfn.XLOOKUP($B16,INDEX(RiskAssessment[],0,2),INDEX(RiskAssessment[],0,7),""),""))</f>
        <v/>
      </c>
      <c r="F16" s="156" t="str" cm="1">
        <f t="array" ref="F16">IF($B16="","",IFERROR(_xlfn.XLOOKUP($B16,INDEX(RiskAssessment[],0,2),INDEX(RiskAssessment[],0,8),""),""))</f>
        <v/>
      </c>
      <c r="G16" s="259" t="str">
        <f>IF($B16="","",_xlfn.XLOOKUP($B16,'10. Risk Assessment'!$B$5:$B$34,'10. Risk Assessment'!$F$5:$F$34,""))</f>
        <v/>
      </c>
      <c r="H16" s="157"/>
      <c r="I16" s="166"/>
      <c r="J16" s="153"/>
      <c r="K16" s="153"/>
      <c r="L16" s="153"/>
      <c r="M16" s="153"/>
      <c r="N16" s="153"/>
      <c r="O16" s="153"/>
      <c r="P16" s="166"/>
      <c r="Q16" s="269"/>
      <c r="R16" s="269"/>
      <c r="S16" s="269"/>
      <c r="T16" s="155" t="str" cm="1">
        <f t="array" aca="1" ref="T16" ca="1">IF($B16="","",_xlfn.LET(_xlpm.flag,$J16:$O16,_xlpm.total,COUNTIFS('12. Requirements Register'!$C$5:$C$304,$C16,'12. Requirements Register'!$E$5:$E$304,$J$4:$O$4),_xlpm.readyCount,COUNTIFS('12. Requirements Register'!$C$5:$C$304,$C16,'12. Requirements Register'!$E$5:$E$304,$J$4:$O$4,'12. Requirements Register'!$M$5:$M$304,"Ready"),_xlpm.reqOK,SUM(--(_xlpm.flag="Yes")*--(_xlpm.total&gt;0)*--(_xlpm.readyCount=_xlpm.total))=COUNTIF(_xlpm.flag,"Yes"),_xlpm.core,AND($H16&lt;&gt;"",$I16&lt;&gt;"",$P16&lt;&gt;"",$Q16&lt;&gt;"",$R16&lt;&gt;"",$V16&lt;&gt;"",$V16&lt;&gt;"Not Created"),IF($S16&lt;&gt;"",IF(AND($S16&lt;=TODAY(),_xlpm.core,_xlpm.reqOK),"Completed","Incomplete"),IF($Q16="","Planned",IF(TODAY()&lt;$Q16,"Planned",IF($R16="","In Progress",IF(TODAY()&lt;=$R16,"In Progress","Overdue")))))))</f>
        <v/>
      </c>
      <c r="U16" s="155" t="str">
        <f t="shared" si="1"/>
        <v/>
      </c>
      <c r="V16" s="158" t="str" cm="1">
        <f t="array" ref="V16">IF($C16="","",IFERROR(_xlfn.LET(_xlpm.x,_xlfn.UNIQUE(_xlfn._xlws.FILTER('14. Recovery &amp; Response'!$B$6:$B$105,('14. Recovery &amp; Response'!$C$6:$C$105=$C16)*('14. Recovery &amp; Response'!$B$6:$B$105&lt;&gt;""))),_xlfn.TEXTJOIN(",",TRUE,_xlpm.x)),"Not Created"))</f>
        <v/>
      </c>
      <c r="W16" s="166"/>
    </row>
    <row r="17" spans="1:23" x14ac:dyDescent="0.35">
      <c r="A17" s="161">
        <v>13</v>
      </c>
      <c r="B17" s="153"/>
      <c r="C17" s="154" t="str">
        <f t="shared" si="0"/>
        <v/>
      </c>
      <c r="D17" s="155" t="str" cm="1">
        <f t="array" ref="D17">IF($B17="","",IFERROR(_xlfn.XLOOKUP($B17,INDEX(RiskAssessment[],0,2),INDEX(RiskAssessment[],0,5),""),""))</f>
        <v/>
      </c>
      <c r="E17" s="156" t="str" cm="1">
        <f t="array" ref="E17">IF($B17="","",IFERROR(_xlfn.XLOOKUP($B17,INDEX(RiskAssessment[],0,2),INDEX(RiskAssessment[],0,7),""),""))</f>
        <v/>
      </c>
      <c r="F17" s="156" t="str" cm="1">
        <f t="array" ref="F17">IF($B17="","",IFERROR(_xlfn.XLOOKUP($B17,INDEX(RiskAssessment[],0,2),INDEX(RiskAssessment[],0,8),""),""))</f>
        <v/>
      </c>
      <c r="G17" s="259" t="str">
        <f>IF($B17="","",_xlfn.XLOOKUP($B17,'10. Risk Assessment'!$B$5:$B$34,'10. Risk Assessment'!$F$5:$F$34,""))</f>
        <v/>
      </c>
      <c r="H17" s="157"/>
      <c r="I17" s="166"/>
      <c r="J17" s="153"/>
      <c r="K17" s="153"/>
      <c r="L17" s="153"/>
      <c r="M17" s="153"/>
      <c r="N17" s="153"/>
      <c r="O17" s="153"/>
      <c r="P17" s="166"/>
      <c r="Q17" s="269"/>
      <c r="R17" s="269"/>
      <c r="S17" s="269"/>
      <c r="T17" s="155" t="str" cm="1">
        <f t="array" aca="1" ref="T17" ca="1">IF($B17="","",_xlfn.LET(_xlpm.flag,$J17:$O17,_xlpm.total,COUNTIFS('12. Requirements Register'!$C$5:$C$304,$C17,'12. Requirements Register'!$E$5:$E$304,$J$4:$O$4),_xlpm.readyCount,COUNTIFS('12. Requirements Register'!$C$5:$C$304,$C17,'12. Requirements Register'!$E$5:$E$304,$J$4:$O$4,'12. Requirements Register'!$M$5:$M$304,"Ready"),_xlpm.reqOK,SUM(--(_xlpm.flag="Yes")*--(_xlpm.total&gt;0)*--(_xlpm.readyCount=_xlpm.total))=COUNTIF(_xlpm.flag,"Yes"),_xlpm.core,AND($H17&lt;&gt;"",$I17&lt;&gt;"",$P17&lt;&gt;"",$Q17&lt;&gt;"",$R17&lt;&gt;"",$V17&lt;&gt;"",$V17&lt;&gt;"Not Created"),IF($S17&lt;&gt;"",IF(AND($S17&lt;=TODAY(),_xlpm.core,_xlpm.reqOK),"Completed","Incomplete"),IF($Q17="","Planned",IF(TODAY()&lt;$Q17,"Planned",IF($R17="","In Progress",IF(TODAY()&lt;=$R17,"In Progress","Overdue")))))))</f>
        <v/>
      </c>
      <c r="U17" s="155" t="str">
        <f t="shared" si="1"/>
        <v/>
      </c>
      <c r="V17" s="158" t="str" cm="1">
        <f t="array" ref="V17">IF($C17="","",IFERROR(_xlfn.LET(_xlpm.x,_xlfn.UNIQUE(_xlfn._xlws.FILTER('14. Recovery &amp; Response'!$B$6:$B$105,('14. Recovery &amp; Response'!$C$6:$C$105=$C17)*('14. Recovery &amp; Response'!$B$6:$B$105&lt;&gt;""))),_xlfn.TEXTJOIN(",",TRUE,_xlpm.x)),"Not Created"))</f>
        <v/>
      </c>
      <c r="W17" s="166"/>
    </row>
    <row r="18" spans="1:23" x14ac:dyDescent="0.35">
      <c r="A18" s="161">
        <v>14</v>
      </c>
      <c r="B18" s="153"/>
      <c r="C18" s="154" t="str">
        <f t="shared" si="0"/>
        <v/>
      </c>
      <c r="D18" s="155" t="str" cm="1">
        <f t="array" ref="D18">IF($B18="","",IFERROR(_xlfn.XLOOKUP($B18,INDEX(RiskAssessment[],0,2),INDEX(RiskAssessment[],0,5),""),""))</f>
        <v/>
      </c>
      <c r="E18" s="156" t="str" cm="1">
        <f t="array" ref="E18">IF($B18="","",IFERROR(_xlfn.XLOOKUP($B18,INDEX(RiskAssessment[],0,2),INDEX(RiskAssessment[],0,7),""),""))</f>
        <v/>
      </c>
      <c r="F18" s="156" t="str" cm="1">
        <f t="array" ref="F18">IF($B18="","",IFERROR(_xlfn.XLOOKUP($B18,INDEX(RiskAssessment[],0,2),INDEX(RiskAssessment[],0,8),""),""))</f>
        <v/>
      </c>
      <c r="G18" s="259" t="str">
        <f>IF($B18="","",_xlfn.XLOOKUP($B18,'10. Risk Assessment'!$B$5:$B$34,'10. Risk Assessment'!$F$5:$F$34,""))</f>
        <v/>
      </c>
      <c r="H18" s="157"/>
      <c r="I18" s="166"/>
      <c r="J18" s="153"/>
      <c r="K18" s="153"/>
      <c r="L18" s="153"/>
      <c r="M18" s="153"/>
      <c r="N18" s="153"/>
      <c r="O18" s="153"/>
      <c r="P18" s="166"/>
      <c r="Q18" s="269"/>
      <c r="R18" s="269"/>
      <c r="S18" s="269"/>
      <c r="T18" s="155" t="str" cm="1">
        <f t="array" aca="1" ref="T18" ca="1">IF($B18="","",_xlfn.LET(_xlpm.flag,$J18:$O18,_xlpm.total,COUNTIFS('12. Requirements Register'!$C$5:$C$304,$C18,'12. Requirements Register'!$E$5:$E$304,$J$4:$O$4),_xlpm.readyCount,COUNTIFS('12. Requirements Register'!$C$5:$C$304,$C18,'12. Requirements Register'!$E$5:$E$304,$J$4:$O$4,'12. Requirements Register'!$M$5:$M$304,"Ready"),_xlpm.reqOK,SUM(--(_xlpm.flag="Yes")*--(_xlpm.total&gt;0)*--(_xlpm.readyCount=_xlpm.total))=COUNTIF(_xlpm.flag,"Yes"),_xlpm.core,AND($H18&lt;&gt;"",$I18&lt;&gt;"",$P18&lt;&gt;"",$Q18&lt;&gt;"",$R18&lt;&gt;"",$V18&lt;&gt;"",$V18&lt;&gt;"Not Created"),IF($S18&lt;&gt;"",IF(AND($S18&lt;=TODAY(),_xlpm.core,_xlpm.reqOK),"Completed","Incomplete"),IF($Q18="","Planned",IF(TODAY()&lt;$Q18,"Planned",IF($R18="","In Progress",IF(TODAY()&lt;=$R18,"In Progress","Overdue")))))))</f>
        <v/>
      </c>
      <c r="U18" s="155" t="str">
        <f t="shared" si="1"/>
        <v/>
      </c>
      <c r="V18" s="158" t="str" cm="1">
        <f t="array" ref="V18">IF($C18="","",IFERROR(_xlfn.LET(_xlpm.x,_xlfn.UNIQUE(_xlfn._xlws.FILTER('14. Recovery &amp; Response'!$B$6:$B$105,('14. Recovery &amp; Response'!$C$6:$C$105=$C18)*('14. Recovery &amp; Response'!$B$6:$B$105&lt;&gt;""))),_xlfn.TEXTJOIN(",",TRUE,_xlpm.x)),"Not Created"))</f>
        <v/>
      </c>
      <c r="W18" s="166"/>
    </row>
    <row r="19" spans="1:23" x14ac:dyDescent="0.35">
      <c r="A19" s="161">
        <v>15</v>
      </c>
      <c r="B19" s="153"/>
      <c r="C19" s="154" t="str">
        <f t="shared" si="0"/>
        <v/>
      </c>
      <c r="D19" s="155" t="str" cm="1">
        <f t="array" ref="D19">IF($B19="","",IFERROR(_xlfn.XLOOKUP($B19,INDEX(RiskAssessment[],0,2),INDEX(RiskAssessment[],0,5),""),""))</f>
        <v/>
      </c>
      <c r="E19" s="156" t="str" cm="1">
        <f t="array" ref="E19">IF($B19="","",IFERROR(_xlfn.XLOOKUP($B19,INDEX(RiskAssessment[],0,2),INDEX(RiskAssessment[],0,7),""),""))</f>
        <v/>
      </c>
      <c r="F19" s="156" t="str" cm="1">
        <f t="array" ref="F19">IF($B19="","",IFERROR(_xlfn.XLOOKUP($B19,INDEX(RiskAssessment[],0,2),INDEX(RiskAssessment[],0,8),""),""))</f>
        <v/>
      </c>
      <c r="G19" s="259" t="str">
        <f>IF($B19="","",_xlfn.XLOOKUP($B19,'10. Risk Assessment'!$B$5:$B$34,'10. Risk Assessment'!$F$5:$F$34,""))</f>
        <v/>
      </c>
      <c r="H19" s="157"/>
      <c r="I19" s="166"/>
      <c r="J19" s="153"/>
      <c r="K19" s="153"/>
      <c r="L19" s="153"/>
      <c r="M19" s="153"/>
      <c r="N19" s="153"/>
      <c r="O19" s="153"/>
      <c r="P19" s="166"/>
      <c r="Q19" s="269"/>
      <c r="R19" s="269"/>
      <c r="S19" s="269"/>
      <c r="T19" s="155" t="str" cm="1">
        <f t="array" aca="1" ref="T19" ca="1">IF($B19="","",_xlfn.LET(_xlpm.flag,$J19:$O19,_xlpm.total,COUNTIFS('12. Requirements Register'!$C$5:$C$304,$C19,'12. Requirements Register'!$E$5:$E$304,$J$4:$O$4),_xlpm.readyCount,COUNTIFS('12. Requirements Register'!$C$5:$C$304,$C19,'12. Requirements Register'!$E$5:$E$304,$J$4:$O$4,'12. Requirements Register'!$M$5:$M$304,"Ready"),_xlpm.reqOK,SUM(--(_xlpm.flag="Yes")*--(_xlpm.total&gt;0)*--(_xlpm.readyCount=_xlpm.total))=COUNTIF(_xlpm.flag,"Yes"),_xlpm.core,AND($H19&lt;&gt;"",$I19&lt;&gt;"",$P19&lt;&gt;"",$Q19&lt;&gt;"",$R19&lt;&gt;"",$V19&lt;&gt;"",$V19&lt;&gt;"Not Created"),IF($S19&lt;&gt;"",IF(AND($S19&lt;=TODAY(),_xlpm.core,_xlpm.reqOK),"Completed","Incomplete"),IF($Q19="","Planned",IF(TODAY()&lt;$Q19,"Planned",IF($R19="","In Progress",IF(TODAY()&lt;=$R19,"In Progress","Overdue")))))))</f>
        <v/>
      </c>
      <c r="U19" s="155" t="str">
        <f t="shared" si="1"/>
        <v/>
      </c>
      <c r="V19" s="158" t="str" cm="1">
        <f t="array" ref="V19">IF($C19="","",IFERROR(_xlfn.LET(_xlpm.x,_xlfn.UNIQUE(_xlfn._xlws.FILTER('14. Recovery &amp; Response'!$B$6:$B$105,('14. Recovery &amp; Response'!$C$6:$C$105=$C19)*('14. Recovery &amp; Response'!$B$6:$B$105&lt;&gt;""))),_xlfn.TEXTJOIN(",",TRUE,_xlpm.x)),"Not Created"))</f>
        <v/>
      </c>
      <c r="W19" s="166"/>
    </row>
    <row r="20" spans="1:23" x14ac:dyDescent="0.35">
      <c r="A20" s="161">
        <v>16</v>
      </c>
      <c r="B20" s="153"/>
      <c r="C20" s="154" t="str">
        <f t="shared" si="0"/>
        <v/>
      </c>
      <c r="D20" s="155" t="str" cm="1">
        <f t="array" ref="D20">IF($B20="","",IFERROR(_xlfn.XLOOKUP($B20,INDEX(RiskAssessment[],0,2),INDEX(RiskAssessment[],0,5),""),""))</f>
        <v/>
      </c>
      <c r="E20" s="156" t="str" cm="1">
        <f t="array" ref="E20">IF($B20="","",IFERROR(_xlfn.XLOOKUP($B20,INDEX(RiskAssessment[],0,2),INDEX(RiskAssessment[],0,7),""),""))</f>
        <v/>
      </c>
      <c r="F20" s="156" t="str" cm="1">
        <f t="array" ref="F20">IF($B20="","",IFERROR(_xlfn.XLOOKUP($B20,INDEX(RiskAssessment[],0,2),INDEX(RiskAssessment[],0,8),""),""))</f>
        <v/>
      </c>
      <c r="G20" s="259" t="str">
        <f>IF($B20="","",_xlfn.XLOOKUP($B20,'10. Risk Assessment'!$B$5:$B$34,'10. Risk Assessment'!$F$5:$F$34,""))</f>
        <v/>
      </c>
      <c r="H20" s="157"/>
      <c r="I20" s="166"/>
      <c r="J20" s="153"/>
      <c r="K20" s="153"/>
      <c r="L20" s="153"/>
      <c r="M20" s="153"/>
      <c r="N20" s="153"/>
      <c r="O20" s="153"/>
      <c r="P20" s="166"/>
      <c r="Q20" s="269"/>
      <c r="R20" s="269"/>
      <c r="S20" s="269"/>
      <c r="T20" s="155" t="str" cm="1">
        <f t="array" aca="1" ref="T20" ca="1">IF($B20="","",_xlfn.LET(_xlpm.flag,$J20:$O20,_xlpm.total,COUNTIFS('12. Requirements Register'!$C$5:$C$304,$C20,'12. Requirements Register'!$E$5:$E$304,$J$4:$O$4),_xlpm.readyCount,COUNTIFS('12. Requirements Register'!$C$5:$C$304,$C20,'12. Requirements Register'!$E$5:$E$304,$J$4:$O$4,'12. Requirements Register'!$M$5:$M$304,"Ready"),_xlpm.reqOK,SUM(--(_xlpm.flag="Yes")*--(_xlpm.total&gt;0)*--(_xlpm.readyCount=_xlpm.total))=COUNTIF(_xlpm.flag,"Yes"),_xlpm.core,AND($H20&lt;&gt;"",$I20&lt;&gt;"",$P20&lt;&gt;"",$Q20&lt;&gt;"",$R20&lt;&gt;"",$V20&lt;&gt;"",$V20&lt;&gt;"Not Created"),IF($S20&lt;&gt;"",IF(AND($S20&lt;=TODAY(),_xlpm.core,_xlpm.reqOK),"Completed","Incomplete"),IF($Q20="","Planned",IF(TODAY()&lt;$Q20,"Planned",IF($R20="","In Progress",IF(TODAY()&lt;=$R20,"In Progress","Overdue")))))))</f>
        <v/>
      </c>
      <c r="U20" s="155" t="str">
        <f t="shared" si="1"/>
        <v/>
      </c>
      <c r="V20" s="158" t="str" cm="1">
        <f t="array" ref="V20">IF($C20="","",IFERROR(_xlfn.LET(_xlpm.x,_xlfn.UNIQUE(_xlfn._xlws.FILTER('14. Recovery &amp; Response'!$B$6:$B$105,('14. Recovery &amp; Response'!$C$6:$C$105=$C20)*('14. Recovery &amp; Response'!$B$6:$B$105&lt;&gt;""))),_xlfn.TEXTJOIN(",",TRUE,_xlpm.x)),"Not Created"))</f>
        <v/>
      </c>
      <c r="W20" s="166"/>
    </row>
    <row r="21" spans="1:23" x14ac:dyDescent="0.35">
      <c r="A21" s="161">
        <v>17</v>
      </c>
      <c r="B21" s="153"/>
      <c r="C21" s="154" t="str">
        <f t="shared" si="0"/>
        <v/>
      </c>
      <c r="D21" s="155" t="str" cm="1">
        <f t="array" ref="D21">IF($B21="","",IFERROR(_xlfn.XLOOKUP($B21,INDEX(RiskAssessment[],0,2),INDEX(RiskAssessment[],0,5),""),""))</f>
        <v/>
      </c>
      <c r="E21" s="156" t="str" cm="1">
        <f t="array" ref="E21">IF($B21="","",IFERROR(_xlfn.XLOOKUP($B21,INDEX(RiskAssessment[],0,2),INDEX(RiskAssessment[],0,7),""),""))</f>
        <v/>
      </c>
      <c r="F21" s="156" t="str" cm="1">
        <f t="array" ref="F21">IF($B21="","",IFERROR(_xlfn.XLOOKUP($B21,INDEX(RiskAssessment[],0,2),INDEX(RiskAssessment[],0,8),""),""))</f>
        <v/>
      </c>
      <c r="G21" s="259" t="str">
        <f>IF($B21="","",_xlfn.XLOOKUP($B21,'10. Risk Assessment'!$B$5:$B$34,'10. Risk Assessment'!$F$5:$F$34,""))</f>
        <v/>
      </c>
      <c r="H21" s="157"/>
      <c r="I21" s="166"/>
      <c r="J21" s="153"/>
      <c r="K21" s="153"/>
      <c r="L21" s="153"/>
      <c r="M21" s="153"/>
      <c r="N21" s="153"/>
      <c r="O21" s="153"/>
      <c r="P21" s="166"/>
      <c r="Q21" s="269"/>
      <c r="R21" s="269"/>
      <c r="S21" s="269"/>
      <c r="T21" s="155" t="str" cm="1">
        <f t="array" aca="1" ref="T21" ca="1">IF($B21="","",_xlfn.LET(_xlpm.flag,$J21:$O21,_xlpm.total,COUNTIFS('12. Requirements Register'!$C$5:$C$304,$C21,'12. Requirements Register'!$E$5:$E$304,$J$4:$O$4),_xlpm.readyCount,COUNTIFS('12. Requirements Register'!$C$5:$C$304,$C21,'12. Requirements Register'!$E$5:$E$304,$J$4:$O$4,'12. Requirements Register'!$M$5:$M$304,"Ready"),_xlpm.reqOK,SUM(--(_xlpm.flag="Yes")*--(_xlpm.total&gt;0)*--(_xlpm.readyCount=_xlpm.total))=COUNTIF(_xlpm.flag,"Yes"),_xlpm.core,AND($H21&lt;&gt;"",$I21&lt;&gt;"",$P21&lt;&gt;"",$Q21&lt;&gt;"",$R21&lt;&gt;"",$V21&lt;&gt;"",$V21&lt;&gt;"Not Created"),IF($S21&lt;&gt;"",IF(AND($S21&lt;=TODAY(),_xlpm.core,_xlpm.reqOK),"Completed","Incomplete"),IF($Q21="","Planned",IF(TODAY()&lt;$Q21,"Planned",IF($R21="","In Progress",IF(TODAY()&lt;=$R21,"In Progress","Overdue")))))))</f>
        <v/>
      </c>
      <c r="U21" s="155" t="str">
        <f t="shared" si="1"/>
        <v/>
      </c>
      <c r="V21" s="158" t="str" cm="1">
        <f t="array" ref="V21">IF($C21="","",IFERROR(_xlfn.LET(_xlpm.x,_xlfn.UNIQUE(_xlfn._xlws.FILTER('14. Recovery &amp; Response'!$B$6:$B$105,('14. Recovery &amp; Response'!$C$6:$C$105=$C21)*('14. Recovery &amp; Response'!$B$6:$B$105&lt;&gt;""))),_xlfn.TEXTJOIN(",",TRUE,_xlpm.x)),"Not Created"))</f>
        <v/>
      </c>
      <c r="W21" s="166"/>
    </row>
    <row r="22" spans="1:23" x14ac:dyDescent="0.35">
      <c r="A22" s="161">
        <v>18</v>
      </c>
      <c r="B22" s="153"/>
      <c r="C22" s="154" t="str">
        <f t="shared" si="0"/>
        <v/>
      </c>
      <c r="D22" s="155" t="str" cm="1">
        <f t="array" ref="D22">IF($B22="","",IFERROR(_xlfn.XLOOKUP($B22,INDEX(RiskAssessment[],0,2),INDEX(RiskAssessment[],0,5),""),""))</f>
        <v/>
      </c>
      <c r="E22" s="156" t="str" cm="1">
        <f t="array" ref="E22">IF($B22="","",IFERROR(_xlfn.XLOOKUP($B22,INDEX(RiskAssessment[],0,2),INDEX(RiskAssessment[],0,7),""),""))</f>
        <v/>
      </c>
      <c r="F22" s="156" t="str" cm="1">
        <f t="array" ref="F22">IF($B22="","",IFERROR(_xlfn.XLOOKUP($B22,INDEX(RiskAssessment[],0,2),INDEX(RiskAssessment[],0,8),""),""))</f>
        <v/>
      </c>
      <c r="G22" s="259" t="str">
        <f>IF($B22="","",_xlfn.XLOOKUP($B22,'10. Risk Assessment'!$B$5:$B$34,'10. Risk Assessment'!$F$5:$F$34,""))</f>
        <v/>
      </c>
      <c r="H22" s="157"/>
      <c r="I22" s="166"/>
      <c r="J22" s="153"/>
      <c r="K22" s="153"/>
      <c r="L22" s="153"/>
      <c r="M22" s="153"/>
      <c r="N22" s="153"/>
      <c r="O22" s="153"/>
      <c r="P22" s="166"/>
      <c r="Q22" s="269"/>
      <c r="R22" s="269"/>
      <c r="S22" s="269"/>
      <c r="T22" s="155" t="str" cm="1">
        <f t="array" aca="1" ref="T22" ca="1">IF($B22="","",_xlfn.LET(_xlpm.flag,$J22:$O22,_xlpm.total,COUNTIFS('12. Requirements Register'!$C$5:$C$304,$C22,'12. Requirements Register'!$E$5:$E$304,$J$4:$O$4),_xlpm.readyCount,COUNTIFS('12. Requirements Register'!$C$5:$C$304,$C22,'12. Requirements Register'!$E$5:$E$304,$J$4:$O$4,'12. Requirements Register'!$M$5:$M$304,"Ready"),_xlpm.reqOK,SUM(--(_xlpm.flag="Yes")*--(_xlpm.total&gt;0)*--(_xlpm.readyCount=_xlpm.total))=COUNTIF(_xlpm.flag,"Yes"),_xlpm.core,AND($H22&lt;&gt;"",$I22&lt;&gt;"",$P22&lt;&gt;"",$Q22&lt;&gt;"",$R22&lt;&gt;"",$V22&lt;&gt;"",$V22&lt;&gt;"Not Created"),IF($S22&lt;&gt;"",IF(AND($S22&lt;=TODAY(),_xlpm.core,_xlpm.reqOK),"Completed","Incomplete"),IF($Q22="","Planned",IF(TODAY()&lt;$Q22,"Planned",IF($R22="","In Progress",IF(TODAY()&lt;=$R22,"In Progress","Overdue")))))))</f>
        <v/>
      </c>
      <c r="U22" s="155" t="str">
        <f t="shared" si="1"/>
        <v/>
      </c>
      <c r="V22" s="158" t="str" cm="1">
        <f t="array" ref="V22">IF($C22="","",IFERROR(_xlfn.LET(_xlpm.x,_xlfn.UNIQUE(_xlfn._xlws.FILTER('14. Recovery &amp; Response'!$B$6:$B$105,('14. Recovery &amp; Response'!$C$6:$C$105=$C22)*('14. Recovery &amp; Response'!$B$6:$B$105&lt;&gt;""))),_xlfn.TEXTJOIN(",",TRUE,_xlpm.x)),"Not Created"))</f>
        <v/>
      </c>
      <c r="W22" s="166"/>
    </row>
    <row r="23" spans="1:23" x14ac:dyDescent="0.35">
      <c r="A23" s="161">
        <v>19</v>
      </c>
      <c r="B23" s="153"/>
      <c r="C23" s="154" t="str">
        <f t="shared" si="0"/>
        <v/>
      </c>
      <c r="D23" s="155" t="str" cm="1">
        <f t="array" ref="D23">IF($B23="","",IFERROR(_xlfn.XLOOKUP($B23,INDEX(RiskAssessment[],0,2),INDEX(RiskAssessment[],0,5),""),""))</f>
        <v/>
      </c>
      <c r="E23" s="156" t="str" cm="1">
        <f t="array" ref="E23">IF($B23="","",IFERROR(_xlfn.XLOOKUP($B23,INDEX(RiskAssessment[],0,2),INDEX(RiskAssessment[],0,7),""),""))</f>
        <v/>
      </c>
      <c r="F23" s="156" t="str" cm="1">
        <f t="array" ref="F23">IF($B23="","",IFERROR(_xlfn.XLOOKUP($B23,INDEX(RiskAssessment[],0,2),INDEX(RiskAssessment[],0,8),""),""))</f>
        <v/>
      </c>
      <c r="G23" s="259" t="str">
        <f>IF($B23="","",_xlfn.XLOOKUP($B23,'10. Risk Assessment'!$B$5:$B$34,'10. Risk Assessment'!$F$5:$F$34,""))</f>
        <v/>
      </c>
      <c r="H23" s="157"/>
      <c r="I23" s="166"/>
      <c r="J23" s="153"/>
      <c r="K23" s="153"/>
      <c r="L23" s="153"/>
      <c r="M23" s="153"/>
      <c r="N23" s="153"/>
      <c r="O23" s="153"/>
      <c r="P23" s="166"/>
      <c r="Q23" s="269"/>
      <c r="R23" s="269"/>
      <c r="S23" s="269"/>
      <c r="T23" s="155" t="str" cm="1">
        <f t="array" aca="1" ref="T23" ca="1">IF($B23="","",_xlfn.LET(_xlpm.flag,$J23:$O23,_xlpm.total,COUNTIFS('12. Requirements Register'!$C$5:$C$304,$C23,'12. Requirements Register'!$E$5:$E$304,$J$4:$O$4),_xlpm.readyCount,COUNTIFS('12. Requirements Register'!$C$5:$C$304,$C23,'12. Requirements Register'!$E$5:$E$304,$J$4:$O$4,'12. Requirements Register'!$M$5:$M$304,"Ready"),_xlpm.reqOK,SUM(--(_xlpm.flag="Yes")*--(_xlpm.total&gt;0)*--(_xlpm.readyCount=_xlpm.total))=COUNTIF(_xlpm.flag,"Yes"),_xlpm.core,AND($H23&lt;&gt;"",$I23&lt;&gt;"",$P23&lt;&gt;"",$Q23&lt;&gt;"",$R23&lt;&gt;"",$V23&lt;&gt;"",$V23&lt;&gt;"Not Created"),IF($S23&lt;&gt;"",IF(AND($S23&lt;=TODAY(),_xlpm.core,_xlpm.reqOK),"Completed","Incomplete"),IF($Q23="","Planned",IF(TODAY()&lt;$Q23,"Planned",IF($R23="","In Progress",IF(TODAY()&lt;=$R23,"In Progress","Overdue")))))))</f>
        <v/>
      </c>
      <c r="U23" s="155" t="str">
        <f t="shared" si="1"/>
        <v/>
      </c>
      <c r="V23" s="158" t="str" cm="1">
        <f t="array" ref="V23">IF($C23="","",IFERROR(_xlfn.LET(_xlpm.x,_xlfn.UNIQUE(_xlfn._xlws.FILTER('14. Recovery &amp; Response'!$B$6:$B$105,('14. Recovery &amp; Response'!$C$6:$C$105=$C23)*('14. Recovery &amp; Response'!$B$6:$B$105&lt;&gt;""))),_xlfn.TEXTJOIN(",",TRUE,_xlpm.x)),"Not Created"))</f>
        <v/>
      </c>
      <c r="W23" s="166"/>
    </row>
    <row r="24" spans="1:23" x14ac:dyDescent="0.35">
      <c r="A24" s="161">
        <v>20</v>
      </c>
      <c r="B24" s="153"/>
      <c r="C24" s="154" t="str">
        <f t="shared" si="0"/>
        <v/>
      </c>
      <c r="D24" s="155" t="str" cm="1">
        <f t="array" ref="D24">IF($B24="","",IFERROR(_xlfn.XLOOKUP($B24,INDEX(RiskAssessment[],0,2),INDEX(RiskAssessment[],0,5),""),""))</f>
        <v/>
      </c>
      <c r="E24" s="156" t="str" cm="1">
        <f t="array" ref="E24">IF($B24="","",IFERROR(_xlfn.XLOOKUP($B24,INDEX(RiskAssessment[],0,2),INDEX(RiskAssessment[],0,7),""),""))</f>
        <v/>
      </c>
      <c r="F24" s="156" t="str" cm="1">
        <f t="array" ref="F24">IF($B24="","",IFERROR(_xlfn.XLOOKUP($B24,INDEX(RiskAssessment[],0,2),INDEX(RiskAssessment[],0,8),""),""))</f>
        <v/>
      </c>
      <c r="G24" s="259" t="str">
        <f>IF($B24="","",_xlfn.XLOOKUP($B24,'10. Risk Assessment'!$B$5:$B$34,'10. Risk Assessment'!$F$5:$F$34,""))</f>
        <v/>
      </c>
      <c r="H24" s="157"/>
      <c r="I24" s="166"/>
      <c r="J24" s="153"/>
      <c r="K24" s="153"/>
      <c r="L24" s="153"/>
      <c r="M24" s="153"/>
      <c r="N24" s="153"/>
      <c r="O24" s="153"/>
      <c r="P24" s="166"/>
      <c r="Q24" s="269"/>
      <c r="R24" s="269"/>
      <c r="S24" s="269"/>
      <c r="T24" s="155" t="str" cm="1">
        <f t="array" aca="1" ref="T24" ca="1">IF($B24="","",_xlfn.LET(_xlpm.flag,$J24:$O24,_xlpm.total,COUNTIFS('12. Requirements Register'!$C$5:$C$304,$C24,'12. Requirements Register'!$E$5:$E$304,$J$4:$O$4),_xlpm.readyCount,COUNTIFS('12. Requirements Register'!$C$5:$C$304,$C24,'12. Requirements Register'!$E$5:$E$304,$J$4:$O$4,'12. Requirements Register'!$M$5:$M$304,"Ready"),_xlpm.reqOK,SUM(--(_xlpm.flag="Yes")*--(_xlpm.total&gt;0)*--(_xlpm.readyCount=_xlpm.total))=COUNTIF(_xlpm.flag,"Yes"),_xlpm.core,AND($H24&lt;&gt;"",$I24&lt;&gt;"",$P24&lt;&gt;"",$Q24&lt;&gt;"",$R24&lt;&gt;"",$V24&lt;&gt;"",$V24&lt;&gt;"Not Created"),IF($S24&lt;&gt;"",IF(AND($S24&lt;=TODAY(),_xlpm.core,_xlpm.reqOK),"Completed","Incomplete"),IF($Q24="","Planned",IF(TODAY()&lt;$Q24,"Planned",IF($R24="","In Progress",IF(TODAY()&lt;=$R24,"In Progress","Overdue")))))))</f>
        <v/>
      </c>
      <c r="U24" s="155" t="str">
        <f t="shared" si="1"/>
        <v/>
      </c>
      <c r="V24" s="158" t="str" cm="1">
        <f t="array" ref="V24">IF($C24="","",IFERROR(_xlfn.LET(_xlpm.x,_xlfn.UNIQUE(_xlfn._xlws.FILTER('14. Recovery &amp; Response'!$B$6:$B$105,('14. Recovery &amp; Response'!$C$6:$C$105=$C24)*('14. Recovery &amp; Response'!$B$6:$B$105&lt;&gt;""))),_xlfn.TEXTJOIN(",",TRUE,_xlpm.x)),"Not Created"))</f>
        <v/>
      </c>
      <c r="W24" s="166"/>
    </row>
    <row r="25" spans="1:23" x14ac:dyDescent="0.35">
      <c r="A25" s="161">
        <v>21</v>
      </c>
      <c r="B25" s="153"/>
      <c r="C25" s="154" t="str">
        <f t="shared" si="0"/>
        <v/>
      </c>
      <c r="D25" s="155" t="str" cm="1">
        <f t="array" ref="D25">IF($B25="","",IFERROR(_xlfn.XLOOKUP($B25,INDEX(RiskAssessment[],0,2),INDEX(RiskAssessment[],0,5),""),""))</f>
        <v/>
      </c>
      <c r="E25" s="156" t="str" cm="1">
        <f t="array" ref="E25">IF($B25="","",IFERROR(_xlfn.XLOOKUP($B25,INDEX(RiskAssessment[],0,2),INDEX(RiskAssessment[],0,7),""),""))</f>
        <v/>
      </c>
      <c r="F25" s="156" t="str" cm="1">
        <f t="array" ref="F25">IF($B25="","",IFERROR(_xlfn.XLOOKUP($B25,INDEX(RiskAssessment[],0,2),INDEX(RiskAssessment[],0,8),""),""))</f>
        <v/>
      </c>
      <c r="G25" s="259" t="str">
        <f>IF($B25="","",_xlfn.XLOOKUP($B25,'10. Risk Assessment'!$B$5:$B$34,'10. Risk Assessment'!$F$5:$F$34,""))</f>
        <v/>
      </c>
      <c r="H25" s="157"/>
      <c r="I25" s="166"/>
      <c r="J25" s="153"/>
      <c r="K25" s="153"/>
      <c r="L25" s="153"/>
      <c r="M25" s="153"/>
      <c r="N25" s="153"/>
      <c r="O25" s="153"/>
      <c r="P25" s="166"/>
      <c r="Q25" s="269"/>
      <c r="R25" s="269"/>
      <c r="S25" s="269"/>
      <c r="T25" s="155" t="str" cm="1">
        <f t="array" aca="1" ref="T25" ca="1">IF($B25="","",_xlfn.LET(_xlpm.flag,$J25:$O25,_xlpm.total,COUNTIFS('12. Requirements Register'!$C$5:$C$304,$C25,'12. Requirements Register'!$E$5:$E$304,$J$4:$O$4),_xlpm.readyCount,COUNTIFS('12. Requirements Register'!$C$5:$C$304,$C25,'12. Requirements Register'!$E$5:$E$304,$J$4:$O$4,'12. Requirements Register'!$M$5:$M$304,"Ready"),_xlpm.reqOK,SUM(--(_xlpm.flag="Yes")*--(_xlpm.total&gt;0)*--(_xlpm.readyCount=_xlpm.total))=COUNTIF(_xlpm.flag,"Yes"),_xlpm.core,AND($H25&lt;&gt;"",$I25&lt;&gt;"",$P25&lt;&gt;"",$Q25&lt;&gt;"",$R25&lt;&gt;"",$V25&lt;&gt;"",$V25&lt;&gt;"Not Created"),IF($S25&lt;&gt;"",IF(AND($S25&lt;=TODAY(),_xlpm.core,_xlpm.reqOK),"Completed","Incomplete"),IF($Q25="","Planned",IF(TODAY()&lt;$Q25,"Planned",IF($R25="","In Progress",IF(TODAY()&lt;=$R25,"In Progress","Overdue")))))))</f>
        <v/>
      </c>
      <c r="U25" s="155" t="str">
        <f t="shared" si="1"/>
        <v/>
      </c>
      <c r="V25" s="158" t="str" cm="1">
        <f t="array" ref="V25">IF($C25="","",IFERROR(_xlfn.LET(_xlpm.x,_xlfn.UNIQUE(_xlfn._xlws.FILTER('14. Recovery &amp; Response'!$B$6:$B$105,('14. Recovery &amp; Response'!$C$6:$C$105=$C25)*('14. Recovery &amp; Response'!$B$6:$B$105&lt;&gt;""))),_xlfn.TEXTJOIN(",",TRUE,_xlpm.x)),"Not Created"))</f>
        <v/>
      </c>
      <c r="W25" s="166"/>
    </row>
    <row r="26" spans="1:23" x14ac:dyDescent="0.35">
      <c r="A26" s="161">
        <v>22</v>
      </c>
      <c r="B26" s="153"/>
      <c r="C26" s="154" t="str">
        <f t="shared" si="0"/>
        <v/>
      </c>
      <c r="D26" s="155" t="str" cm="1">
        <f t="array" ref="D26">IF($B26="","",IFERROR(_xlfn.XLOOKUP($B26,INDEX(RiskAssessment[],0,2),INDEX(RiskAssessment[],0,5),""),""))</f>
        <v/>
      </c>
      <c r="E26" s="156" t="str" cm="1">
        <f t="array" ref="E26">IF($B26="","",IFERROR(_xlfn.XLOOKUP($B26,INDEX(RiskAssessment[],0,2),INDEX(RiskAssessment[],0,7),""),""))</f>
        <v/>
      </c>
      <c r="F26" s="156" t="str" cm="1">
        <f t="array" ref="F26">IF($B26="","",IFERROR(_xlfn.XLOOKUP($B26,INDEX(RiskAssessment[],0,2),INDEX(RiskAssessment[],0,8),""),""))</f>
        <v/>
      </c>
      <c r="G26" s="259" t="str">
        <f>IF($B26="","",_xlfn.XLOOKUP($B26,'10. Risk Assessment'!$B$5:$B$34,'10. Risk Assessment'!$F$5:$F$34,""))</f>
        <v/>
      </c>
      <c r="H26" s="157"/>
      <c r="I26" s="166"/>
      <c r="J26" s="153"/>
      <c r="K26" s="153"/>
      <c r="L26" s="153"/>
      <c r="M26" s="153"/>
      <c r="N26" s="153"/>
      <c r="O26" s="153"/>
      <c r="P26" s="166"/>
      <c r="Q26" s="269"/>
      <c r="R26" s="269"/>
      <c r="S26" s="269"/>
      <c r="T26" s="155" t="str" cm="1">
        <f t="array" aca="1" ref="T26" ca="1">IF($B26="","",_xlfn.LET(_xlpm.flag,$J26:$O26,_xlpm.total,COUNTIFS('12. Requirements Register'!$C$5:$C$304,$C26,'12. Requirements Register'!$E$5:$E$304,$J$4:$O$4),_xlpm.readyCount,COUNTIFS('12. Requirements Register'!$C$5:$C$304,$C26,'12. Requirements Register'!$E$5:$E$304,$J$4:$O$4,'12. Requirements Register'!$M$5:$M$304,"Ready"),_xlpm.reqOK,SUM(--(_xlpm.flag="Yes")*--(_xlpm.total&gt;0)*--(_xlpm.readyCount=_xlpm.total))=COUNTIF(_xlpm.flag,"Yes"),_xlpm.core,AND($H26&lt;&gt;"",$I26&lt;&gt;"",$P26&lt;&gt;"",$Q26&lt;&gt;"",$R26&lt;&gt;"",$V26&lt;&gt;"",$V26&lt;&gt;"Not Created"),IF($S26&lt;&gt;"",IF(AND($S26&lt;=TODAY(),_xlpm.core,_xlpm.reqOK),"Completed","Incomplete"),IF($Q26="","Planned",IF(TODAY()&lt;$Q26,"Planned",IF($R26="","In Progress",IF(TODAY()&lt;=$R26,"In Progress","Overdue")))))))</f>
        <v/>
      </c>
      <c r="U26" s="155" t="str">
        <f t="shared" si="1"/>
        <v/>
      </c>
      <c r="V26" s="158" t="str" cm="1">
        <f t="array" ref="V26">IF($C26="","",IFERROR(_xlfn.LET(_xlpm.x,_xlfn.UNIQUE(_xlfn._xlws.FILTER('14. Recovery &amp; Response'!$B$6:$B$105,('14. Recovery &amp; Response'!$C$6:$C$105=$C26)*('14. Recovery &amp; Response'!$B$6:$B$105&lt;&gt;""))),_xlfn.TEXTJOIN(",",TRUE,_xlpm.x)),"Not Created"))</f>
        <v/>
      </c>
      <c r="W26" s="166"/>
    </row>
    <row r="27" spans="1:23" x14ac:dyDescent="0.35">
      <c r="A27" s="161">
        <v>23</v>
      </c>
      <c r="B27" s="153"/>
      <c r="C27" s="154" t="str">
        <f t="shared" si="0"/>
        <v/>
      </c>
      <c r="D27" s="155" t="str" cm="1">
        <f t="array" ref="D27">IF($B27="","",IFERROR(_xlfn.XLOOKUP($B27,INDEX(RiskAssessment[],0,2),INDEX(RiskAssessment[],0,5),""),""))</f>
        <v/>
      </c>
      <c r="E27" s="156" t="str" cm="1">
        <f t="array" ref="E27">IF($B27="","",IFERROR(_xlfn.XLOOKUP($B27,INDEX(RiskAssessment[],0,2),INDEX(RiskAssessment[],0,7),""),""))</f>
        <v/>
      </c>
      <c r="F27" s="156" t="str" cm="1">
        <f t="array" ref="F27">IF($B27="","",IFERROR(_xlfn.XLOOKUP($B27,INDEX(RiskAssessment[],0,2),INDEX(RiskAssessment[],0,8),""),""))</f>
        <v/>
      </c>
      <c r="G27" s="259" t="str">
        <f>IF($B27="","",_xlfn.XLOOKUP($B27,'10. Risk Assessment'!$B$5:$B$34,'10. Risk Assessment'!$F$5:$F$34,""))</f>
        <v/>
      </c>
      <c r="H27" s="157"/>
      <c r="I27" s="166"/>
      <c r="J27" s="153"/>
      <c r="K27" s="153"/>
      <c r="L27" s="153"/>
      <c r="M27" s="153"/>
      <c r="N27" s="153"/>
      <c r="O27" s="153"/>
      <c r="P27" s="166"/>
      <c r="Q27" s="269"/>
      <c r="R27" s="269"/>
      <c r="S27" s="269"/>
      <c r="T27" s="155" t="str" cm="1">
        <f t="array" aca="1" ref="T27" ca="1">IF($B27="","",_xlfn.LET(_xlpm.flag,$J27:$O27,_xlpm.total,COUNTIFS('12. Requirements Register'!$C$5:$C$304,$C27,'12. Requirements Register'!$E$5:$E$304,$J$4:$O$4),_xlpm.readyCount,COUNTIFS('12. Requirements Register'!$C$5:$C$304,$C27,'12. Requirements Register'!$E$5:$E$304,$J$4:$O$4,'12. Requirements Register'!$M$5:$M$304,"Ready"),_xlpm.reqOK,SUM(--(_xlpm.flag="Yes")*--(_xlpm.total&gt;0)*--(_xlpm.readyCount=_xlpm.total))=COUNTIF(_xlpm.flag,"Yes"),_xlpm.core,AND($H27&lt;&gt;"",$I27&lt;&gt;"",$P27&lt;&gt;"",$Q27&lt;&gt;"",$R27&lt;&gt;"",$V27&lt;&gt;"",$V27&lt;&gt;"Not Created"),IF($S27&lt;&gt;"",IF(AND($S27&lt;=TODAY(),_xlpm.core,_xlpm.reqOK),"Completed","Incomplete"),IF($Q27="","Planned",IF(TODAY()&lt;$Q27,"Planned",IF($R27="","In Progress",IF(TODAY()&lt;=$R27,"In Progress","Overdue")))))))</f>
        <v/>
      </c>
      <c r="U27" s="155" t="str">
        <f t="shared" si="1"/>
        <v/>
      </c>
      <c r="V27" s="158" t="str" cm="1">
        <f t="array" ref="V27">IF($C27="","",IFERROR(_xlfn.LET(_xlpm.x,_xlfn.UNIQUE(_xlfn._xlws.FILTER('14. Recovery &amp; Response'!$B$6:$B$105,('14. Recovery &amp; Response'!$C$6:$C$105=$C27)*('14. Recovery &amp; Response'!$B$6:$B$105&lt;&gt;""))),_xlfn.TEXTJOIN(",",TRUE,_xlpm.x)),"Not Created"))</f>
        <v/>
      </c>
      <c r="W27" s="166"/>
    </row>
    <row r="28" spans="1:23" x14ac:dyDescent="0.35">
      <c r="A28" s="161">
        <v>24</v>
      </c>
      <c r="B28" s="153"/>
      <c r="C28" s="154" t="str">
        <f t="shared" si="0"/>
        <v/>
      </c>
      <c r="D28" s="155" t="str" cm="1">
        <f t="array" ref="D28">IF($B28="","",IFERROR(_xlfn.XLOOKUP($B28,INDEX(RiskAssessment[],0,2),INDEX(RiskAssessment[],0,5),""),""))</f>
        <v/>
      </c>
      <c r="E28" s="156" t="str" cm="1">
        <f t="array" ref="E28">IF($B28="","",IFERROR(_xlfn.XLOOKUP($B28,INDEX(RiskAssessment[],0,2),INDEX(RiskAssessment[],0,7),""),""))</f>
        <v/>
      </c>
      <c r="F28" s="156" t="str" cm="1">
        <f t="array" ref="F28">IF($B28="","",IFERROR(_xlfn.XLOOKUP($B28,INDEX(RiskAssessment[],0,2),INDEX(RiskAssessment[],0,8),""),""))</f>
        <v/>
      </c>
      <c r="G28" s="259" t="str">
        <f>IF($B28="","",_xlfn.XLOOKUP($B28,'10. Risk Assessment'!$B$5:$B$34,'10. Risk Assessment'!$F$5:$F$34,""))</f>
        <v/>
      </c>
      <c r="H28" s="157"/>
      <c r="I28" s="166"/>
      <c r="J28" s="153"/>
      <c r="K28" s="153"/>
      <c r="L28" s="153"/>
      <c r="M28" s="153"/>
      <c r="N28" s="153"/>
      <c r="O28" s="153"/>
      <c r="P28" s="166"/>
      <c r="Q28" s="269"/>
      <c r="R28" s="269"/>
      <c r="S28" s="269"/>
      <c r="T28" s="155" t="str" cm="1">
        <f t="array" aca="1" ref="T28" ca="1">IF($B28="","",_xlfn.LET(_xlpm.flag,$J28:$O28,_xlpm.total,COUNTIFS('12. Requirements Register'!$C$5:$C$304,$C28,'12. Requirements Register'!$E$5:$E$304,$J$4:$O$4),_xlpm.readyCount,COUNTIFS('12. Requirements Register'!$C$5:$C$304,$C28,'12. Requirements Register'!$E$5:$E$304,$J$4:$O$4,'12. Requirements Register'!$M$5:$M$304,"Ready"),_xlpm.reqOK,SUM(--(_xlpm.flag="Yes")*--(_xlpm.total&gt;0)*--(_xlpm.readyCount=_xlpm.total))=COUNTIF(_xlpm.flag,"Yes"),_xlpm.core,AND($H28&lt;&gt;"",$I28&lt;&gt;"",$P28&lt;&gt;"",$Q28&lt;&gt;"",$R28&lt;&gt;"",$V28&lt;&gt;"",$V28&lt;&gt;"Not Created"),IF($S28&lt;&gt;"",IF(AND($S28&lt;=TODAY(),_xlpm.core,_xlpm.reqOK),"Completed","Incomplete"),IF($Q28="","Planned",IF(TODAY()&lt;$Q28,"Planned",IF($R28="","In Progress",IF(TODAY()&lt;=$R28,"In Progress","Overdue")))))))</f>
        <v/>
      </c>
      <c r="U28" s="155" t="str">
        <f t="shared" si="1"/>
        <v/>
      </c>
      <c r="V28" s="158" t="str" cm="1">
        <f t="array" ref="V28">IF($C28="","",IFERROR(_xlfn.LET(_xlpm.x,_xlfn.UNIQUE(_xlfn._xlws.FILTER('14. Recovery &amp; Response'!$B$6:$B$105,('14. Recovery &amp; Response'!$C$6:$C$105=$C28)*('14. Recovery &amp; Response'!$B$6:$B$105&lt;&gt;""))),_xlfn.TEXTJOIN(",",TRUE,_xlpm.x)),"Not Created"))</f>
        <v/>
      </c>
      <c r="W28" s="166"/>
    </row>
    <row r="29" spans="1:23" x14ac:dyDescent="0.35">
      <c r="A29" s="161">
        <v>25</v>
      </c>
      <c r="B29" s="153"/>
      <c r="C29" s="154" t="str">
        <f t="shared" si="0"/>
        <v/>
      </c>
      <c r="D29" s="155" t="str" cm="1">
        <f t="array" ref="D29">IF($B29="","",IFERROR(_xlfn.XLOOKUP($B29,INDEX(RiskAssessment[],0,2),INDEX(RiskAssessment[],0,5),""),""))</f>
        <v/>
      </c>
      <c r="E29" s="156" t="str" cm="1">
        <f t="array" ref="E29">IF($B29="","",IFERROR(_xlfn.XLOOKUP($B29,INDEX(RiskAssessment[],0,2),INDEX(RiskAssessment[],0,7),""),""))</f>
        <v/>
      </c>
      <c r="F29" s="156" t="str" cm="1">
        <f t="array" ref="F29">IF($B29="","",IFERROR(_xlfn.XLOOKUP($B29,INDEX(RiskAssessment[],0,2),INDEX(RiskAssessment[],0,8),""),""))</f>
        <v/>
      </c>
      <c r="G29" s="259" t="str">
        <f>IF($B29="","",_xlfn.XLOOKUP($B29,'10. Risk Assessment'!$B$5:$B$34,'10. Risk Assessment'!$F$5:$F$34,""))</f>
        <v/>
      </c>
      <c r="H29" s="157"/>
      <c r="I29" s="166"/>
      <c r="J29" s="153"/>
      <c r="K29" s="153"/>
      <c r="L29" s="153"/>
      <c r="M29" s="153"/>
      <c r="N29" s="153"/>
      <c r="O29" s="153"/>
      <c r="P29" s="166"/>
      <c r="Q29" s="269"/>
      <c r="R29" s="269"/>
      <c r="S29" s="269"/>
      <c r="T29" s="155" t="str" cm="1">
        <f t="array" aca="1" ref="T29" ca="1">IF($B29="","",_xlfn.LET(_xlpm.flag,$J29:$O29,_xlpm.total,COUNTIFS('12. Requirements Register'!$C$5:$C$304,$C29,'12. Requirements Register'!$E$5:$E$304,$J$4:$O$4),_xlpm.readyCount,COUNTIFS('12. Requirements Register'!$C$5:$C$304,$C29,'12. Requirements Register'!$E$5:$E$304,$J$4:$O$4,'12. Requirements Register'!$M$5:$M$304,"Ready"),_xlpm.reqOK,SUM(--(_xlpm.flag="Yes")*--(_xlpm.total&gt;0)*--(_xlpm.readyCount=_xlpm.total))=COUNTIF(_xlpm.flag,"Yes"),_xlpm.core,AND($H29&lt;&gt;"",$I29&lt;&gt;"",$P29&lt;&gt;"",$Q29&lt;&gt;"",$R29&lt;&gt;"",$V29&lt;&gt;"",$V29&lt;&gt;"Not Created"),IF($S29&lt;&gt;"",IF(AND($S29&lt;=TODAY(),_xlpm.core,_xlpm.reqOK),"Completed","Incomplete"),IF($Q29="","Planned",IF(TODAY()&lt;$Q29,"Planned",IF($R29="","In Progress",IF(TODAY()&lt;=$R29,"In Progress","Overdue")))))))</f>
        <v/>
      </c>
      <c r="U29" s="155" t="str">
        <f t="shared" si="1"/>
        <v/>
      </c>
      <c r="V29" s="158" t="str" cm="1">
        <f t="array" ref="V29">IF($C29="","",IFERROR(_xlfn.LET(_xlpm.x,_xlfn.UNIQUE(_xlfn._xlws.FILTER('14. Recovery &amp; Response'!$B$6:$B$105,('14. Recovery &amp; Response'!$C$6:$C$105=$C29)*('14. Recovery &amp; Response'!$B$6:$B$105&lt;&gt;""))),_xlfn.TEXTJOIN(",",TRUE,_xlpm.x)),"Not Created"))</f>
        <v/>
      </c>
      <c r="W29" s="166"/>
    </row>
    <row r="30" spans="1:23" x14ac:dyDescent="0.35">
      <c r="A30" s="161">
        <v>26</v>
      </c>
      <c r="B30" s="153"/>
      <c r="C30" s="154" t="str">
        <f t="shared" si="0"/>
        <v/>
      </c>
      <c r="D30" s="155" t="str" cm="1">
        <f t="array" ref="D30">IF($B30="","",IFERROR(_xlfn.XLOOKUP($B30,INDEX(RiskAssessment[],0,2),INDEX(RiskAssessment[],0,5),""),""))</f>
        <v/>
      </c>
      <c r="E30" s="156" t="str" cm="1">
        <f t="array" ref="E30">IF($B30="","",IFERROR(_xlfn.XLOOKUP($B30,INDEX(RiskAssessment[],0,2),INDEX(RiskAssessment[],0,7),""),""))</f>
        <v/>
      </c>
      <c r="F30" s="156" t="str" cm="1">
        <f t="array" ref="F30">IF($B30="","",IFERROR(_xlfn.XLOOKUP($B30,INDEX(RiskAssessment[],0,2),INDEX(RiskAssessment[],0,8),""),""))</f>
        <v/>
      </c>
      <c r="G30" s="259" t="str">
        <f>IF($B30="","",_xlfn.XLOOKUP($B30,'10. Risk Assessment'!$B$5:$B$34,'10. Risk Assessment'!$F$5:$F$34,""))</f>
        <v/>
      </c>
      <c r="H30" s="157"/>
      <c r="I30" s="166"/>
      <c r="J30" s="153"/>
      <c r="K30" s="153"/>
      <c r="L30" s="153"/>
      <c r="M30" s="153"/>
      <c r="N30" s="153"/>
      <c r="O30" s="153"/>
      <c r="P30" s="166"/>
      <c r="Q30" s="269"/>
      <c r="R30" s="269"/>
      <c r="S30" s="269"/>
      <c r="T30" s="155" t="str" cm="1">
        <f t="array" aca="1" ref="T30" ca="1">IF($B30="","",_xlfn.LET(_xlpm.flag,$J30:$O30,_xlpm.total,COUNTIFS('12. Requirements Register'!$C$5:$C$304,$C30,'12. Requirements Register'!$E$5:$E$304,$J$4:$O$4),_xlpm.readyCount,COUNTIFS('12. Requirements Register'!$C$5:$C$304,$C30,'12. Requirements Register'!$E$5:$E$304,$J$4:$O$4,'12. Requirements Register'!$M$5:$M$304,"Ready"),_xlpm.reqOK,SUM(--(_xlpm.flag="Yes")*--(_xlpm.total&gt;0)*--(_xlpm.readyCount=_xlpm.total))=COUNTIF(_xlpm.flag,"Yes"),_xlpm.core,AND($H30&lt;&gt;"",$I30&lt;&gt;"",$P30&lt;&gt;"",$Q30&lt;&gt;"",$R30&lt;&gt;"",$V30&lt;&gt;"",$V30&lt;&gt;"Not Created"),IF($S30&lt;&gt;"",IF(AND($S30&lt;=TODAY(),_xlpm.core,_xlpm.reqOK),"Completed","Incomplete"),IF($Q30="","Planned",IF(TODAY()&lt;$Q30,"Planned",IF($R30="","In Progress",IF(TODAY()&lt;=$R30,"In Progress","Overdue")))))))</f>
        <v/>
      </c>
      <c r="U30" s="155" t="str">
        <f t="shared" si="1"/>
        <v/>
      </c>
      <c r="V30" s="158" t="str" cm="1">
        <f t="array" ref="V30">IF($C30="","",IFERROR(_xlfn.LET(_xlpm.x,_xlfn.UNIQUE(_xlfn._xlws.FILTER('14. Recovery &amp; Response'!$B$6:$B$105,('14. Recovery &amp; Response'!$C$6:$C$105=$C30)*('14. Recovery &amp; Response'!$B$6:$B$105&lt;&gt;""))),_xlfn.TEXTJOIN(",",TRUE,_xlpm.x)),"Not Created"))</f>
        <v/>
      </c>
      <c r="W30" s="166"/>
    </row>
    <row r="31" spans="1:23" x14ac:dyDescent="0.35">
      <c r="A31" s="161">
        <v>27</v>
      </c>
      <c r="B31" s="153"/>
      <c r="C31" s="154" t="str">
        <f t="shared" si="0"/>
        <v/>
      </c>
      <c r="D31" s="155" t="str" cm="1">
        <f t="array" ref="D31">IF($B31="","",IFERROR(_xlfn.XLOOKUP($B31,INDEX(RiskAssessment[],0,2),INDEX(RiskAssessment[],0,5),""),""))</f>
        <v/>
      </c>
      <c r="E31" s="156" t="str" cm="1">
        <f t="array" ref="E31">IF($B31="","",IFERROR(_xlfn.XLOOKUP($B31,INDEX(RiskAssessment[],0,2),INDEX(RiskAssessment[],0,7),""),""))</f>
        <v/>
      </c>
      <c r="F31" s="156" t="str" cm="1">
        <f t="array" ref="F31">IF($B31="","",IFERROR(_xlfn.XLOOKUP($B31,INDEX(RiskAssessment[],0,2),INDEX(RiskAssessment[],0,8),""),""))</f>
        <v/>
      </c>
      <c r="G31" s="259" t="str">
        <f>IF($B31="","",_xlfn.XLOOKUP($B31,'10. Risk Assessment'!$B$5:$B$34,'10. Risk Assessment'!$F$5:$F$34,""))</f>
        <v/>
      </c>
      <c r="H31" s="157"/>
      <c r="I31" s="166"/>
      <c r="J31" s="153"/>
      <c r="K31" s="153"/>
      <c r="L31" s="153"/>
      <c r="M31" s="153"/>
      <c r="N31" s="153"/>
      <c r="O31" s="153"/>
      <c r="P31" s="166"/>
      <c r="Q31" s="269"/>
      <c r="R31" s="269"/>
      <c r="S31" s="269"/>
      <c r="T31" s="155" t="str" cm="1">
        <f t="array" aca="1" ref="T31" ca="1">IF($B31="","",_xlfn.LET(_xlpm.flag,$J31:$O31,_xlpm.total,COUNTIFS('12. Requirements Register'!$C$5:$C$304,$C31,'12. Requirements Register'!$E$5:$E$304,$J$4:$O$4),_xlpm.readyCount,COUNTIFS('12. Requirements Register'!$C$5:$C$304,$C31,'12. Requirements Register'!$E$5:$E$304,$J$4:$O$4,'12. Requirements Register'!$M$5:$M$304,"Ready"),_xlpm.reqOK,SUM(--(_xlpm.flag="Yes")*--(_xlpm.total&gt;0)*--(_xlpm.readyCount=_xlpm.total))=COUNTIF(_xlpm.flag,"Yes"),_xlpm.core,AND($H31&lt;&gt;"",$I31&lt;&gt;"",$P31&lt;&gt;"",$Q31&lt;&gt;"",$R31&lt;&gt;"",$V31&lt;&gt;"",$V31&lt;&gt;"Not Created"),IF($S31&lt;&gt;"",IF(AND($S31&lt;=TODAY(),_xlpm.core,_xlpm.reqOK),"Completed","Incomplete"),IF($Q31="","Planned",IF(TODAY()&lt;$Q31,"Planned",IF($R31="","In Progress",IF(TODAY()&lt;=$R31,"In Progress","Overdue")))))))</f>
        <v/>
      </c>
      <c r="U31" s="155" t="str">
        <f t="shared" si="1"/>
        <v/>
      </c>
      <c r="V31" s="158" t="str" cm="1">
        <f t="array" ref="V31">IF($C31="","",IFERROR(_xlfn.LET(_xlpm.x,_xlfn.UNIQUE(_xlfn._xlws.FILTER('14. Recovery &amp; Response'!$B$6:$B$105,('14. Recovery &amp; Response'!$C$6:$C$105=$C31)*('14. Recovery &amp; Response'!$B$6:$B$105&lt;&gt;""))),_xlfn.TEXTJOIN(",",TRUE,_xlpm.x)),"Not Created"))</f>
        <v/>
      </c>
      <c r="W31" s="166"/>
    </row>
    <row r="32" spans="1:23" x14ac:dyDescent="0.35">
      <c r="A32" s="161">
        <v>28</v>
      </c>
      <c r="B32" s="153"/>
      <c r="C32" s="154" t="str">
        <f t="shared" si="0"/>
        <v/>
      </c>
      <c r="D32" s="155" t="str" cm="1">
        <f t="array" ref="D32">IF($B32="","",IFERROR(_xlfn.XLOOKUP($B32,INDEX(RiskAssessment[],0,2),INDEX(RiskAssessment[],0,5),""),""))</f>
        <v/>
      </c>
      <c r="E32" s="156" t="str" cm="1">
        <f t="array" ref="E32">IF($B32="","",IFERROR(_xlfn.XLOOKUP($B32,INDEX(RiskAssessment[],0,2),INDEX(RiskAssessment[],0,7),""),""))</f>
        <v/>
      </c>
      <c r="F32" s="156" t="str" cm="1">
        <f t="array" ref="F32">IF($B32="","",IFERROR(_xlfn.XLOOKUP($B32,INDEX(RiskAssessment[],0,2),INDEX(RiskAssessment[],0,8),""),""))</f>
        <v/>
      </c>
      <c r="G32" s="259" t="str">
        <f>IF($B32="","",_xlfn.XLOOKUP($B32,'10. Risk Assessment'!$B$5:$B$34,'10. Risk Assessment'!$F$5:$F$34,""))</f>
        <v/>
      </c>
      <c r="H32" s="157"/>
      <c r="I32" s="166"/>
      <c r="J32" s="153"/>
      <c r="K32" s="153"/>
      <c r="L32" s="153"/>
      <c r="M32" s="153"/>
      <c r="N32" s="153"/>
      <c r="O32" s="153"/>
      <c r="P32" s="166"/>
      <c r="Q32" s="269"/>
      <c r="R32" s="269"/>
      <c r="S32" s="269"/>
      <c r="T32" s="155" t="str" cm="1">
        <f t="array" aca="1" ref="T32" ca="1">IF($B32="","",_xlfn.LET(_xlpm.flag,$J32:$O32,_xlpm.total,COUNTIFS('12. Requirements Register'!$C$5:$C$304,$C32,'12. Requirements Register'!$E$5:$E$304,$J$4:$O$4),_xlpm.readyCount,COUNTIFS('12. Requirements Register'!$C$5:$C$304,$C32,'12. Requirements Register'!$E$5:$E$304,$J$4:$O$4,'12. Requirements Register'!$M$5:$M$304,"Ready"),_xlpm.reqOK,SUM(--(_xlpm.flag="Yes")*--(_xlpm.total&gt;0)*--(_xlpm.readyCount=_xlpm.total))=COUNTIF(_xlpm.flag,"Yes"),_xlpm.core,AND($H32&lt;&gt;"",$I32&lt;&gt;"",$P32&lt;&gt;"",$Q32&lt;&gt;"",$R32&lt;&gt;"",$V32&lt;&gt;"",$V32&lt;&gt;"Not Created"),IF($S32&lt;&gt;"",IF(AND($S32&lt;=TODAY(),_xlpm.core,_xlpm.reqOK),"Completed","Incomplete"),IF($Q32="","Planned",IF(TODAY()&lt;$Q32,"Planned",IF($R32="","In Progress",IF(TODAY()&lt;=$R32,"In Progress","Overdue")))))))</f>
        <v/>
      </c>
      <c r="U32" s="155" t="str">
        <f t="shared" si="1"/>
        <v/>
      </c>
      <c r="V32" s="158" t="str" cm="1">
        <f t="array" ref="V32">IF($C32="","",IFERROR(_xlfn.LET(_xlpm.x,_xlfn.UNIQUE(_xlfn._xlws.FILTER('14. Recovery &amp; Response'!$B$6:$B$105,('14. Recovery &amp; Response'!$C$6:$C$105=$C32)*('14. Recovery &amp; Response'!$B$6:$B$105&lt;&gt;""))),_xlfn.TEXTJOIN(",",TRUE,_xlpm.x)),"Not Created"))</f>
        <v/>
      </c>
      <c r="W32" s="166"/>
    </row>
    <row r="33" spans="1:23" x14ac:dyDescent="0.35">
      <c r="A33" s="161">
        <v>29</v>
      </c>
      <c r="B33" s="159"/>
      <c r="C33" s="154" t="str">
        <f t="shared" si="0"/>
        <v/>
      </c>
      <c r="D33" s="155" t="str" cm="1">
        <f t="array" ref="D33">IF($B33="","",IFERROR(_xlfn.XLOOKUP($B33,INDEX(RiskAssessment[],0,2),INDEX(RiskAssessment[],0,5),""),""))</f>
        <v/>
      </c>
      <c r="E33" s="156" t="str" cm="1">
        <f t="array" ref="E33">IF($B33="","",IFERROR(_xlfn.XLOOKUP($B33,INDEX(RiskAssessment[],0,2),INDEX(RiskAssessment[],0,7),""),""))</f>
        <v/>
      </c>
      <c r="F33" s="156" t="str" cm="1">
        <f t="array" ref="F33">IF($B33="","",IFERROR(_xlfn.XLOOKUP($B33,INDEX(RiskAssessment[],0,2),INDEX(RiskAssessment[],0,8),""),""))</f>
        <v/>
      </c>
      <c r="G33" s="259" t="str">
        <f>IF($B33="","",_xlfn.XLOOKUP($B33,'10. Risk Assessment'!$B$5:$B$34,'10. Risk Assessment'!$F$5:$F$34,""))</f>
        <v/>
      </c>
      <c r="H33" s="160"/>
      <c r="I33" s="166"/>
      <c r="J33" s="159"/>
      <c r="K33" s="159"/>
      <c r="L33" s="159"/>
      <c r="M33" s="159"/>
      <c r="N33" s="159"/>
      <c r="O33" s="159"/>
      <c r="P33" s="166"/>
      <c r="Q33" s="269"/>
      <c r="R33" s="269"/>
      <c r="S33" s="269"/>
      <c r="T33" s="155" t="str" cm="1">
        <f t="array" aca="1" ref="T33" ca="1">IF($B33="","",_xlfn.LET(_xlpm.flag,$J33:$O33,_xlpm.total,COUNTIFS('12. Requirements Register'!$C$5:$C$304,$C33,'12. Requirements Register'!$E$5:$E$304,$J$4:$O$4),_xlpm.readyCount,COUNTIFS('12. Requirements Register'!$C$5:$C$304,$C33,'12. Requirements Register'!$E$5:$E$304,$J$4:$O$4,'12. Requirements Register'!$M$5:$M$304,"Ready"),_xlpm.reqOK,SUM(--(_xlpm.flag="Yes")*--(_xlpm.total&gt;0)*--(_xlpm.readyCount=_xlpm.total))=COUNTIF(_xlpm.flag,"Yes"),_xlpm.core,AND($H33&lt;&gt;"",$I33&lt;&gt;"",$P33&lt;&gt;"",$Q33&lt;&gt;"",$R33&lt;&gt;"",$V33&lt;&gt;"",$V33&lt;&gt;"Not Created"),IF($S33&lt;&gt;"",IF(AND($S33&lt;=TODAY(),_xlpm.core,_xlpm.reqOK),"Completed","Incomplete"),IF($Q33="","Planned",IF(TODAY()&lt;$Q33,"Planned",IF($R33="","In Progress",IF(TODAY()&lt;=$R33,"In Progress","Overdue")))))))</f>
        <v/>
      </c>
      <c r="U33" s="155" t="str">
        <f t="shared" si="1"/>
        <v/>
      </c>
      <c r="V33" s="158" t="str" cm="1">
        <f t="array" ref="V33">IF($C33="","",IFERROR(_xlfn.LET(_xlpm.x,_xlfn.UNIQUE(_xlfn._xlws.FILTER('14. Recovery &amp; Response'!$B$6:$B$105,('14. Recovery &amp; Response'!$C$6:$C$105=$C33)*('14. Recovery &amp; Response'!$B$6:$B$105&lt;&gt;""))),_xlfn.TEXTJOIN(",",TRUE,_xlpm.x)),"Not Created"))</f>
        <v/>
      </c>
      <c r="W33" s="166"/>
    </row>
    <row r="34" spans="1:23" ht="59.65" customHeight="1" x14ac:dyDescent="0.35">
      <c r="A34" s="161">
        <v>30</v>
      </c>
      <c r="B34" s="159" t="s">
        <v>960</v>
      </c>
      <c r="C34" s="154" t="str">
        <f t="shared" si="0"/>
        <v>SS-030</v>
      </c>
      <c r="D34" s="155" t="str" cm="1">
        <f t="array" ref="D34">IF($B34="","",IFERROR(_xlfn.XLOOKUP($B34,INDEX(RiskAssessment[],0,2),INDEX(RiskAssessment[],0,5),""),""))</f>
        <v>People</v>
      </c>
      <c r="E34" s="156" t="str" cm="1">
        <f t="array" ref="E34">IF($B34="","",IFERROR(_xlfn.XLOOKUP($B34,INDEX(RiskAssessment[],0,2),INDEX(RiskAssessment[],0,7),""),""))</f>
        <v>Workforce evacuation</v>
      </c>
      <c r="F34" s="156" t="str" cm="1">
        <f t="array" ref="F34">IF($B34="","",IFERROR(_xlfn.XLOOKUP($B34,INDEX(RiskAssessment[],0,2),INDEX(RiskAssessment[],0,8),""),""))</f>
        <v>Inability to deliver the associated products/services due to [Workforce evacuation]</v>
      </c>
      <c r="G34" s="259" t="str">
        <f>IF($B34="","",_xlfn.XLOOKUP($B34,'10. Risk Assessment'!$B$5:$B$34,'10. Risk Assessment'!$F$5:$F$34,""))</f>
        <v>cb</v>
      </c>
      <c r="H34" s="160" t="s">
        <v>356</v>
      </c>
      <c r="I34" s="166"/>
      <c r="J34" s="159"/>
      <c r="K34" s="159"/>
      <c r="L34" s="159"/>
      <c r="M34" s="159"/>
      <c r="N34" s="159"/>
      <c r="O34" s="159"/>
      <c r="P34" s="166"/>
      <c r="Q34" s="269"/>
      <c r="R34" s="269"/>
      <c r="S34" s="269"/>
      <c r="T34" s="155" t="str" cm="1">
        <f t="array" aca="1" ref="T34" ca="1">IF($B34="","",_xlfn.LET(_xlpm.flag,$J34:$O34,_xlpm.total,COUNTIFS('12. Requirements Register'!$C$5:$C$304,$C34,'12. Requirements Register'!$E$5:$E$304,$J$4:$O$4),_xlpm.readyCount,COUNTIFS('12. Requirements Register'!$C$5:$C$304,$C34,'12. Requirements Register'!$E$5:$E$304,$J$4:$O$4,'12. Requirements Register'!$M$5:$M$304,"Ready"),_xlpm.reqOK,SUM(--(_xlpm.flag="Yes")*--(_xlpm.total&gt;0)*--(_xlpm.readyCount=_xlpm.total))=COUNTIF(_xlpm.flag,"Yes"),_xlpm.core,AND($H34&lt;&gt;"",$I34&lt;&gt;"",$P34&lt;&gt;"",$Q34&lt;&gt;"",$R34&lt;&gt;"",$V34&lt;&gt;"",$V34&lt;&gt;"Not Created"),IF($S34&lt;&gt;"",IF(AND($S34&lt;=TODAY(),_xlpm.core,_xlpm.reqOK),"Completed","Incomplete"),IF($Q34="","Planned",IF(TODAY()&lt;$Q34,"Planned",IF($R34="","In Progress",IF(TODAY()&lt;=$R34,"In Progress","Overdue")))))))</f>
        <v>Planned</v>
      </c>
      <c r="U34" s="155" t="str">
        <f t="shared" si="1"/>
        <v>OK</v>
      </c>
      <c r="V34" s="158" t="str" cm="1">
        <f t="array" ref="V34">IF($C34="","",IFERROR(_xlfn.LET(_xlpm.x,_xlfn.UNIQUE(_xlfn._xlws.FILTER('14. Recovery &amp; Response'!$B$6:$B$105,('14. Recovery &amp; Response'!$C$6:$C$105=$C34)*('14. Recovery &amp; Response'!$B$6:$B$105&lt;&gt;""))),_xlfn.TEXTJOIN(",",TRUE,_xlpm.x)),"Not Created"))</f>
        <v>RR-001</v>
      </c>
      <c r="W34" s="166"/>
    </row>
    <row r="35" spans="1:23" x14ac:dyDescent="0.35">
      <c r="A35" s="161">
        <v>31</v>
      </c>
      <c r="B35" s="159"/>
      <c r="C35" s="154" t="str">
        <f t="shared" si="0"/>
        <v/>
      </c>
      <c r="D35" s="155" t="str" cm="1">
        <f t="array" ref="D35">IF($B35="","",IFERROR(_xlfn.XLOOKUP($B35,INDEX(RiskAssessment[],0,2),INDEX(RiskAssessment[],0,5),""),""))</f>
        <v/>
      </c>
      <c r="E35" s="156" t="str" cm="1">
        <f t="array" ref="E35">IF($B35="","",IFERROR(_xlfn.XLOOKUP($B35,INDEX(RiskAssessment[],0,2),INDEX(RiskAssessment[],0,7),""),""))</f>
        <v/>
      </c>
      <c r="F35" s="156" t="str" cm="1">
        <f t="array" ref="F35">IF($B35="","",IFERROR(_xlfn.XLOOKUP($B35,INDEX(RiskAssessment[],0,2),INDEX(RiskAssessment[],0,8),""),""))</f>
        <v/>
      </c>
      <c r="G35" s="259" t="str">
        <f>IF($B35="","",_xlfn.XLOOKUP($B35,'10. Risk Assessment'!$B$5:$B$34,'10. Risk Assessment'!$F$5:$F$34,""))</f>
        <v/>
      </c>
      <c r="H35" s="160"/>
      <c r="I35" s="166"/>
      <c r="J35" s="159"/>
      <c r="K35" s="159"/>
      <c r="L35" s="159"/>
      <c r="M35" s="159"/>
      <c r="N35" s="159"/>
      <c r="O35" s="159"/>
      <c r="P35" s="166"/>
      <c r="Q35" s="269"/>
      <c r="R35" s="269"/>
      <c r="S35" s="269"/>
      <c r="T35" s="155" t="str" cm="1">
        <f t="array" aca="1" ref="T35" ca="1">IF($B35="","",_xlfn.LET(_xlpm.flag,$J35:$O35,_xlpm.total,COUNTIFS('12. Requirements Register'!$C$5:$C$304,$C35,'12. Requirements Register'!$E$5:$E$304,$J$4:$O$4),_xlpm.readyCount,COUNTIFS('12. Requirements Register'!$C$5:$C$304,$C35,'12. Requirements Register'!$E$5:$E$304,$J$4:$O$4,'12. Requirements Register'!$M$5:$M$304,"Ready"),_xlpm.reqOK,SUM(--(_xlpm.flag="Yes")*--(_xlpm.total&gt;0)*--(_xlpm.readyCount=_xlpm.total))=COUNTIF(_xlpm.flag,"Yes"),_xlpm.core,AND($H35&lt;&gt;"",$I35&lt;&gt;"",$P35&lt;&gt;"",$Q35&lt;&gt;"",$R35&lt;&gt;"",$V35&lt;&gt;"",$V35&lt;&gt;"Not Created"),IF($S35&lt;&gt;"",IF(AND($S35&lt;=TODAY(),_xlpm.core,_xlpm.reqOK),"Completed","Incomplete"),IF($Q35="","Planned",IF(TODAY()&lt;$Q35,"Planned",IF($R35="","In Progress",IF(TODAY()&lt;=$R35,"In Progress","Overdue")))))))</f>
        <v/>
      </c>
      <c r="U35" s="155" t="str">
        <f t="shared" si="1"/>
        <v/>
      </c>
      <c r="V35" s="158" t="str" cm="1">
        <f t="array" ref="V35">IF($C35="","",IFERROR(_xlfn.LET(_xlpm.x,_xlfn.UNIQUE(_xlfn._xlws.FILTER('14. Recovery &amp; Response'!$B$6:$B$105,('14. Recovery &amp; Response'!$C$6:$C$105=$C35)*('14. Recovery &amp; Response'!$B$6:$B$105&lt;&gt;""))),_xlfn.TEXTJOIN(",",TRUE,_xlpm.x)),"Not Created"))</f>
        <v/>
      </c>
      <c r="W35" s="166"/>
    </row>
    <row r="36" spans="1:23" x14ac:dyDescent="0.35">
      <c r="A36" s="161">
        <v>32</v>
      </c>
      <c r="B36" s="159"/>
      <c r="C36" s="154" t="str">
        <f t="shared" si="0"/>
        <v/>
      </c>
      <c r="D36" s="155" t="str" cm="1">
        <f t="array" ref="D36">IF($B36="","",IFERROR(_xlfn.XLOOKUP($B36,INDEX(RiskAssessment[],0,2),INDEX(RiskAssessment[],0,5),""),""))</f>
        <v/>
      </c>
      <c r="E36" s="156" t="str" cm="1">
        <f t="array" ref="E36">IF($B36="","",IFERROR(_xlfn.XLOOKUP($B36,INDEX(RiskAssessment[],0,2),INDEX(RiskAssessment[],0,7),""),""))</f>
        <v/>
      </c>
      <c r="F36" s="156" t="str" cm="1">
        <f t="array" ref="F36">IF($B36="","",IFERROR(_xlfn.XLOOKUP($B36,INDEX(RiskAssessment[],0,2),INDEX(RiskAssessment[],0,8),""),""))</f>
        <v/>
      </c>
      <c r="G36" s="259" t="str">
        <f>IF($B36="","",_xlfn.XLOOKUP($B36,'10. Risk Assessment'!$B$5:$B$34,'10. Risk Assessment'!$F$5:$F$34,""))</f>
        <v/>
      </c>
      <c r="H36" s="160"/>
      <c r="I36" s="166"/>
      <c r="J36" s="159"/>
      <c r="K36" s="159"/>
      <c r="L36" s="159"/>
      <c r="M36" s="159"/>
      <c r="N36" s="159"/>
      <c r="O36" s="159"/>
      <c r="P36" s="166"/>
      <c r="Q36" s="269"/>
      <c r="R36" s="269"/>
      <c r="S36" s="269"/>
      <c r="T36" s="155" t="str" cm="1">
        <f t="array" aca="1" ref="T36" ca="1">IF($B36="","",_xlfn.LET(_xlpm.flag,$J36:$O36,_xlpm.total,COUNTIFS('12. Requirements Register'!$C$5:$C$304,$C36,'12. Requirements Register'!$E$5:$E$304,$J$4:$O$4),_xlpm.readyCount,COUNTIFS('12. Requirements Register'!$C$5:$C$304,$C36,'12. Requirements Register'!$E$5:$E$304,$J$4:$O$4,'12. Requirements Register'!$M$5:$M$304,"Ready"),_xlpm.reqOK,SUM(--(_xlpm.flag="Yes")*--(_xlpm.total&gt;0)*--(_xlpm.readyCount=_xlpm.total))=COUNTIF(_xlpm.flag,"Yes"),_xlpm.core,AND($H36&lt;&gt;"",$I36&lt;&gt;"",$P36&lt;&gt;"",$Q36&lt;&gt;"",$R36&lt;&gt;"",$V36&lt;&gt;"",$V36&lt;&gt;"Not Created"),IF($S36&lt;&gt;"",IF(AND($S36&lt;=TODAY(),_xlpm.core,_xlpm.reqOK),"Completed","Incomplete"),IF($Q36="","Planned",IF(TODAY()&lt;$Q36,"Planned",IF($R36="","In Progress",IF(TODAY()&lt;=$R36,"In Progress","Overdue")))))))</f>
        <v/>
      </c>
      <c r="U36" s="155" t="str">
        <f t="shared" si="1"/>
        <v/>
      </c>
      <c r="V36" s="158" t="str" cm="1">
        <f t="array" ref="V36">IF($C36="","",IFERROR(_xlfn.LET(_xlpm.x,_xlfn.UNIQUE(_xlfn._xlws.FILTER('14. Recovery &amp; Response'!$B$6:$B$105,('14. Recovery &amp; Response'!$C$6:$C$105=$C36)*('14. Recovery &amp; Response'!$B$6:$B$105&lt;&gt;""))),_xlfn.TEXTJOIN(",",TRUE,_xlpm.x)),"Not Created"))</f>
        <v/>
      </c>
      <c r="W36" s="166"/>
    </row>
    <row r="37" spans="1:23" x14ac:dyDescent="0.35">
      <c r="A37" s="161">
        <v>33</v>
      </c>
      <c r="B37" s="159"/>
      <c r="C37" s="154" t="str">
        <f t="shared" ref="C37:C64" si="2">IF($B37="","","SS-"&amp;TEXT($A37,"000"))</f>
        <v/>
      </c>
      <c r="D37" s="155" t="str" cm="1">
        <f t="array" ref="D37">IF($B37="","",IFERROR(_xlfn.XLOOKUP($B37,INDEX(RiskAssessment[],0,2),INDEX(RiskAssessment[],0,5),""),""))</f>
        <v/>
      </c>
      <c r="E37" s="156" t="str" cm="1">
        <f t="array" ref="E37">IF($B37="","",IFERROR(_xlfn.XLOOKUP($B37,INDEX(RiskAssessment[],0,2),INDEX(RiskAssessment[],0,7),""),""))</f>
        <v/>
      </c>
      <c r="F37" s="156" t="str" cm="1">
        <f t="array" ref="F37">IF($B37="","",IFERROR(_xlfn.XLOOKUP($B37,INDEX(RiskAssessment[],0,2),INDEX(RiskAssessment[],0,8),""),""))</f>
        <v/>
      </c>
      <c r="G37" s="259" t="str">
        <f>IF($B37="","",_xlfn.XLOOKUP($B37,'10. Risk Assessment'!$B$5:$B$34,'10. Risk Assessment'!$F$5:$F$34,""))</f>
        <v/>
      </c>
      <c r="H37" s="160"/>
      <c r="I37" s="166"/>
      <c r="J37" s="159"/>
      <c r="K37" s="159"/>
      <c r="L37" s="159"/>
      <c r="M37" s="159"/>
      <c r="N37" s="159"/>
      <c r="O37" s="159"/>
      <c r="P37" s="166"/>
      <c r="Q37" s="269"/>
      <c r="R37" s="269"/>
      <c r="S37" s="269"/>
      <c r="T37" s="155" t="str" cm="1">
        <f t="array" aca="1" ref="T37" ca="1">IF($B37="","",_xlfn.LET(_xlpm.flag,$J37:$O37,_xlpm.total,COUNTIFS('12. Requirements Register'!$C$5:$C$304,$C37,'12. Requirements Register'!$E$5:$E$304,$J$4:$O$4),_xlpm.readyCount,COUNTIFS('12. Requirements Register'!$C$5:$C$304,$C37,'12. Requirements Register'!$E$5:$E$304,$J$4:$O$4,'12. Requirements Register'!$M$5:$M$304,"Ready"),_xlpm.reqOK,SUM(--(_xlpm.flag="Yes")*--(_xlpm.total&gt;0)*--(_xlpm.readyCount=_xlpm.total))=COUNTIF(_xlpm.flag,"Yes"),_xlpm.core,AND($H37&lt;&gt;"",$I37&lt;&gt;"",$P37&lt;&gt;"",$Q37&lt;&gt;"",$R37&lt;&gt;"",$V37&lt;&gt;"",$V37&lt;&gt;"Not Created"),IF($S37&lt;&gt;"",IF(AND($S37&lt;=TODAY(),_xlpm.core,_xlpm.reqOK),"Completed","Incomplete"),IF($Q37="","Planned",IF(TODAY()&lt;$Q37,"Planned",IF($R37="","In Progress",IF(TODAY()&lt;=$R37,"In Progress","Overdue")))))))</f>
        <v/>
      </c>
      <c r="U37" s="155" t="str">
        <f t="shared" si="1"/>
        <v/>
      </c>
      <c r="V37" s="158" t="str" cm="1">
        <f t="array" ref="V37">IF($C37="","",IFERROR(_xlfn.LET(_xlpm.x,_xlfn.UNIQUE(_xlfn._xlws.FILTER('14. Recovery &amp; Response'!$B$6:$B$105,('14. Recovery &amp; Response'!$C$6:$C$105=$C37)*('14. Recovery &amp; Response'!$B$6:$B$105&lt;&gt;""))),_xlfn.TEXTJOIN(",",TRUE,_xlpm.x)),"Not Created"))</f>
        <v/>
      </c>
      <c r="W37" s="166"/>
    </row>
    <row r="38" spans="1:23" x14ac:dyDescent="0.35">
      <c r="A38" s="161">
        <v>34</v>
      </c>
      <c r="B38" s="159"/>
      <c r="C38" s="154" t="str">
        <f t="shared" si="2"/>
        <v/>
      </c>
      <c r="D38" s="155" t="str" cm="1">
        <f t="array" ref="D38">IF($B38="","",IFERROR(_xlfn.XLOOKUP($B38,INDEX(RiskAssessment[],0,2),INDEX(RiskAssessment[],0,5),""),""))</f>
        <v/>
      </c>
      <c r="E38" s="156" t="str" cm="1">
        <f t="array" ref="E38">IF($B38="","",IFERROR(_xlfn.XLOOKUP($B38,INDEX(RiskAssessment[],0,2),INDEX(RiskAssessment[],0,7),""),""))</f>
        <v/>
      </c>
      <c r="F38" s="156" t="str" cm="1">
        <f t="array" ref="F38">IF($B38="","",IFERROR(_xlfn.XLOOKUP($B38,INDEX(RiskAssessment[],0,2),INDEX(RiskAssessment[],0,8),""),""))</f>
        <v/>
      </c>
      <c r="G38" s="259" t="str">
        <f>IF($B38="","",_xlfn.XLOOKUP($B38,'10. Risk Assessment'!$B$5:$B$34,'10. Risk Assessment'!$F$5:$F$34,""))</f>
        <v/>
      </c>
      <c r="H38" s="160"/>
      <c r="I38" s="166"/>
      <c r="J38" s="159"/>
      <c r="K38" s="159"/>
      <c r="L38" s="159"/>
      <c r="M38" s="159"/>
      <c r="N38" s="159"/>
      <c r="O38" s="159"/>
      <c r="P38" s="166"/>
      <c r="Q38" s="269"/>
      <c r="R38" s="269"/>
      <c r="S38" s="269"/>
      <c r="T38" s="155" t="str" cm="1">
        <f t="array" aca="1" ref="T38" ca="1">IF($B38="","",_xlfn.LET(_xlpm.flag,$J38:$O38,_xlpm.total,COUNTIFS('12. Requirements Register'!$C$5:$C$304,$C38,'12. Requirements Register'!$E$5:$E$304,$J$4:$O$4),_xlpm.readyCount,COUNTIFS('12. Requirements Register'!$C$5:$C$304,$C38,'12. Requirements Register'!$E$5:$E$304,$J$4:$O$4,'12. Requirements Register'!$M$5:$M$304,"Ready"),_xlpm.reqOK,SUM(--(_xlpm.flag="Yes")*--(_xlpm.total&gt;0)*--(_xlpm.readyCount=_xlpm.total))=COUNTIF(_xlpm.flag,"Yes"),_xlpm.core,AND($H38&lt;&gt;"",$I38&lt;&gt;"",$P38&lt;&gt;"",$Q38&lt;&gt;"",$R38&lt;&gt;"",$V38&lt;&gt;"",$V38&lt;&gt;"Not Created"),IF($S38&lt;&gt;"",IF(AND($S38&lt;=TODAY(),_xlpm.core,_xlpm.reqOK),"Completed","Incomplete"),IF($Q38="","Planned",IF(TODAY()&lt;$Q38,"Planned",IF($R38="","In Progress",IF(TODAY()&lt;=$R38,"In Progress","Overdue")))))))</f>
        <v/>
      </c>
      <c r="U38" s="155" t="str">
        <f t="shared" si="1"/>
        <v/>
      </c>
      <c r="V38" s="158" t="str" cm="1">
        <f t="array" ref="V38">IF($C38="","",IFERROR(_xlfn.LET(_xlpm.x,_xlfn.UNIQUE(_xlfn._xlws.FILTER('14. Recovery &amp; Response'!$B$6:$B$105,('14. Recovery &amp; Response'!$C$6:$C$105=$C38)*('14. Recovery &amp; Response'!$B$6:$B$105&lt;&gt;""))),_xlfn.TEXTJOIN(",",TRUE,_xlpm.x)),"Not Created"))</f>
        <v/>
      </c>
      <c r="W38" s="166"/>
    </row>
    <row r="39" spans="1:23" x14ac:dyDescent="0.35">
      <c r="A39" s="161">
        <v>35</v>
      </c>
      <c r="B39" s="159"/>
      <c r="C39" s="154" t="str">
        <f t="shared" si="2"/>
        <v/>
      </c>
      <c r="D39" s="155" t="str" cm="1">
        <f t="array" ref="D39">IF($B39="","",IFERROR(_xlfn.XLOOKUP($B39,INDEX(RiskAssessment[],0,2),INDEX(RiskAssessment[],0,5),""),""))</f>
        <v/>
      </c>
      <c r="E39" s="156" t="str" cm="1">
        <f t="array" ref="E39">IF($B39="","",IFERROR(_xlfn.XLOOKUP($B39,INDEX(RiskAssessment[],0,2),INDEX(RiskAssessment[],0,7),""),""))</f>
        <v/>
      </c>
      <c r="F39" s="156" t="str" cm="1">
        <f t="array" ref="F39">IF($B39="","",IFERROR(_xlfn.XLOOKUP($B39,INDEX(RiskAssessment[],0,2),INDEX(RiskAssessment[],0,8),""),""))</f>
        <v/>
      </c>
      <c r="G39" s="259" t="str">
        <f>IF($B39="","",_xlfn.XLOOKUP($B39,'10. Risk Assessment'!$B$5:$B$34,'10. Risk Assessment'!$F$5:$F$34,""))</f>
        <v/>
      </c>
      <c r="H39" s="160"/>
      <c r="I39" s="166"/>
      <c r="J39" s="159"/>
      <c r="K39" s="159"/>
      <c r="L39" s="159"/>
      <c r="M39" s="159"/>
      <c r="N39" s="159"/>
      <c r="O39" s="159"/>
      <c r="P39" s="166"/>
      <c r="Q39" s="269"/>
      <c r="R39" s="269"/>
      <c r="S39" s="269"/>
      <c r="T39" s="155" t="str" cm="1">
        <f t="array" aca="1" ref="T39" ca="1">IF($B39="","",_xlfn.LET(_xlpm.flag,$J39:$O39,_xlpm.total,COUNTIFS('12. Requirements Register'!$C$5:$C$304,$C39,'12. Requirements Register'!$E$5:$E$304,$J$4:$O$4),_xlpm.readyCount,COUNTIFS('12. Requirements Register'!$C$5:$C$304,$C39,'12. Requirements Register'!$E$5:$E$304,$J$4:$O$4,'12. Requirements Register'!$M$5:$M$304,"Ready"),_xlpm.reqOK,SUM(--(_xlpm.flag="Yes")*--(_xlpm.total&gt;0)*--(_xlpm.readyCount=_xlpm.total))=COUNTIF(_xlpm.flag,"Yes"),_xlpm.core,AND($H39&lt;&gt;"",$I39&lt;&gt;"",$P39&lt;&gt;"",$Q39&lt;&gt;"",$R39&lt;&gt;"",$V39&lt;&gt;"",$V39&lt;&gt;"Not Created"),IF($S39&lt;&gt;"",IF(AND($S39&lt;=TODAY(),_xlpm.core,_xlpm.reqOK),"Completed","Incomplete"),IF($Q39="","Planned",IF(TODAY()&lt;$Q39,"Planned",IF($R39="","In Progress",IF(TODAY()&lt;=$R39,"In Progress","Overdue")))))))</f>
        <v/>
      </c>
      <c r="U39" s="155" t="str">
        <f t="shared" si="1"/>
        <v/>
      </c>
      <c r="V39" s="158" t="str" cm="1">
        <f t="array" ref="V39">IF($C39="","",IFERROR(_xlfn.LET(_xlpm.x,_xlfn.UNIQUE(_xlfn._xlws.FILTER('14. Recovery &amp; Response'!$B$6:$B$105,('14. Recovery &amp; Response'!$C$6:$C$105=$C39)*('14. Recovery &amp; Response'!$B$6:$B$105&lt;&gt;""))),_xlfn.TEXTJOIN(",",TRUE,_xlpm.x)),"Not Created"))</f>
        <v/>
      </c>
      <c r="W39" s="166"/>
    </row>
    <row r="40" spans="1:23" x14ac:dyDescent="0.35">
      <c r="A40" s="161">
        <v>36</v>
      </c>
      <c r="B40" s="159"/>
      <c r="C40" s="154" t="str">
        <f t="shared" si="2"/>
        <v/>
      </c>
      <c r="D40" s="155" t="str" cm="1">
        <f t="array" ref="D40">IF($B40="","",IFERROR(_xlfn.XLOOKUP($B40,INDEX(RiskAssessment[],0,2),INDEX(RiskAssessment[],0,5),""),""))</f>
        <v/>
      </c>
      <c r="E40" s="156" t="str" cm="1">
        <f t="array" ref="E40">IF($B40="","",IFERROR(_xlfn.XLOOKUP($B40,INDEX(RiskAssessment[],0,2),INDEX(RiskAssessment[],0,7),""),""))</f>
        <v/>
      </c>
      <c r="F40" s="156" t="str" cm="1">
        <f t="array" ref="F40">IF($B40="","",IFERROR(_xlfn.XLOOKUP($B40,INDEX(RiskAssessment[],0,2),INDEX(RiskAssessment[],0,8),""),""))</f>
        <v/>
      </c>
      <c r="G40" s="259" t="str">
        <f>IF($B40="","",_xlfn.XLOOKUP($B40,'10. Risk Assessment'!$B$5:$B$34,'10. Risk Assessment'!$F$5:$F$34,""))</f>
        <v/>
      </c>
      <c r="H40" s="160"/>
      <c r="I40" s="166"/>
      <c r="J40" s="159"/>
      <c r="K40" s="159"/>
      <c r="L40" s="159"/>
      <c r="M40" s="159"/>
      <c r="N40" s="159"/>
      <c r="O40" s="159"/>
      <c r="P40" s="166"/>
      <c r="Q40" s="269"/>
      <c r="R40" s="269"/>
      <c r="S40" s="269"/>
      <c r="T40" s="155" t="str" cm="1">
        <f t="array" aca="1" ref="T40" ca="1">IF($B40="","",_xlfn.LET(_xlpm.flag,$J40:$O40,_xlpm.total,COUNTIFS('12. Requirements Register'!$C$5:$C$304,$C40,'12. Requirements Register'!$E$5:$E$304,$J$4:$O$4),_xlpm.readyCount,COUNTIFS('12. Requirements Register'!$C$5:$C$304,$C40,'12. Requirements Register'!$E$5:$E$304,$J$4:$O$4,'12. Requirements Register'!$M$5:$M$304,"Ready"),_xlpm.reqOK,SUM(--(_xlpm.flag="Yes")*--(_xlpm.total&gt;0)*--(_xlpm.readyCount=_xlpm.total))=COUNTIF(_xlpm.flag,"Yes"),_xlpm.core,AND($H40&lt;&gt;"",$I40&lt;&gt;"",$P40&lt;&gt;"",$Q40&lt;&gt;"",$R40&lt;&gt;"",$V40&lt;&gt;"",$V40&lt;&gt;"Not Created"),IF($S40&lt;&gt;"",IF(AND($S40&lt;=TODAY(),_xlpm.core,_xlpm.reqOK),"Completed","Incomplete"),IF($Q40="","Planned",IF(TODAY()&lt;$Q40,"Planned",IF($R40="","In Progress",IF(TODAY()&lt;=$R40,"In Progress","Overdue")))))))</f>
        <v/>
      </c>
      <c r="U40" s="155" t="str">
        <f t="shared" si="1"/>
        <v/>
      </c>
      <c r="V40" s="158" t="str" cm="1">
        <f t="array" ref="V40">IF($C40="","",IFERROR(_xlfn.LET(_xlpm.x,_xlfn.UNIQUE(_xlfn._xlws.FILTER('14. Recovery &amp; Response'!$B$6:$B$105,('14. Recovery &amp; Response'!$C$6:$C$105=$C40)*('14. Recovery &amp; Response'!$B$6:$B$105&lt;&gt;""))),_xlfn.TEXTJOIN(",",TRUE,_xlpm.x)),"Not Created"))</f>
        <v/>
      </c>
      <c r="W40" s="166"/>
    </row>
    <row r="41" spans="1:23" x14ac:dyDescent="0.35">
      <c r="A41" s="161">
        <v>37</v>
      </c>
      <c r="B41" s="159"/>
      <c r="C41" s="154" t="str">
        <f t="shared" si="2"/>
        <v/>
      </c>
      <c r="D41" s="155" t="str" cm="1">
        <f t="array" ref="D41">IF($B41="","",IFERROR(_xlfn.XLOOKUP($B41,INDEX(RiskAssessment[],0,2),INDEX(RiskAssessment[],0,5),""),""))</f>
        <v/>
      </c>
      <c r="E41" s="156" t="str" cm="1">
        <f t="array" ref="E41">IF($B41="","",IFERROR(_xlfn.XLOOKUP($B41,INDEX(RiskAssessment[],0,2),INDEX(RiskAssessment[],0,7),""),""))</f>
        <v/>
      </c>
      <c r="F41" s="156" t="str" cm="1">
        <f t="array" ref="F41">IF($B41="","",IFERROR(_xlfn.XLOOKUP($B41,INDEX(RiskAssessment[],0,2),INDEX(RiskAssessment[],0,8),""),""))</f>
        <v/>
      </c>
      <c r="G41" s="259" t="str">
        <f>IF($B41="","",_xlfn.XLOOKUP($B41,'10. Risk Assessment'!$B$5:$B$34,'10. Risk Assessment'!$F$5:$F$34,""))</f>
        <v/>
      </c>
      <c r="H41" s="160"/>
      <c r="I41" s="166"/>
      <c r="J41" s="159"/>
      <c r="K41" s="159"/>
      <c r="L41" s="159"/>
      <c r="M41" s="159"/>
      <c r="N41" s="159"/>
      <c r="O41" s="159"/>
      <c r="P41" s="166"/>
      <c r="Q41" s="269"/>
      <c r="R41" s="269"/>
      <c r="S41" s="269"/>
      <c r="T41" s="155" t="str" cm="1">
        <f t="array" aca="1" ref="T41" ca="1">IF($B41="","",_xlfn.LET(_xlpm.flag,$J41:$O41,_xlpm.total,COUNTIFS('12. Requirements Register'!$C$5:$C$304,$C41,'12. Requirements Register'!$E$5:$E$304,$J$4:$O$4),_xlpm.readyCount,COUNTIFS('12. Requirements Register'!$C$5:$C$304,$C41,'12. Requirements Register'!$E$5:$E$304,$J$4:$O$4,'12. Requirements Register'!$M$5:$M$304,"Ready"),_xlpm.reqOK,SUM(--(_xlpm.flag="Yes")*--(_xlpm.total&gt;0)*--(_xlpm.readyCount=_xlpm.total))=COUNTIF(_xlpm.flag,"Yes"),_xlpm.core,AND($H41&lt;&gt;"",$I41&lt;&gt;"",$P41&lt;&gt;"",$Q41&lt;&gt;"",$R41&lt;&gt;"",$V41&lt;&gt;"",$V41&lt;&gt;"Not Created"),IF($S41&lt;&gt;"",IF(AND($S41&lt;=TODAY(),_xlpm.core,_xlpm.reqOK),"Completed","Incomplete"),IF($Q41="","Planned",IF(TODAY()&lt;$Q41,"Planned",IF($R41="","In Progress",IF(TODAY()&lt;=$R41,"In Progress","Overdue")))))))</f>
        <v/>
      </c>
      <c r="U41" s="155" t="str">
        <f t="shared" si="1"/>
        <v/>
      </c>
      <c r="V41" s="158" t="str" cm="1">
        <f t="array" ref="V41">IF($C41="","",IFERROR(_xlfn.LET(_xlpm.x,_xlfn.UNIQUE(_xlfn._xlws.FILTER('14. Recovery &amp; Response'!$B$6:$B$105,('14. Recovery &amp; Response'!$C$6:$C$105=$C41)*('14. Recovery &amp; Response'!$B$6:$B$105&lt;&gt;""))),_xlfn.TEXTJOIN(",",TRUE,_xlpm.x)),"Not Created"))</f>
        <v/>
      </c>
      <c r="W41" s="166"/>
    </row>
    <row r="42" spans="1:23" x14ac:dyDescent="0.35">
      <c r="A42" s="161">
        <v>38</v>
      </c>
      <c r="B42" s="159"/>
      <c r="C42" s="154" t="str">
        <f t="shared" si="2"/>
        <v/>
      </c>
      <c r="D42" s="155" t="str" cm="1">
        <f t="array" ref="D42">IF($B42="","",IFERROR(_xlfn.XLOOKUP($B42,INDEX(RiskAssessment[],0,2),INDEX(RiskAssessment[],0,5),""),""))</f>
        <v/>
      </c>
      <c r="E42" s="156" t="str" cm="1">
        <f t="array" ref="E42">IF($B42="","",IFERROR(_xlfn.XLOOKUP($B42,INDEX(RiskAssessment[],0,2),INDEX(RiskAssessment[],0,7),""),""))</f>
        <v/>
      </c>
      <c r="F42" s="156" t="str" cm="1">
        <f t="array" ref="F42">IF($B42="","",IFERROR(_xlfn.XLOOKUP($B42,INDEX(RiskAssessment[],0,2),INDEX(RiskAssessment[],0,8),""),""))</f>
        <v/>
      </c>
      <c r="G42" s="259" t="str">
        <f>IF($B42="","",_xlfn.XLOOKUP($B42,'10. Risk Assessment'!$B$5:$B$34,'10. Risk Assessment'!$F$5:$F$34,""))</f>
        <v/>
      </c>
      <c r="H42" s="160"/>
      <c r="I42" s="166"/>
      <c r="J42" s="159"/>
      <c r="K42" s="159"/>
      <c r="L42" s="159"/>
      <c r="M42" s="159"/>
      <c r="N42" s="159"/>
      <c r="O42" s="159"/>
      <c r="P42" s="166"/>
      <c r="Q42" s="269"/>
      <c r="R42" s="269"/>
      <c r="S42" s="269"/>
      <c r="T42" s="155" t="str" cm="1">
        <f t="array" aca="1" ref="T42" ca="1">IF($B42="","",_xlfn.LET(_xlpm.flag,$J42:$O42,_xlpm.total,COUNTIFS('12. Requirements Register'!$C$5:$C$304,$C42,'12. Requirements Register'!$E$5:$E$304,$J$4:$O$4),_xlpm.readyCount,COUNTIFS('12. Requirements Register'!$C$5:$C$304,$C42,'12. Requirements Register'!$E$5:$E$304,$J$4:$O$4,'12. Requirements Register'!$M$5:$M$304,"Ready"),_xlpm.reqOK,SUM(--(_xlpm.flag="Yes")*--(_xlpm.total&gt;0)*--(_xlpm.readyCount=_xlpm.total))=COUNTIF(_xlpm.flag,"Yes"),_xlpm.core,AND($H42&lt;&gt;"",$I42&lt;&gt;"",$P42&lt;&gt;"",$Q42&lt;&gt;"",$R42&lt;&gt;"",$V42&lt;&gt;"",$V42&lt;&gt;"Not Created"),IF($S42&lt;&gt;"",IF(AND($S42&lt;=TODAY(),_xlpm.core,_xlpm.reqOK),"Completed","Incomplete"),IF($Q42="","Planned",IF(TODAY()&lt;$Q42,"Planned",IF($R42="","In Progress",IF(TODAY()&lt;=$R42,"In Progress","Overdue")))))))</f>
        <v/>
      </c>
      <c r="U42" s="155" t="str">
        <f t="shared" si="1"/>
        <v/>
      </c>
      <c r="V42" s="158" t="str" cm="1">
        <f t="array" ref="V42">IF($C42="","",IFERROR(_xlfn.LET(_xlpm.x,_xlfn.UNIQUE(_xlfn._xlws.FILTER('14. Recovery &amp; Response'!$B$6:$B$105,('14. Recovery &amp; Response'!$C$6:$C$105=$C42)*('14. Recovery &amp; Response'!$B$6:$B$105&lt;&gt;""))),_xlfn.TEXTJOIN(",",TRUE,_xlpm.x)),"Not Created"))</f>
        <v/>
      </c>
      <c r="W42" s="166"/>
    </row>
    <row r="43" spans="1:23" x14ac:dyDescent="0.35">
      <c r="A43" s="161">
        <v>39</v>
      </c>
      <c r="B43" s="159"/>
      <c r="C43" s="154" t="str">
        <f t="shared" si="2"/>
        <v/>
      </c>
      <c r="D43" s="155" t="str" cm="1">
        <f t="array" ref="D43">IF($B43="","",IFERROR(_xlfn.XLOOKUP($B43,INDEX(RiskAssessment[],0,2),INDEX(RiskAssessment[],0,5),""),""))</f>
        <v/>
      </c>
      <c r="E43" s="156" t="str" cm="1">
        <f t="array" ref="E43">IF($B43="","",IFERROR(_xlfn.XLOOKUP($B43,INDEX(RiskAssessment[],0,2),INDEX(RiskAssessment[],0,7),""),""))</f>
        <v/>
      </c>
      <c r="F43" s="156" t="str" cm="1">
        <f t="array" ref="F43">IF($B43="","",IFERROR(_xlfn.XLOOKUP($B43,INDEX(RiskAssessment[],0,2),INDEX(RiskAssessment[],0,8),""),""))</f>
        <v/>
      </c>
      <c r="G43" s="259" t="str">
        <f>IF($B43="","",_xlfn.XLOOKUP($B43,'10. Risk Assessment'!$B$5:$B$34,'10. Risk Assessment'!$F$5:$F$34,""))</f>
        <v/>
      </c>
      <c r="H43" s="160"/>
      <c r="I43" s="166"/>
      <c r="J43" s="159"/>
      <c r="K43" s="159"/>
      <c r="L43" s="159"/>
      <c r="M43" s="159"/>
      <c r="N43" s="159"/>
      <c r="O43" s="159"/>
      <c r="P43" s="166"/>
      <c r="Q43" s="269"/>
      <c r="R43" s="269"/>
      <c r="S43" s="269"/>
      <c r="T43" s="155" t="str" cm="1">
        <f t="array" aca="1" ref="T43" ca="1">IF($B43="","",_xlfn.LET(_xlpm.flag,$J43:$O43,_xlpm.total,COUNTIFS('12. Requirements Register'!$C$5:$C$304,$C43,'12. Requirements Register'!$E$5:$E$304,$J$4:$O$4),_xlpm.readyCount,COUNTIFS('12. Requirements Register'!$C$5:$C$304,$C43,'12. Requirements Register'!$E$5:$E$304,$J$4:$O$4,'12. Requirements Register'!$M$5:$M$304,"Ready"),_xlpm.reqOK,SUM(--(_xlpm.flag="Yes")*--(_xlpm.total&gt;0)*--(_xlpm.readyCount=_xlpm.total))=COUNTIF(_xlpm.flag,"Yes"),_xlpm.core,AND($H43&lt;&gt;"",$I43&lt;&gt;"",$P43&lt;&gt;"",$Q43&lt;&gt;"",$R43&lt;&gt;"",$V43&lt;&gt;"",$V43&lt;&gt;"Not Created"),IF($S43&lt;&gt;"",IF(AND($S43&lt;=TODAY(),_xlpm.core,_xlpm.reqOK),"Completed","Incomplete"),IF($Q43="","Planned",IF(TODAY()&lt;$Q43,"Planned",IF($R43="","In Progress",IF(TODAY()&lt;=$R43,"In Progress","Overdue")))))))</f>
        <v/>
      </c>
      <c r="U43" s="155" t="str">
        <f t="shared" si="1"/>
        <v/>
      </c>
      <c r="V43" s="158" t="str" cm="1">
        <f t="array" ref="V43">IF($C43="","",IFERROR(_xlfn.LET(_xlpm.x,_xlfn.UNIQUE(_xlfn._xlws.FILTER('14. Recovery &amp; Response'!$B$6:$B$105,('14. Recovery &amp; Response'!$C$6:$C$105=$C43)*('14. Recovery &amp; Response'!$B$6:$B$105&lt;&gt;""))),_xlfn.TEXTJOIN(",",TRUE,_xlpm.x)),"Not Created"))</f>
        <v/>
      </c>
      <c r="W43" s="166"/>
    </row>
    <row r="44" spans="1:23" x14ac:dyDescent="0.35">
      <c r="A44" s="161">
        <v>40</v>
      </c>
      <c r="B44" s="159"/>
      <c r="C44" s="154" t="str">
        <f t="shared" si="2"/>
        <v/>
      </c>
      <c r="D44" s="155" t="str" cm="1">
        <f t="array" ref="D44">IF($B44="","",IFERROR(_xlfn.XLOOKUP($B44,INDEX(RiskAssessment[],0,2),INDEX(RiskAssessment[],0,5),""),""))</f>
        <v/>
      </c>
      <c r="E44" s="156" t="str" cm="1">
        <f t="array" ref="E44">IF($B44="","",IFERROR(_xlfn.XLOOKUP($B44,INDEX(RiskAssessment[],0,2),INDEX(RiskAssessment[],0,7),""),""))</f>
        <v/>
      </c>
      <c r="F44" s="156" t="str" cm="1">
        <f t="array" ref="F44">IF($B44="","",IFERROR(_xlfn.XLOOKUP($B44,INDEX(RiskAssessment[],0,2),INDEX(RiskAssessment[],0,8),""),""))</f>
        <v/>
      </c>
      <c r="G44" s="259" t="str">
        <f>IF($B44="","",_xlfn.XLOOKUP($B44,'10. Risk Assessment'!$B$5:$B$34,'10. Risk Assessment'!$F$5:$F$34,""))</f>
        <v/>
      </c>
      <c r="H44" s="160"/>
      <c r="I44" s="166"/>
      <c r="J44" s="159"/>
      <c r="K44" s="159"/>
      <c r="L44" s="159"/>
      <c r="M44" s="159"/>
      <c r="N44" s="159"/>
      <c r="O44" s="159"/>
      <c r="P44" s="166"/>
      <c r="Q44" s="269"/>
      <c r="R44" s="269"/>
      <c r="S44" s="269"/>
      <c r="T44" s="155" t="str" cm="1">
        <f t="array" aca="1" ref="T44" ca="1">IF($B44="","",_xlfn.LET(_xlpm.flag,$J44:$O44,_xlpm.total,COUNTIFS('12. Requirements Register'!$C$5:$C$304,$C44,'12. Requirements Register'!$E$5:$E$304,$J$4:$O$4),_xlpm.readyCount,COUNTIFS('12. Requirements Register'!$C$5:$C$304,$C44,'12. Requirements Register'!$E$5:$E$304,$J$4:$O$4,'12. Requirements Register'!$M$5:$M$304,"Ready"),_xlpm.reqOK,SUM(--(_xlpm.flag="Yes")*--(_xlpm.total&gt;0)*--(_xlpm.readyCount=_xlpm.total))=COUNTIF(_xlpm.flag,"Yes"),_xlpm.core,AND($H44&lt;&gt;"",$I44&lt;&gt;"",$P44&lt;&gt;"",$Q44&lt;&gt;"",$R44&lt;&gt;"",$V44&lt;&gt;"",$V44&lt;&gt;"Not Created"),IF($S44&lt;&gt;"",IF(AND($S44&lt;=TODAY(),_xlpm.core,_xlpm.reqOK),"Completed","Incomplete"),IF($Q44="","Planned",IF(TODAY()&lt;$Q44,"Planned",IF($R44="","In Progress",IF(TODAY()&lt;=$R44,"In Progress","Overdue")))))))</f>
        <v/>
      </c>
      <c r="U44" s="155" t="str">
        <f t="shared" si="1"/>
        <v/>
      </c>
      <c r="V44" s="158" t="str" cm="1">
        <f t="array" ref="V44">IF($C44="","",IFERROR(_xlfn.LET(_xlpm.x,_xlfn.UNIQUE(_xlfn._xlws.FILTER('14. Recovery &amp; Response'!$B$6:$B$105,('14. Recovery &amp; Response'!$C$6:$C$105=$C44)*('14. Recovery &amp; Response'!$B$6:$B$105&lt;&gt;""))),_xlfn.TEXTJOIN(",",TRUE,_xlpm.x)),"Not Created"))</f>
        <v/>
      </c>
      <c r="W44" s="166"/>
    </row>
    <row r="45" spans="1:23" x14ac:dyDescent="0.35">
      <c r="A45" s="161">
        <v>41</v>
      </c>
      <c r="B45" s="159"/>
      <c r="C45" s="154" t="str">
        <f t="shared" si="2"/>
        <v/>
      </c>
      <c r="D45" s="155" t="str" cm="1">
        <f t="array" ref="D45">IF($B45="","",IFERROR(_xlfn.XLOOKUP($B45,INDEX(RiskAssessment[],0,2),INDEX(RiskAssessment[],0,5),""),""))</f>
        <v/>
      </c>
      <c r="E45" s="156" t="str" cm="1">
        <f t="array" ref="E45">IF($B45="","",IFERROR(_xlfn.XLOOKUP($B45,INDEX(RiskAssessment[],0,2),INDEX(RiskAssessment[],0,7),""),""))</f>
        <v/>
      </c>
      <c r="F45" s="156" t="str" cm="1">
        <f t="array" ref="F45">IF($B45="","",IFERROR(_xlfn.XLOOKUP($B45,INDEX(RiskAssessment[],0,2),INDEX(RiskAssessment[],0,8),""),""))</f>
        <v/>
      </c>
      <c r="G45" s="259" t="str">
        <f>IF($B45="","",_xlfn.XLOOKUP($B45,'10. Risk Assessment'!$B$5:$B$34,'10. Risk Assessment'!$F$5:$F$34,""))</f>
        <v/>
      </c>
      <c r="H45" s="160"/>
      <c r="I45" s="166"/>
      <c r="J45" s="159"/>
      <c r="K45" s="159"/>
      <c r="L45" s="159"/>
      <c r="M45" s="159"/>
      <c r="N45" s="159"/>
      <c r="O45" s="159"/>
      <c r="P45" s="166"/>
      <c r="Q45" s="269"/>
      <c r="R45" s="269"/>
      <c r="S45" s="269"/>
      <c r="T45" s="155" t="str" cm="1">
        <f t="array" aca="1" ref="T45" ca="1">IF($B45="","",_xlfn.LET(_xlpm.flag,$J45:$O45,_xlpm.total,COUNTIFS('12. Requirements Register'!$C$5:$C$304,$C45,'12. Requirements Register'!$E$5:$E$304,$J$4:$O$4),_xlpm.readyCount,COUNTIFS('12. Requirements Register'!$C$5:$C$304,$C45,'12. Requirements Register'!$E$5:$E$304,$J$4:$O$4,'12. Requirements Register'!$M$5:$M$304,"Ready"),_xlpm.reqOK,SUM(--(_xlpm.flag="Yes")*--(_xlpm.total&gt;0)*--(_xlpm.readyCount=_xlpm.total))=COUNTIF(_xlpm.flag,"Yes"),_xlpm.core,AND($H45&lt;&gt;"",$I45&lt;&gt;"",$P45&lt;&gt;"",$Q45&lt;&gt;"",$R45&lt;&gt;"",$V45&lt;&gt;"",$V45&lt;&gt;"Not Created"),IF($S45&lt;&gt;"",IF(AND($S45&lt;=TODAY(),_xlpm.core,_xlpm.reqOK),"Completed","Incomplete"),IF($Q45="","Planned",IF(TODAY()&lt;$Q45,"Planned",IF($R45="","In Progress",IF(TODAY()&lt;=$R45,"In Progress","Overdue")))))))</f>
        <v/>
      </c>
      <c r="U45" s="155" t="str">
        <f t="shared" si="1"/>
        <v/>
      </c>
      <c r="V45" s="158" t="str" cm="1">
        <f t="array" ref="V45">IF($C45="","",IFERROR(_xlfn.LET(_xlpm.x,_xlfn.UNIQUE(_xlfn._xlws.FILTER('14. Recovery &amp; Response'!$B$6:$B$105,('14. Recovery &amp; Response'!$C$6:$C$105=$C45)*('14. Recovery &amp; Response'!$B$6:$B$105&lt;&gt;""))),_xlfn.TEXTJOIN(",",TRUE,_xlpm.x)),"Not Created"))</f>
        <v/>
      </c>
      <c r="W45" s="166"/>
    </row>
    <row r="46" spans="1:23" x14ac:dyDescent="0.35">
      <c r="A46" s="161">
        <v>42</v>
      </c>
      <c r="B46" s="159"/>
      <c r="C46" s="154" t="str">
        <f t="shared" si="2"/>
        <v/>
      </c>
      <c r="D46" s="155" t="str" cm="1">
        <f t="array" ref="D46">IF($B46="","",IFERROR(_xlfn.XLOOKUP($B46,INDEX(RiskAssessment[],0,2),INDEX(RiskAssessment[],0,5),""),""))</f>
        <v/>
      </c>
      <c r="E46" s="156" t="str" cm="1">
        <f t="array" ref="E46">IF($B46="","",IFERROR(_xlfn.XLOOKUP($B46,INDEX(RiskAssessment[],0,2),INDEX(RiskAssessment[],0,7),""),""))</f>
        <v/>
      </c>
      <c r="F46" s="156" t="str" cm="1">
        <f t="array" ref="F46">IF($B46="","",IFERROR(_xlfn.XLOOKUP($B46,INDEX(RiskAssessment[],0,2),INDEX(RiskAssessment[],0,8),""),""))</f>
        <v/>
      </c>
      <c r="G46" s="259" t="str">
        <f>IF($B46="","",_xlfn.XLOOKUP($B46,'10. Risk Assessment'!$B$5:$B$34,'10. Risk Assessment'!$F$5:$F$34,""))</f>
        <v/>
      </c>
      <c r="H46" s="160"/>
      <c r="I46" s="166"/>
      <c r="J46" s="159"/>
      <c r="K46" s="159"/>
      <c r="L46" s="159"/>
      <c r="M46" s="159"/>
      <c r="N46" s="159"/>
      <c r="O46" s="159"/>
      <c r="P46" s="166"/>
      <c r="Q46" s="269"/>
      <c r="R46" s="269"/>
      <c r="S46" s="269"/>
      <c r="T46" s="155" t="str" cm="1">
        <f t="array" aca="1" ref="T46" ca="1">IF($B46="","",_xlfn.LET(_xlpm.flag,$J46:$O46,_xlpm.total,COUNTIFS('12. Requirements Register'!$C$5:$C$304,$C46,'12. Requirements Register'!$E$5:$E$304,$J$4:$O$4),_xlpm.readyCount,COUNTIFS('12. Requirements Register'!$C$5:$C$304,$C46,'12. Requirements Register'!$E$5:$E$304,$J$4:$O$4,'12. Requirements Register'!$M$5:$M$304,"Ready"),_xlpm.reqOK,SUM(--(_xlpm.flag="Yes")*--(_xlpm.total&gt;0)*--(_xlpm.readyCount=_xlpm.total))=COUNTIF(_xlpm.flag,"Yes"),_xlpm.core,AND($H46&lt;&gt;"",$I46&lt;&gt;"",$P46&lt;&gt;"",$Q46&lt;&gt;"",$R46&lt;&gt;"",$V46&lt;&gt;"",$V46&lt;&gt;"Not Created"),IF($S46&lt;&gt;"",IF(AND($S46&lt;=TODAY(),_xlpm.core,_xlpm.reqOK),"Completed","Incomplete"),IF($Q46="","Planned",IF(TODAY()&lt;$Q46,"Planned",IF($R46="","In Progress",IF(TODAY()&lt;=$R46,"In Progress","Overdue")))))))</f>
        <v/>
      </c>
      <c r="U46" s="155" t="str">
        <f t="shared" si="1"/>
        <v/>
      </c>
      <c r="V46" s="158" t="str" cm="1">
        <f t="array" ref="V46">IF($C46="","",IFERROR(_xlfn.LET(_xlpm.x,_xlfn.UNIQUE(_xlfn._xlws.FILTER('14. Recovery &amp; Response'!$B$6:$B$105,('14. Recovery &amp; Response'!$C$6:$C$105=$C46)*('14. Recovery &amp; Response'!$B$6:$B$105&lt;&gt;""))),_xlfn.TEXTJOIN(",",TRUE,_xlpm.x)),"Not Created"))</f>
        <v/>
      </c>
      <c r="W46" s="166"/>
    </row>
    <row r="47" spans="1:23" x14ac:dyDescent="0.35">
      <c r="A47" s="161">
        <v>43</v>
      </c>
      <c r="B47" s="159"/>
      <c r="C47" s="154" t="str">
        <f t="shared" si="2"/>
        <v/>
      </c>
      <c r="D47" s="155" t="str" cm="1">
        <f t="array" ref="D47">IF($B47="","",IFERROR(_xlfn.XLOOKUP($B47,INDEX(RiskAssessment[],0,2),INDEX(RiskAssessment[],0,5),""),""))</f>
        <v/>
      </c>
      <c r="E47" s="156" t="str" cm="1">
        <f t="array" ref="E47">IF($B47="","",IFERROR(_xlfn.XLOOKUP($B47,INDEX(RiskAssessment[],0,2),INDEX(RiskAssessment[],0,7),""),""))</f>
        <v/>
      </c>
      <c r="F47" s="156" t="str" cm="1">
        <f t="array" ref="F47">IF($B47="","",IFERROR(_xlfn.XLOOKUP($B47,INDEX(RiskAssessment[],0,2),INDEX(RiskAssessment[],0,8),""),""))</f>
        <v/>
      </c>
      <c r="G47" s="259" t="str">
        <f>IF($B47="","",_xlfn.XLOOKUP($B47,'10. Risk Assessment'!$B$5:$B$34,'10. Risk Assessment'!$F$5:$F$34,""))</f>
        <v/>
      </c>
      <c r="H47" s="160"/>
      <c r="I47" s="166"/>
      <c r="J47" s="159"/>
      <c r="K47" s="159"/>
      <c r="L47" s="159"/>
      <c r="M47" s="159"/>
      <c r="N47" s="159"/>
      <c r="O47" s="159"/>
      <c r="P47" s="166"/>
      <c r="Q47" s="269"/>
      <c r="R47" s="269"/>
      <c r="S47" s="269"/>
      <c r="T47" s="155" t="str" cm="1">
        <f t="array" aca="1" ref="T47" ca="1">IF($B47="","",_xlfn.LET(_xlpm.flag,$J47:$O47,_xlpm.total,COUNTIFS('12. Requirements Register'!$C$5:$C$304,$C47,'12. Requirements Register'!$E$5:$E$304,$J$4:$O$4),_xlpm.readyCount,COUNTIFS('12. Requirements Register'!$C$5:$C$304,$C47,'12. Requirements Register'!$E$5:$E$304,$J$4:$O$4,'12. Requirements Register'!$M$5:$M$304,"Ready"),_xlpm.reqOK,SUM(--(_xlpm.flag="Yes")*--(_xlpm.total&gt;0)*--(_xlpm.readyCount=_xlpm.total))=COUNTIF(_xlpm.flag,"Yes"),_xlpm.core,AND($H47&lt;&gt;"",$I47&lt;&gt;"",$P47&lt;&gt;"",$Q47&lt;&gt;"",$R47&lt;&gt;"",$V47&lt;&gt;"",$V47&lt;&gt;"Not Created"),IF($S47&lt;&gt;"",IF(AND($S47&lt;=TODAY(),_xlpm.core,_xlpm.reqOK),"Completed","Incomplete"),IF($Q47="","Planned",IF(TODAY()&lt;$Q47,"Planned",IF($R47="","In Progress",IF(TODAY()&lt;=$R47,"In Progress","Overdue")))))))</f>
        <v/>
      </c>
      <c r="U47" s="155" t="str">
        <f t="shared" si="1"/>
        <v/>
      </c>
      <c r="V47" s="158" t="str" cm="1">
        <f t="array" ref="V47">IF($C47="","",IFERROR(_xlfn.LET(_xlpm.x,_xlfn.UNIQUE(_xlfn._xlws.FILTER('14. Recovery &amp; Response'!$B$6:$B$105,('14. Recovery &amp; Response'!$C$6:$C$105=$C47)*('14. Recovery &amp; Response'!$B$6:$B$105&lt;&gt;""))),_xlfn.TEXTJOIN(",",TRUE,_xlpm.x)),"Not Created"))</f>
        <v/>
      </c>
      <c r="W47" s="166"/>
    </row>
    <row r="48" spans="1:23" x14ac:dyDescent="0.35">
      <c r="A48" s="161">
        <v>44</v>
      </c>
      <c r="B48" s="159"/>
      <c r="C48" s="154" t="str">
        <f t="shared" si="2"/>
        <v/>
      </c>
      <c r="D48" s="155" t="str" cm="1">
        <f t="array" ref="D48">IF($B48="","",IFERROR(_xlfn.XLOOKUP($B48,INDEX(RiskAssessment[],0,2),INDEX(RiskAssessment[],0,5),""),""))</f>
        <v/>
      </c>
      <c r="E48" s="156" t="str" cm="1">
        <f t="array" ref="E48">IF($B48="","",IFERROR(_xlfn.XLOOKUP($B48,INDEX(RiskAssessment[],0,2),INDEX(RiskAssessment[],0,7),""),""))</f>
        <v/>
      </c>
      <c r="F48" s="156" t="str" cm="1">
        <f t="array" ref="F48">IF($B48="","",IFERROR(_xlfn.XLOOKUP($B48,INDEX(RiskAssessment[],0,2),INDEX(RiskAssessment[],0,8),""),""))</f>
        <v/>
      </c>
      <c r="G48" s="259" t="str">
        <f>IF($B48="","",_xlfn.XLOOKUP($B48,'10. Risk Assessment'!$B$5:$B$34,'10. Risk Assessment'!$F$5:$F$34,""))</f>
        <v/>
      </c>
      <c r="H48" s="160"/>
      <c r="I48" s="166"/>
      <c r="J48" s="159"/>
      <c r="K48" s="159"/>
      <c r="L48" s="159"/>
      <c r="M48" s="159"/>
      <c r="N48" s="159"/>
      <c r="O48" s="159"/>
      <c r="P48" s="166"/>
      <c r="Q48" s="269"/>
      <c r="R48" s="269"/>
      <c r="S48" s="269"/>
      <c r="T48" s="155" t="str" cm="1">
        <f t="array" aca="1" ref="T48" ca="1">IF($B48="","",_xlfn.LET(_xlpm.flag,$J48:$O48,_xlpm.total,COUNTIFS('12. Requirements Register'!$C$5:$C$304,$C48,'12. Requirements Register'!$E$5:$E$304,$J$4:$O$4),_xlpm.readyCount,COUNTIFS('12. Requirements Register'!$C$5:$C$304,$C48,'12. Requirements Register'!$E$5:$E$304,$J$4:$O$4,'12. Requirements Register'!$M$5:$M$304,"Ready"),_xlpm.reqOK,SUM(--(_xlpm.flag="Yes")*--(_xlpm.total&gt;0)*--(_xlpm.readyCount=_xlpm.total))=COUNTIF(_xlpm.flag,"Yes"),_xlpm.core,AND($H48&lt;&gt;"",$I48&lt;&gt;"",$P48&lt;&gt;"",$Q48&lt;&gt;"",$R48&lt;&gt;"",$V48&lt;&gt;"",$V48&lt;&gt;"Not Created"),IF($S48&lt;&gt;"",IF(AND($S48&lt;=TODAY(),_xlpm.core,_xlpm.reqOK),"Completed","Incomplete"),IF($Q48="","Planned",IF(TODAY()&lt;$Q48,"Planned",IF($R48="","In Progress",IF(TODAY()&lt;=$R48,"In Progress","Overdue")))))))</f>
        <v/>
      </c>
      <c r="U48" s="155" t="str">
        <f t="shared" si="1"/>
        <v/>
      </c>
      <c r="V48" s="158" t="str" cm="1">
        <f t="array" ref="V48">IF($C48="","",IFERROR(_xlfn.LET(_xlpm.x,_xlfn.UNIQUE(_xlfn._xlws.FILTER('14. Recovery &amp; Response'!$B$6:$B$105,('14. Recovery &amp; Response'!$C$6:$C$105=$C48)*('14. Recovery &amp; Response'!$B$6:$B$105&lt;&gt;""))),_xlfn.TEXTJOIN(",",TRUE,_xlpm.x)),"Not Created"))</f>
        <v/>
      </c>
      <c r="W48" s="166"/>
    </row>
    <row r="49" spans="1:23" x14ac:dyDescent="0.35">
      <c r="A49" s="161">
        <v>45</v>
      </c>
      <c r="B49" s="159"/>
      <c r="C49" s="154" t="str">
        <f t="shared" si="2"/>
        <v/>
      </c>
      <c r="D49" s="155" t="str" cm="1">
        <f t="array" ref="D49">IF($B49="","",IFERROR(_xlfn.XLOOKUP($B49,INDEX(RiskAssessment[],0,2),INDEX(RiskAssessment[],0,5),""),""))</f>
        <v/>
      </c>
      <c r="E49" s="156" t="str" cm="1">
        <f t="array" ref="E49">IF($B49="","",IFERROR(_xlfn.XLOOKUP($B49,INDEX(RiskAssessment[],0,2),INDEX(RiskAssessment[],0,7),""),""))</f>
        <v/>
      </c>
      <c r="F49" s="156" t="str" cm="1">
        <f t="array" ref="F49">IF($B49="","",IFERROR(_xlfn.XLOOKUP($B49,INDEX(RiskAssessment[],0,2),INDEX(RiskAssessment[],0,8),""),""))</f>
        <v/>
      </c>
      <c r="G49" s="259" t="str">
        <f>IF($B49="","",_xlfn.XLOOKUP($B49,'10. Risk Assessment'!$B$5:$B$34,'10. Risk Assessment'!$F$5:$F$34,""))</f>
        <v/>
      </c>
      <c r="H49" s="160"/>
      <c r="I49" s="166"/>
      <c r="J49" s="159"/>
      <c r="K49" s="159"/>
      <c r="L49" s="159"/>
      <c r="M49" s="159"/>
      <c r="N49" s="159"/>
      <c r="O49" s="159"/>
      <c r="P49" s="166"/>
      <c r="Q49" s="269"/>
      <c r="R49" s="269"/>
      <c r="S49" s="269"/>
      <c r="T49" s="155" t="str" cm="1">
        <f t="array" aca="1" ref="T49" ca="1">IF($B49="","",_xlfn.LET(_xlpm.flag,$J49:$O49,_xlpm.total,COUNTIFS('12. Requirements Register'!$C$5:$C$304,$C49,'12. Requirements Register'!$E$5:$E$304,$J$4:$O$4),_xlpm.readyCount,COUNTIFS('12. Requirements Register'!$C$5:$C$304,$C49,'12. Requirements Register'!$E$5:$E$304,$J$4:$O$4,'12. Requirements Register'!$M$5:$M$304,"Ready"),_xlpm.reqOK,SUM(--(_xlpm.flag="Yes")*--(_xlpm.total&gt;0)*--(_xlpm.readyCount=_xlpm.total))=COUNTIF(_xlpm.flag,"Yes"),_xlpm.core,AND($H49&lt;&gt;"",$I49&lt;&gt;"",$P49&lt;&gt;"",$Q49&lt;&gt;"",$R49&lt;&gt;"",$V49&lt;&gt;"",$V49&lt;&gt;"Not Created"),IF($S49&lt;&gt;"",IF(AND($S49&lt;=TODAY(),_xlpm.core,_xlpm.reqOK),"Completed","Incomplete"),IF($Q49="","Planned",IF(TODAY()&lt;$Q49,"Planned",IF($R49="","In Progress",IF(TODAY()&lt;=$R49,"In Progress","Overdue")))))))</f>
        <v/>
      </c>
      <c r="U49" s="155" t="str">
        <f t="shared" si="1"/>
        <v/>
      </c>
      <c r="V49" s="158" t="str" cm="1">
        <f t="array" ref="V49">IF($C49="","",IFERROR(_xlfn.LET(_xlpm.x,_xlfn.UNIQUE(_xlfn._xlws.FILTER('14. Recovery &amp; Response'!$B$6:$B$105,('14. Recovery &amp; Response'!$C$6:$C$105=$C49)*('14. Recovery &amp; Response'!$B$6:$B$105&lt;&gt;""))),_xlfn.TEXTJOIN(",",TRUE,_xlpm.x)),"Not Created"))</f>
        <v/>
      </c>
      <c r="W49" s="166"/>
    </row>
    <row r="50" spans="1:23" x14ac:dyDescent="0.35">
      <c r="A50" s="161">
        <v>46</v>
      </c>
      <c r="B50" s="159"/>
      <c r="C50" s="154" t="str">
        <f t="shared" si="2"/>
        <v/>
      </c>
      <c r="D50" s="155" t="str" cm="1">
        <f t="array" ref="D50">IF($B50="","",IFERROR(_xlfn.XLOOKUP($B50,INDEX(RiskAssessment[],0,2),INDEX(RiskAssessment[],0,5),""),""))</f>
        <v/>
      </c>
      <c r="E50" s="156" t="str" cm="1">
        <f t="array" ref="E50">IF($B50="","",IFERROR(_xlfn.XLOOKUP($B50,INDEX(RiskAssessment[],0,2),INDEX(RiskAssessment[],0,7),""),""))</f>
        <v/>
      </c>
      <c r="F50" s="156" t="str" cm="1">
        <f t="array" ref="F50">IF($B50="","",IFERROR(_xlfn.XLOOKUP($B50,INDEX(RiskAssessment[],0,2),INDEX(RiskAssessment[],0,8),""),""))</f>
        <v/>
      </c>
      <c r="G50" s="259" t="str">
        <f>IF($B50="","",_xlfn.XLOOKUP($B50,'10. Risk Assessment'!$B$5:$B$34,'10. Risk Assessment'!$F$5:$F$34,""))</f>
        <v/>
      </c>
      <c r="H50" s="160"/>
      <c r="I50" s="166"/>
      <c r="J50" s="159"/>
      <c r="K50" s="159"/>
      <c r="L50" s="159"/>
      <c r="M50" s="159"/>
      <c r="N50" s="159"/>
      <c r="O50" s="159"/>
      <c r="P50" s="166"/>
      <c r="Q50" s="269"/>
      <c r="R50" s="269"/>
      <c r="S50" s="269"/>
      <c r="T50" s="155" t="str" cm="1">
        <f t="array" aca="1" ref="T50" ca="1">IF($B50="","",_xlfn.LET(_xlpm.flag,$J50:$O50,_xlpm.total,COUNTIFS('12. Requirements Register'!$C$5:$C$304,$C50,'12. Requirements Register'!$E$5:$E$304,$J$4:$O$4),_xlpm.readyCount,COUNTIFS('12. Requirements Register'!$C$5:$C$304,$C50,'12. Requirements Register'!$E$5:$E$304,$J$4:$O$4,'12. Requirements Register'!$M$5:$M$304,"Ready"),_xlpm.reqOK,SUM(--(_xlpm.flag="Yes")*--(_xlpm.total&gt;0)*--(_xlpm.readyCount=_xlpm.total))=COUNTIF(_xlpm.flag,"Yes"),_xlpm.core,AND($H50&lt;&gt;"",$I50&lt;&gt;"",$P50&lt;&gt;"",$Q50&lt;&gt;"",$R50&lt;&gt;"",$V50&lt;&gt;"",$V50&lt;&gt;"Not Created"),IF($S50&lt;&gt;"",IF(AND($S50&lt;=TODAY(),_xlpm.core,_xlpm.reqOK),"Completed","Incomplete"),IF($Q50="","Planned",IF(TODAY()&lt;$Q50,"Planned",IF($R50="","In Progress",IF(TODAY()&lt;=$R50,"In Progress","Overdue")))))))</f>
        <v/>
      </c>
      <c r="U50" s="155" t="str">
        <f t="shared" si="1"/>
        <v/>
      </c>
      <c r="V50" s="158" t="str" cm="1">
        <f t="array" ref="V50">IF($C50="","",IFERROR(_xlfn.LET(_xlpm.x,_xlfn.UNIQUE(_xlfn._xlws.FILTER('14. Recovery &amp; Response'!$B$6:$B$105,('14. Recovery &amp; Response'!$C$6:$C$105=$C50)*('14. Recovery &amp; Response'!$B$6:$B$105&lt;&gt;""))),_xlfn.TEXTJOIN(",",TRUE,_xlpm.x)),"Not Created"))</f>
        <v/>
      </c>
      <c r="W50" s="166"/>
    </row>
    <row r="51" spans="1:23" x14ac:dyDescent="0.35">
      <c r="A51" s="161">
        <v>47</v>
      </c>
      <c r="B51" s="159"/>
      <c r="C51" s="154" t="str">
        <f t="shared" si="2"/>
        <v/>
      </c>
      <c r="D51" s="155" t="str" cm="1">
        <f t="array" ref="D51">IF($B51="","",IFERROR(_xlfn.XLOOKUP($B51,INDEX(RiskAssessment[],0,2),INDEX(RiskAssessment[],0,5),""),""))</f>
        <v/>
      </c>
      <c r="E51" s="156" t="str" cm="1">
        <f t="array" ref="E51">IF($B51="","",IFERROR(_xlfn.XLOOKUP($B51,INDEX(RiskAssessment[],0,2),INDEX(RiskAssessment[],0,7),""),""))</f>
        <v/>
      </c>
      <c r="F51" s="156" t="str" cm="1">
        <f t="array" ref="F51">IF($B51="","",IFERROR(_xlfn.XLOOKUP($B51,INDEX(RiskAssessment[],0,2),INDEX(RiskAssessment[],0,8),""),""))</f>
        <v/>
      </c>
      <c r="G51" s="259" t="str">
        <f>IF($B51="","",_xlfn.XLOOKUP($B51,'10. Risk Assessment'!$B$5:$B$34,'10. Risk Assessment'!$F$5:$F$34,""))</f>
        <v/>
      </c>
      <c r="H51" s="160"/>
      <c r="I51" s="166"/>
      <c r="J51" s="159"/>
      <c r="K51" s="159"/>
      <c r="L51" s="159"/>
      <c r="M51" s="159"/>
      <c r="N51" s="159"/>
      <c r="O51" s="159"/>
      <c r="P51" s="166"/>
      <c r="Q51" s="269"/>
      <c r="R51" s="269"/>
      <c r="S51" s="269"/>
      <c r="T51" s="155" t="str" cm="1">
        <f t="array" aca="1" ref="T51" ca="1">IF($B51="","",_xlfn.LET(_xlpm.flag,$J51:$O51,_xlpm.total,COUNTIFS('12. Requirements Register'!$C$5:$C$304,$C51,'12. Requirements Register'!$E$5:$E$304,$J$4:$O$4),_xlpm.readyCount,COUNTIFS('12. Requirements Register'!$C$5:$C$304,$C51,'12. Requirements Register'!$E$5:$E$304,$J$4:$O$4,'12. Requirements Register'!$M$5:$M$304,"Ready"),_xlpm.reqOK,SUM(--(_xlpm.flag="Yes")*--(_xlpm.total&gt;0)*--(_xlpm.readyCount=_xlpm.total))=COUNTIF(_xlpm.flag,"Yes"),_xlpm.core,AND($H51&lt;&gt;"",$I51&lt;&gt;"",$P51&lt;&gt;"",$Q51&lt;&gt;"",$R51&lt;&gt;"",$V51&lt;&gt;"",$V51&lt;&gt;"Not Created"),IF($S51&lt;&gt;"",IF(AND($S51&lt;=TODAY(),_xlpm.core,_xlpm.reqOK),"Completed","Incomplete"),IF($Q51="","Planned",IF(TODAY()&lt;$Q51,"Planned",IF($R51="","In Progress",IF(TODAY()&lt;=$R51,"In Progress","Overdue")))))))</f>
        <v/>
      </c>
      <c r="U51" s="155" t="str">
        <f t="shared" si="1"/>
        <v/>
      </c>
      <c r="V51" s="158" t="str" cm="1">
        <f t="array" ref="V51">IF($C51="","",IFERROR(_xlfn.LET(_xlpm.x,_xlfn.UNIQUE(_xlfn._xlws.FILTER('14. Recovery &amp; Response'!$B$6:$B$105,('14. Recovery &amp; Response'!$C$6:$C$105=$C51)*('14. Recovery &amp; Response'!$B$6:$B$105&lt;&gt;""))),_xlfn.TEXTJOIN(",",TRUE,_xlpm.x)),"Not Created"))</f>
        <v/>
      </c>
      <c r="W51" s="166"/>
    </row>
    <row r="52" spans="1:23" x14ac:dyDescent="0.35">
      <c r="A52" s="161">
        <v>48</v>
      </c>
      <c r="B52" s="159"/>
      <c r="C52" s="154" t="str">
        <f t="shared" si="2"/>
        <v/>
      </c>
      <c r="D52" s="155" t="str" cm="1">
        <f t="array" ref="D52">IF($B52="","",IFERROR(_xlfn.XLOOKUP($B52,INDEX(RiskAssessment[],0,2),INDEX(RiskAssessment[],0,5),""),""))</f>
        <v/>
      </c>
      <c r="E52" s="156" t="str" cm="1">
        <f t="array" ref="E52">IF($B52="","",IFERROR(_xlfn.XLOOKUP($B52,INDEX(RiskAssessment[],0,2),INDEX(RiskAssessment[],0,7),""),""))</f>
        <v/>
      </c>
      <c r="F52" s="156" t="str" cm="1">
        <f t="array" ref="F52">IF($B52="","",IFERROR(_xlfn.XLOOKUP($B52,INDEX(RiskAssessment[],0,2),INDEX(RiskAssessment[],0,8),""),""))</f>
        <v/>
      </c>
      <c r="G52" s="259" t="str">
        <f>IF($B52="","",_xlfn.XLOOKUP($B52,'10. Risk Assessment'!$B$5:$B$34,'10. Risk Assessment'!$F$5:$F$34,""))</f>
        <v/>
      </c>
      <c r="H52" s="160"/>
      <c r="I52" s="166"/>
      <c r="J52" s="159"/>
      <c r="K52" s="159"/>
      <c r="L52" s="159"/>
      <c r="M52" s="159"/>
      <c r="N52" s="159"/>
      <c r="O52" s="159"/>
      <c r="P52" s="166"/>
      <c r="Q52" s="269"/>
      <c r="R52" s="269"/>
      <c r="S52" s="269"/>
      <c r="T52" s="155" t="str" cm="1">
        <f t="array" aca="1" ref="T52" ca="1">IF($B52="","",_xlfn.LET(_xlpm.flag,$J52:$O52,_xlpm.total,COUNTIFS('12. Requirements Register'!$C$5:$C$304,$C52,'12. Requirements Register'!$E$5:$E$304,$J$4:$O$4),_xlpm.readyCount,COUNTIFS('12. Requirements Register'!$C$5:$C$304,$C52,'12. Requirements Register'!$E$5:$E$304,$J$4:$O$4,'12. Requirements Register'!$M$5:$M$304,"Ready"),_xlpm.reqOK,SUM(--(_xlpm.flag="Yes")*--(_xlpm.total&gt;0)*--(_xlpm.readyCount=_xlpm.total))=COUNTIF(_xlpm.flag,"Yes"),_xlpm.core,AND($H52&lt;&gt;"",$I52&lt;&gt;"",$P52&lt;&gt;"",$Q52&lt;&gt;"",$R52&lt;&gt;"",$V52&lt;&gt;"",$V52&lt;&gt;"Not Created"),IF($S52&lt;&gt;"",IF(AND($S52&lt;=TODAY(),_xlpm.core,_xlpm.reqOK),"Completed","Incomplete"),IF($Q52="","Planned",IF(TODAY()&lt;$Q52,"Planned",IF($R52="","In Progress",IF(TODAY()&lt;=$R52,"In Progress","Overdue")))))))</f>
        <v/>
      </c>
      <c r="U52" s="155" t="str">
        <f t="shared" si="1"/>
        <v/>
      </c>
      <c r="V52" s="158" t="str" cm="1">
        <f t="array" ref="V52">IF($C52="","",IFERROR(_xlfn.LET(_xlpm.x,_xlfn.UNIQUE(_xlfn._xlws.FILTER('14. Recovery &amp; Response'!$B$6:$B$105,('14. Recovery &amp; Response'!$C$6:$C$105=$C52)*('14. Recovery &amp; Response'!$B$6:$B$105&lt;&gt;""))),_xlfn.TEXTJOIN(",",TRUE,_xlpm.x)),"Not Created"))</f>
        <v/>
      </c>
      <c r="W52" s="166"/>
    </row>
    <row r="53" spans="1:23" x14ac:dyDescent="0.35">
      <c r="A53" s="161">
        <v>49</v>
      </c>
      <c r="B53" s="159"/>
      <c r="C53" s="154" t="str">
        <f t="shared" si="2"/>
        <v/>
      </c>
      <c r="D53" s="155" t="str" cm="1">
        <f t="array" ref="D53">IF($B53="","",IFERROR(_xlfn.XLOOKUP($B53,INDEX(RiskAssessment[],0,2),INDEX(RiskAssessment[],0,5),""),""))</f>
        <v/>
      </c>
      <c r="E53" s="156" t="str" cm="1">
        <f t="array" ref="E53">IF($B53="","",IFERROR(_xlfn.XLOOKUP($B53,INDEX(RiskAssessment[],0,2),INDEX(RiskAssessment[],0,7),""),""))</f>
        <v/>
      </c>
      <c r="F53" s="156" t="str" cm="1">
        <f t="array" ref="F53">IF($B53="","",IFERROR(_xlfn.XLOOKUP($B53,INDEX(RiskAssessment[],0,2),INDEX(RiskAssessment[],0,8),""),""))</f>
        <v/>
      </c>
      <c r="G53" s="259" t="str">
        <f>IF($B53="","",_xlfn.XLOOKUP($B53,'10. Risk Assessment'!$B$5:$B$34,'10. Risk Assessment'!$F$5:$F$34,""))</f>
        <v/>
      </c>
      <c r="H53" s="160"/>
      <c r="I53" s="166"/>
      <c r="J53" s="159"/>
      <c r="K53" s="159"/>
      <c r="L53" s="159"/>
      <c r="M53" s="159"/>
      <c r="N53" s="159"/>
      <c r="O53" s="159"/>
      <c r="P53" s="166"/>
      <c r="Q53" s="269"/>
      <c r="R53" s="269"/>
      <c r="S53" s="269"/>
      <c r="T53" s="155" t="str" cm="1">
        <f t="array" aca="1" ref="T53" ca="1">IF($B53="","",_xlfn.LET(_xlpm.flag,$J53:$O53,_xlpm.total,COUNTIFS('12. Requirements Register'!$C$5:$C$304,$C53,'12. Requirements Register'!$E$5:$E$304,$J$4:$O$4),_xlpm.readyCount,COUNTIFS('12. Requirements Register'!$C$5:$C$304,$C53,'12. Requirements Register'!$E$5:$E$304,$J$4:$O$4,'12. Requirements Register'!$M$5:$M$304,"Ready"),_xlpm.reqOK,SUM(--(_xlpm.flag="Yes")*--(_xlpm.total&gt;0)*--(_xlpm.readyCount=_xlpm.total))=COUNTIF(_xlpm.flag,"Yes"),_xlpm.core,AND($H53&lt;&gt;"",$I53&lt;&gt;"",$P53&lt;&gt;"",$Q53&lt;&gt;"",$R53&lt;&gt;"",$V53&lt;&gt;"",$V53&lt;&gt;"Not Created"),IF($S53&lt;&gt;"",IF(AND($S53&lt;=TODAY(),_xlpm.core,_xlpm.reqOK),"Completed","Incomplete"),IF($Q53="","Planned",IF(TODAY()&lt;$Q53,"Planned",IF($R53="","In Progress",IF(TODAY()&lt;=$R53,"In Progress","Overdue")))))))</f>
        <v/>
      </c>
      <c r="U53" s="155" t="str">
        <f t="shared" si="1"/>
        <v/>
      </c>
      <c r="V53" s="158" t="str" cm="1">
        <f t="array" ref="V53">IF($C53="","",IFERROR(_xlfn.LET(_xlpm.x,_xlfn.UNIQUE(_xlfn._xlws.FILTER('14. Recovery &amp; Response'!$B$6:$B$105,('14. Recovery &amp; Response'!$C$6:$C$105=$C53)*('14. Recovery &amp; Response'!$B$6:$B$105&lt;&gt;""))),_xlfn.TEXTJOIN(",",TRUE,_xlpm.x)),"Not Created"))</f>
        <v/>
      </c>
      <c r="W53" s="166"/>
    </row>
    <row r="54" spans="1:23" x14ac:dyDescent="0.35">
      <c r="A54" s="161">
        <v>50</v>
      </c>
      <c r="B54" s="159"/>
      <c r="C54" s="154" t="str">
        <f t="shared" si="2"/>
        <v/>
      </c>
      <c r="D54" s="155" t="str" cm="1">
        <f t="array" ref="D54">IF($B54="","",IFERROR(_xlfn.XLOOKUP($B54,INDEX(RiskAssessment[],0,2),INDEX(RiskAssessment[],0,5),""),""))</f>
        <v/>
      </c>
      <c r="E54" s="156" t="str" cm="1">
        <f t="array" ref="E54">IF($B54="","",IFERROR(_xlfn.XLOOKUP($B54,INDEX(RiskAssessment[],0,2),INDEX(RiskAssessment[],0,7),""),""))</f>
        <v/>
      </c>
      <c r="F54" s="156" t="str" cm="1">
        <f t="array" ref="F54">IF($B54="","",IFERROR(_xlfn.XLOOKUP($B54,INDEX(RiskAssessment[],0,2),INDEX(RiskAssessment[],0,8),""),""))</f>
        <v/>
      </c>
      <c r="G54" s="259" t="str">
        <f>IF($B54="","",_xlfn.XLOOKUP($B54,'10. Risk Assessment'!$B$5:$B$34,'10. Risk Assessment'!$F$5:$F$34,""))</f>
        <v/>
      </c>
      <c r="H54" s="160"/>
      <c r="I54" s="166"/>
      <c r="J54" s="159"/>
      <c r="K54" s="159"/>
      <c r="L54" s="159"/>
      <c r="M54" s="159"/>
      <c r="N54" s="159"/>
      <c r="O54" s="159"/>
      <c r="P54" s="166"/>
      <c r="Q54" s="269"/>
      <c r="R54" s="269"/>
      <c r="S54" s="269"/>
      <c r="T54" s="155" t="str" cm="1">
        <f t="array" aca="1" ref="T54" ca="1">IF($B54="","",_xlfn.LET(_xlpm.flag,$J54:$O54,_xlpm.total,COUNTIFS('12. Requirements Register'!$C$5:$C$304,$C54,'12. Requirements Register'!$E$5:$E$304,$J$4:$O$4),_xlpm.readyCount,COUNTIFS('12. Requirements Register'!$C$5:$C$304,$C54,'12. Requirements Register'!$E$5:$E$304,$J$4:$O$4,'12. Requirements Register'!$M$5:$M$304,"Ready"),_xlpm.reqOK,SUM(--(_xlpm.flag="Yes")*--(_xlpm.total&gt;0)*--(_xlpm.readyCount=_xlpm.total))=COUNTIF(_xlpm.flag,"Yes"),_xlpm.core,AND($H54&lt;&gt;"",$I54&lt;&gt;"",$P54&lt;&gt;"",$Q54&lt;&gt;"",$R54&lt;&gt;"",$V54&lt;&gt;"",$V54&lt;&gt;"Not Created"),IF($S54&lt;&gt;"",IF(AND($S54&lt;=TODAY(),_xlpm.core,_xlpm.reqOK),"Completed","Incomplete"),IF($Q54="","Planned",IF(TODAY()&lt;$Q54,"Planned",IF($R54="","In Progress",IF(TODAY()&lt;=$R54,"In Progress","Overdue")))))))</f>
        <v/>
      </c>
      <c r="U54" s="155" t="str">
        <f t="shared" si="1"/>
        <v/>
      </c>
      <c r="V54" s="158" t="str" cm="1">
        <f t="array" ref="V54">IF($C54="","",IFERROR(_xlfn.LET(_xlpm.x,_xlfn.UNIQUE(_xlfn._xlws.FILTER('14. Recovery &amp; Response'!$B$6:$B$105,('14. Recovery &amp; Response'!$C$6:$C$105=$C54)*('14. Recovery &amp; Response'!$B$6:$B$105&lt;&gt;""))),_xlfn.TEXTJOIN(",",TRUE,_xlpm.x)),"Not Created"))</f>
        <v/>
      </c>
      <c r="W54" s="166"/>
    </row>
    <row r="55" spans="1:23" x14ac:dyDescent="0.35">
      <c r="A55" s="161">
        <v>51</v>
      </c>
      <c r="B55" s="159"/>
      <c r="C55" s="154" t="str">
        <f t="shared" si="2"/>
        <v/>
      </c>
      <c r="D55" s="155" t="str" cm="1">
        <f t="array" ref="D55">IF($B55="","",IFERROR(_xlfn.XLOOKUP($B55,INDEX(RiskAssessment[],0,2),INDEX(RiskAssessment[],0,5),""),""))</f>
        <v/>
      </c>
      <c r="E55" s="156" t="str" cm="1">
        <f t="array" ref="E55">IF($B55="","",IFERROR(_xlfn.XLOOKUP($B55,INDEX(RiskAssessment[],0,2),INDEX(RiskAssessment[],0,7),""),""))</f>
        <v/>
      </c>
      <c r="F55" s="156" t="str" cm="1">
        <f t="array" ref="F55">IF($B55="","",IFERROR(_xlfn.XLOOKUP($B55,INDEX(RiskAssessment[],0,2),INDEX(RiskAssessment[],0,8),""),""))</f>
        <v/>
      </c>
      <c r="G55" s="259" t="str">
        <f>IF($B55="","",_xlfn.XLOOKUP($B55,'10. Risk Assessment'!$B$5:$B$34,'10. Risk Assessment'!$F$5:$F$34,""))</f>
        <v/>
      </c>
      <c r="H55" s="160"/>
      <c r="I55" s="166"/>
      <c r="J55" s="159"/>
      <c r="K55" s="159"/>
      <c r="L55" s="159"/>
      <c r="M55" s="159"/>
      <c r="N55" s="159"/>
      <c r="O55" s="159"/>
      <c r="P55" s="166"/>
      <c r="Q55" s="269"/>
      <c r="R55" s="269"/>
      <c r="S55" s="269"/>
      <c r="T55" s="155" t="str" cm="1">
        <f t="array" aca="1" ref="T55" ca="1">IF($B55="","",_xlfn.LET(_xlpm.flag,$J55:$O55,_xlpm.total,COUNTIFS('12. Requirements Register'!$C$5:$C$304,$C55,'12. Requirements Register'!$E$5:$E$304,$J$4:$O$4),_xlpm.readyCount,COUNTIFS('12. Requirements Register'!$C$5:$C$304,$C55,'12. Requirements Register'!$E$5:$E$304,$J$4:$O$4,'12. Requirements Register'!$M$5:$M$304,"Ready"),_xlpm.reqOK,SUM(--(_xlpm.flag="Yes")*--(_xlpm.total&gt;0)*--(_xlpm.readyCount=_xlpm.total))=COUNTIF(_xlpm.flag,"Yes"),_xlpm.core,AND($H55&lt;&gt;"",$I55&lt;&gt;"",$P55&lt;&gt;"",$Q55&lt;&gt;"",$R55&lt;&gt;"",$V55&lt;&gt;"",$V55&lt;&gt;"Not Created"),IF($S55&lt;&gt;"",IF(AND($S55&lt;=TODAY(),_xlpm.core,_xlpm.reqOK),"Completed","Incomplete"),IF($Q55="","Planned",IF(TODAY()&lt;$Q55,"Planned",IF($R55="","In Progress",IF(TODAY()&lt;=$R55,"In Progress","Overdue")))))))</f>
        <v/>
      </c>
      <c r="U55" s="155" t="str">
        <f t="shared" si="1"/>
        <v/>
      </c>
      <c r="V55" s="158" t="str" cm="1">
        <f t="array" ref="V55">IF($C55="","",IFERROR(_xlfn.LET(_xlpm.x,_xlfn.UNIQUE(_xlfn._xlws.FILTER('14. Recovery &amp; Response'!$B$6:$B$105,('14. Recovery &amp; Response'!$C$6:$C$105=$C55)*('14. Recovery &amp; Response'!$B$6:$B$105&lt;&gt;""))),_xlfn.TEXTJOIN(",",TRUE,_xlpm.x)),"Not Created"))</f>
        <v/>
      </c>
      <c r="W55" s="166"/>
    </row>
    <row r="56" spans="1:23" x14ac:dyDescent="0.35">
      <c r="A56" s="161">
        <v>52</v>
      </c>
      <c r="B56" s="159"/>
      <c r="C56" s="154" t="str">
        <f t="shared" si="2"/>
        <v/>
      </c>
      <c r="D56" s="155" t="str" cm="1">
        <f t="array" ref="D56">IF($B56="","",IFERROR(_xlfn.XLOOKUP($B56,INDEX(RiskAssessment[],0,2),INDEX(RiskAssessment[],0,5),""),""))</f>
        <v/>
      </c>
      <c r="E56" s="156" t="str" cm="1">
        <f t="array" ref="E56">IF($B56="","",IFERROR(_xlfn.XLOOKUP($B56,INDEX(RiskAssessment[],0,2),INDEX(RiskAssessment[],0,7),""),""))</f>
        <v/>
      </c>
      <c r="F56" s="156" t="str" cm="1">
        <f t="array" ref="F56">IF($B56="","",IFERROR(_xlfn.XLOOKUP($B56,INDEX(RiskAssessment[],0,2),INDEX(RiskAssessment[],0,8),""),""))</f>
        <v/>
      </c>
      <c r="G56" s="259" t="str">
        <f>IF($B56="","",_xlfn.XLOOKUP($B56,'10. Risk Assessment'!$B$5:$B$34,'10. Risk Assessment'!$F$5:$F$34,""))</f>
        <v/>
      </c>
      <c r="H56" s="160"/>
      <c r="I56" s="166"/>
      <c r="J56" s="159"/>
      <c r="K56" s="159"/>
      <c r="L56" s="159"/>
      <c r="M56" s="159"/>
      <c r="N56" s="159"/>
      <c r="O56" s="159"/>
      <c r="P56" s="166"/>
      <c r="Q56" s="269"/>
      <c r="R56" s="269"/>
      <c r="S56" s="269"/>
      <c r="T56" s="155" t="str" cm="1">
        <f t="array" aca="1" ref="T56" ca="1">IF($B56="","",_xlfn.LET(_xlpm.flag,$J56:$O56,_xlpm.total,COUNTIFS('12. Requirements Register'!$C$5:$C$304,$C56,'12. Requirements Register'!$E$5:$E$304,$J$4:$O$4),_xlpm.readyCount,COUNTIFS('12. Requirements Register'!$C$5:$C$304,$C56,'12. Requirements Register'!$E$5:$E$304,$J$4:$O$4,'12. Requirements Register'!$M$5:$M$304,"Ready"),_xlpm.reqOK,SUM(--(_xlpm.flag="Yes")*--(_xlpm.total&gt;0)*--(_xlpm.readyCount=_xlpm.total))=COUNTIF(_xlpm.flag,"Yes"),_xlpm.core,AND($H56&lt;&gt;"",$I56&lt;&gt;"",$P56&lt;&gt;"",$Q56&lt;&gt;"",$R56&lt;&gt;"",$V56&lt;&gt;"",$V56&lt;&gt;"Not Created"),IF($S56&lt;&gt;"",IF(AND($S56&lt;=TODAY(),_xlpm.core,_xlpm.reqOK),"Completed","Incomplete"),IF($Q56="","Planned",IF(TODAY()&lt;$Q56,"Planned",IF($R56="","In Progress",IF(TODAY()&lt;=$R56,"In Progress","Overdue")))))))</f>
        <v/>
      </c>
      <c r="U56" s="155" t="str">
        <f t="shared" si="1"/>
        <v/>
      </c>
      <c r="V56" s="158" t="str" cm="1">
        <f t="array" ref="V56">IF($C56="","",IFERROR(_xlfn.LET(_xlpm.x,_xlfn.UNIQUE(_xlfn._xlws.FILTER('14. Recovery &amp; Response'!$B$6:$B$105,('14. Recovery &amp; Response'!$C$6:$C$105=$C56)*('14. Recovery &amp; Response'!$B$6:$B$105&lt;&gt;""))),_xlfn.TEXTJOIN(",",TRUE,_xlpm.x)),"Not Created"))</f>
        <v/>
      </c>
      <c r="W56" s="166"/>
    </row>
    <row r="57" spans="1:23" x14ac:dyDescent="0.35">
      <c r="A57" s="161">
        <v>53</v>
      </c>
      <c r="B57" s="159"/>
      <c r="C57" s="154" t="str">
        <f t="shared" si="2"/>
        <v/>
      </c>
      <c r="D57" s="155" t="str" cm="1">
        <f t="array" ref="D57">IF($B57="","",IFERROR(_xlfn.XLOOKUP($B57,INDEX(RiskAssessment[],0,2),INDEX(RiskAssessment[],0,5),""),""))</f>
        <v/>
      </c>
      <c r="E57" s="156" t="str" cm="1">
        <f t="array" ref="E57">IF($B57="","",IFERROR(_xlfn.XLOOKUP($B57,INDEX(RiskAssessment[],0,2),INDEX(RiskAssessment[],0,7),""),""))</f>
        <v/>
      </c>
      <c r="F57" s="156" t="str" cm="1">
        <f t="array" ref="F57">IF($B57="","",IFERROR(_xlfn.XLOOKUP($B57,INDEX(RiskAssessment[],0,2),INDEX(RiskAssessment[],0,8),""),""))</f>
        <v/>
      </c>
      <c r="G57" s="259" t="str">
        <f>IF($B57="","",_xlfn.XLOOKUP($B57,'10. Risk Assessment'!$B$5:$B$34,'10. Risk Assessment'!$F$5:$F$34,""))</f>
        <v/>
      </c>
      <c r="H57" s="160"/>
      <c r="I57" s="166"/>
      <c r="J57" s="159"/>
      <c r="K57" s="159"/>
      <c r="L57" s="159"/>
      <c r="M57" s="159"/>
      <c r="N57" s="159"/>
      <c r="O57" s="159"/>
      <c r="P57" s="166"/>
      <c r="Q57" s="269"/>
      <c r="R57" s="269"/>
      <c r="S57" s="269"/>
      <c r="T57" s="155" t="str" cm="1">
        <f t="array" aca="1" ref="T57" ca="1">IF($B57="","",_xlfn.LET(_xlpm.flag,$J57:$O57,_xlpm.total,COUNTIFS('12. Requirements Register'!$C$5:$C$304,$C57,'12. Requirements Register'!$E$5:$E$304,$J$4:$O$4),_xlpm.readyCount,COUNTIFS('12. Requirements Register'!$C$5:$C$304,$C57,'12. Requirements Register'!$E$5:$E$304,$J$4:$O$4,'12. Requirements Register'!$M$5:$M$304,"Ready"),_xlpm.reqOK,SUM(--(_xlpm.flag="Yes")*--(_xlpm.total&gt;0)*--(_xlpm.readyCount=_xlpm.total))=COUNTIF(_xlpm.flag,"Yes"),_xlpm.core,AND($H57&lt;&gt;"",$I57&lt;&gt;"",$P57&lt;&gt;"",$Q57&lt;&gt;"",$R57&lt;&gt;"",$V57&lt;&gt;"",$V57&lt;&gt;"Not Created"),IF($S57&lt;&gt;"",IF(AND($S57&lt;=TODAY(),_xlpm.core,_xlpm.reqOK),"Completed","Incomplete"),IF($Q57="","Planned",IF(TODAY()&lt;$Q57,"Planned",IF($R57="","In Progress",IF(TODAY()&lt;=$R57,"In Progress","Overdue")))))))</f>
        <v/>
      </c>
      <c r="U57" s="155" t="str">
        <f t="shared" si="1"/>
        <v/>
      </c>
      <c r="V57" s="158" t="str" cm="1">
        <f t="array" ref="V57">IF($C57="","",IFERROR(_xlfn.LET(_xlpm.x,_xlfn.UNIQUE(_xlfn._xlws.FILTER('14. Recovery &amp; Response'!$B$6:$B$105,('14. Recovery &amp; Response'!$C$6:$C$105=$C57)*('14. Recovery &amp; Response'!$B$6:$B$105&lt;&gt;""))),_xlfn.TEXTJOIN(",",TRUE,_xlpm.x)),"Not Created"))</f>
        <v/>
      </c>
      <c r="W57" s="166"/>
    </row>
    <row r="58" spans="1:23" x14ac:dyDescent="0.35">
      <c r="A58" s="161">
        <v>54</v>
      </c>
      <c r="B58" s="159"/>
      <c r="C58" s="154" t="str">
        <f t="shared" si="2"/>
        <v/>
      </c>
      <c r="D58" s="155" t="str" cm="1">
        <f t="array" ref="D58">IF($B58="","",IFERROR(_xlfn.XLOOKUP($B58,INDEX(RiskAssessment[],0,2),INDEX(RiskAssessment[],0,5),""),""))</f>
        <v/>
      </c>
      <c r="E58" s="156" t="str" cm="1">
        <f t="array" ref="E58">IF($B58="","",IFERROR(_xlfn.XLOOKUP($B58,INDEX(RiskAssessment[],0,2),INDEX(RiskAssessment[],0,7),""),""))</f>
        <v/>
      </c>
      <c r="F58" s="156" t="str" cm="1">
        <f t="array" ref="F58">IF($B58="","",IFERROR(_xlfn.XLOOKUP($B58,INDEX(RiskAssessment[],0,2),INDEX(RiskAssessment[],0,8),""),""))</f>
        <v/>
      </c>
      <c r="G58" s="259" t="str">
        <f>IF($B58="","",_xlfn.XLOOKUP($B58,'10. Risk Assessment'!$B$5:$B$34,'10. Risk Assessment'!$F$5:$F$34,""))</f>
        <v/>
      </c>
      <c r="H58" s="160"/>
      <c r="I58" s="166"/>
      <c r="J58" s="159"/>
      <c r="K58" s="159"/>
      <c r="L58" s="159"/>
      <c r="M58" s="159"/>
      <c r="N58" s="159"/>
      <c r="O58" s="159"/>
      <c r="P58" s="166"/>
      <c r="Q58" s="269"/>
      <c r="R58" s="269"/>
      <c r="S58" s="269"/>
      <c r="T58" s="155" t="str" cm="1">
        <f t="array" aca="1" ref="T58" ca="1">IF($B58="","",_xlfn.LET(_xlpm.flag,$J58:$O58,_xlpm.total,COUNTIFS('12. Requirements Register'!$C$5:$C$304,$C58,'12. Requirements Register'!$E$5:$E$304,$J$4:$O$4),_xlpm.readyCount,COUNTIFS('12. Requirements Register'!$C$5:$C$304,$C58,'12. Requirements Register'!$E$5:$E$304,$J$4:$O$4,'12. Requirements Register'!$M$5:$M$304,"Ready"),_xlpm.reqOK,SUM(--(_xlpm.flag="Yes")*--(_xlpm.total&gt;0)*--(_xlpm.readyCount=_xlpm.total))=COUNTIF(_xlpm.flag,"Yes"),_xlpm.core,AND($H58&lt;&gt;"",$I58&lt;&gt;"",$P58&lt;&gt;"",$Q58&lt;&gt;"",$R58&lt;&gt;"",$V58&lt;&gt;"",$V58&lt;&gt;"Not Created"),IF($S58&lt;&gt;"",IF(AND($S58&lt;=TODAY(),_xlpm.core,_xlpm.reqOK),"Completed","Incomplete"),IF($Q58="","Planned",IF(TODAY()&lt;$Q58,"Planned",IF($R58="","In Progress",IF(TODAY()&lt;=$R58,"In Progress","Overdue")))))))</f>
        <v/>
      </c>
      <c r="U58" s="155" t="str">
        <f t="shared" si="1"/>
        <v/>
      </c>
      <c r="V58" s="158" t="str" cm="1">
        <f t="array" ref="V58">IF($C58="","",IFERROR(_xlfn.LET(_xlpm.x,_xlfn.UNIQUE(_xlfn._xlws.FILTER('14. Recovery &amp; Response'!$B$6:$B$105,('14. Recovery &amp; Response'!$C$6:$C$105=$C58)*('14. Recovery &amp; Response'!$B$6:$B$105&lt;&gt;""))),_xlfn.TEXTJOIN(",",TRUE,_xlpm.x)),"Not Created"))</f>
        <v/>
      </c>
      <c r="W58" s="166"/>
    </row>
    <row r="59" spans="1:23" x14ac:dyDescent="0.35">
      <c r="A59" s="161">
        <v>55</v>
      </c>
      <c r="B59" s="159"/>
      <c r="C59" s="154" t="str">
        <f t="shared" si="2"/>
        <v/>
      </c>
      <c r="D59" s="155" t="str" cm="1">
        <f t="array" ref="D59">IF($B59="","",IFERROR(_xlfn.XLOOKUP($B59,INDEX(RiskAssessment[],0,2),INDEX(RiskAssessment[],0,5),""),""))</f>
        <v/>
      </c>
      <c r="E59" s="156" t="str" cm="1">
        <f t="array" ref="E59">IF($B59="","",IFERROR(_xlfn.XLOOKUP($B59,INDEX(RiskAssessment[],0,2),INDEX(RiskAssessment[],0,7),""),""))</f>
        <v/>
      </c>
      <c r="F59" s="156" t="str" cm="1">
        <f t="array" ref="F59">IF($B59="","",IFERROR(_xlfn.XLOOKUP($B59,INDEX(RiskAssessment[],0,2),INDEX(RiskAssessment[],0,8),""),""))</f>
        <v/>
      </c>
      <c r="G59" s="259" t="str">
        <f>IF($B59="","",_xlfn.XLOOKUP($B59,'10. Risk Assessment'!$B$5:$B$34,'10. Risk Assessment'!$F$5:$F$34,""))</f>
        <v/>
      </c>
      <c r="H59" s="160"/>
      <c r="I59" s="166"/>
      <c r="J59" s="159"/>
      <c r="K59" s="159"/>
      <c r="L59" s="159"/>
      <c r="M59" s="159"/>
      <c r="N59" s="159"/>
      <c r="O59" s="159"/>
      <c r="P59" s="166"/>
      <c r="Q59" s="269"/>
      <c r="R59" s="269"/>
      <c r="S59" s="269"/>
      <c r="T59" s="155" t="str" cm="1">
        <f t="array" aca="1" ref="T59" ca="1">IF($B59="","",_xlfn.LET(_xlpm.flag,$J59:$O59,_xlpm.total,COUNTIFS('12. Requirements Register'!$C$5:$C$304,$C59,'12. Requirements Register'!$E$5:$E$304,$J$4:$O$4),_xlpm.readyCount,COUNTIFS('12. Requirements Register'!$C$5:$C$304,$C59,'12. Requirements Register'!$E$5:$E$304,$J$4:$O$4,'12. Requirements Register'!$M$5:$M$304,"Ready"),_xlpm.reqOK,SUM(--(_xlpm.flag="Yes")*--(_xlpm.total&gt;0)*--(_xlpm.readyCount=_xlpm.total))=COUNTIF(_xlpm.flag,"Yes"),_xlpm.core,AND($H59&lt;&gt;"",$I59&lt;&gt;"",$P59&lt;&gt;"",$Q59&lt;&gt;"",$R59&lt;&gt;"",$V59&lt;&gt;"",$V59&lt;&gt;"Not Created"),IF($S59&lt;&gt;"",IF(AND($S59&lt;=TODAY(),_xlpm.core,_xlpm.reqOK),"Completed","Incomplete"),IF($Q59="","Planned",IF(TODAY()&lt;$Q59,"Planned",IF($R59="","In Progress",IF(TODAY()&lt;=$R59,"In Progress","Overdue")))))))</f>
        <v/>
      </c>
      <c r="U59" s="155" t="str">
        <f t="shared" si="1"/>
        <v/>
      </c>
      <c r="V59" s="158" t="str" cm="1">
        <f t="array" ref="V59">IF($C59="","",IFERROR(_xlfn.LET(_xlpm.x,_xlfn.UNIQUE(_xlfn._xlws.FILTER('14. Recovery &amp; Response'!$B$6:$B$105,('14. Recovery &amp; Response'!$C$6:$C$105=$C59)*('14. Recovery &amp; Response'!$B$6:$B$105&lt;&gt;""))),_xlfn.TEXTJOIN(",",TRUE,_xlpm.x)),"Not Created"))</f>
        <v/>
      </c>
      <c r="W59" s="166"/>
    </row>
    <row r="60" spans="1:23" x14ac:dyDescent="0.35">
      <c r="A60" s="161">
        <v>56</v>
      </c>
      <c r="B60" s="159"/>
      <c r="C60" s="154" t="str">
        <f t="shared" si="2"/>
        <v/>
      </c>
      <c r="D60" s="155" t="str" cm="1">
        <f t="array" ref="D60">IF($B60="","",IFERROR(_xlfn.XLOOKUP($B60,INDEX(RiskAssessment[],0,2),INDEX(RiskAssessment[],0,5),""),""))</f>
        <v/>
      </c>
      <c r="E60" s="156" t="str" cm="1">
        <f t="array" ref="E60">IF($B60="","",IFERROR(_xlfn.XLOOKUP($B60,INDEX(RiskAssessment[],0,2),INDEX(RiskAssessment[],0,7),""),""))</f>
        <v/>
      </c>
      <c r="F60" s="156" t="str" cm="1">
        <f t="array" ref="F60">IF($B60="","",IFERROR(_xlfn.XLOOKUP($B60,INDEX(RiskAssessment[],0,2),INDEX(RiskAssessment[],0,8),""),""))</f>
        <v/>
      </c>
      <c r="G60" s="259" t="str">
        <f>IF($B60="","",_xlfn.XLOOKUP($B60,'10. Risk Assessment'!$B$5:$B$34,'10. Risk Assessment'!$F$5:$F$34,""))</f>
        <v/>
      </c>
      <c r="H60" s="160"/>
      <c r="I60" s="166"/>
      <c r="J60" s="159"/>
      <c r="K60" s="159"/>
      <c r="L60" s="159"/>
      <c r="M60" s="159"/>
      <c r="N60" s="159"/>
      <c r="O60" s="159"/>
      <c r="P60" s="166"/>
      <c r="Q60" s="269"/>
      <c r="R60" s="269"/>
      <c r="S60" s="269"/>
      <c r="T60" s="155" t="str" cm="1">
        <f t="array" aca="1" ref="T60" ca="1">IF($B60="","",_xlfn.LET(_xlpm.flag,$J60:$O60,_xlpm.total,COUNTIFS('12. Requirements Register'!$C$5:$C$304,$C60,'12. Requirements Register'!$E$5:$E$304,$J$4:$O$4),_xlpm.readyCount,COUNTIFS('12. Requirements Register'!$C$5:$C$304,$C60,'12. Requirements Register'!$E$5:$E$304,$J$4:$O$4,'12. Requirements Register'!$M$5:$M$304,"Ready"),_xlpm.reqOK,SUM(--(_xlpm.flag="Yes")*--(_xlpm.total&gt;0)*--(_xlpm.readyCount=_xlpm.total))=COUNTIF(_xlpm.flag,"Yes"),_xlpm.core,AND($H60&lt;&gt;"",$I60&lt;&gt;"",$P60&lt;&gt;"",$Q60&lt;&gt;"",$R60&lt;&gt;"",$V60&lt;&gt;"",$V60&lt;&gt;"Not Created"),IF($S60&lt;&gt;"",IF(AND($S60&lt;=TODAY(),_xlpm.core,_xlpm.reqOK),"Completed","Incomplete"),IF($Q60="","Planned",IF(TODAY()&lt;$Q60,"Planned",IF($R60="","In Progress",IF(TODAY()&lt;=$R60,"In Progress","Overdue")))))))</f>
        <v/>
      </c>
      <c r="U60" s="155" t="str">
        <f t="shared" si="1"/>
        <v/>
      </c>
      <c r="V60" s="158" t="str" cm="1">
        <f t="array" ref="V60">IF($C60="","",IFERROR(_xlfn.LET(_xlpm.x,_xlfn.UNIQUE(_xlfn._xlws.FILTER('14. Recovery &amp; Response'!$B$6:$B$105,('14. Recovery &amp; Response'!$C$6:$C$105=$C60)*('14. Recovery &amp; Response'!$B$6:$B$105&lt;&gt;""))),_xlfn.TEXTJOIN(",",TRUE,_xlpm.x)),"Not Created"))</f>
        <v/>
      </c>
      <c r="W60" s="166"/>
    </row>
    <row r="61" spans="1:23" x14ac:dyDescent="0.35">
      <c r="A61" s="161">
        <v>57</v>
      </c>
      <c r="B61" s="159"/>
      <c r="C61" s="154" t="str">
        <f t="shared" si="2"/>
        <v/>
      </c>
      <c r="D61" s="155" t="str" cm="1">
        <f t="array" ref="D61">IF($B61="","",IFERROR(_xlfn.XLOOKUP($B61,INDEX(RiskAssessment[],0,2),INDEX(RiskAssessment[],0,5),""),""))</f>
        <v/>
      </c>
      <c r="E61" s="156" t="str" cm="1">
        <f t="array" ref="E61">IF($B61="","",IFERROR(_xlfn.XLOOKUP($B61,INDEX(RiskAssessment[],0,2),INDEX(RiskAssessment[],0,7),""),""))</f>
        <v/>
      </c>
      <c r="F61" s="156" t="str" cm="1">
        <f t="array" ref="F61">IF($B61="","",IFERROR(_xlfn.XLOOKUP($B61,INDEX(RiskAssessment[],0,2),INDEX(RiskAssessment[],0,8),""),""))</f>
        <v/>
      </c>
      <c r="G61" s="259" t="str">
        <f>IF($B61="","",_xlfn.XLOOKUP($B61,'10. Risk Assessment'!$B$5:$B$34,'10. Risk Assessment'!$F$5:$F$34,""))</f>
        <v/>
      </c>
      <c r="H61" s="160"/>
      <c r="I61" s="166"/>
      <c r="J61" s="159"/>
      <c r="K61" s="159"/>
      <c r="L61" s="159"/>
      <c r="M61" s="159"/>
      <c r="N61" s="159"/>
      <c r="O61" s="159"/>
      <c r="P61" s="166"/>
      <c r="Q61" s="269"/>
      <c r="R61" s="269"/>
      <c r="S61" s="269"/>
      <c r="T61" s="155" t="str" cm="1">
        <f t="array" aca="1" ref="T61" ca="1">IF($B61="","",_xlfn.LET(_xlpm.flag,$J61:$O61,_xlpm.total,COUNTIFS('12. Requirements Register'!$C$5:$C$304,$C61,'12. Requirements Register'!$E$5:$E$304,$J$4:$O$4),_xlpm.readyCount,COUNTIFS('12. Requirements Register'!$C$5:$C$304,$C61,'12. Requirements Register'!$E$5:$E$304,$J$4:$O$4,'12. Requirements Register'!$M$5:$M$304,"Ready"),_xlpm.reqOK,SUM(--(_xlpm.flag="Yes")*--(_xlpm.total&gt;0)*--(_xlpm.readyCount=_xlpm.total))=COUNTIF(_xlpm.flag,"Yes"),_xlpm.core,AND($H61&lt;&gt;"",$I61&lt;&gt;"",$P61&lt;&gt;"",$Q61&lt;&gt;"",$R61&lt;&gt;"",$V61&lt;&gt;"",$V61&lt;&gt;"Not Created"),IF($S61&lt;&gt;"",IF(AND($S61&lt;=TODAY(),_xlpm.core,_xlpm.reqOK),"Completed","Incomplete"),IF($Q61="","Planned",IF(TODAY()&lt;$Q61,"Planned",IF($R61="","In Progress",IF(TODAY()&lt;=$R61,"In Progress","Overdue")))))))</f>
        <v/>
      </c>
      <c r="U61" s="155" t="str">
        <f t="shared" si="1"/>
        <v/>
      </c>
      <c r="V61" s="158" t="str" cm="1">
        <f t="array" ref="V61">IF($C61="","",IFERROR(_xlfn.LET(_xlpm.x,_xlfn.UNIQUE(_xlfn._xlws.FILTER('14. Recovery &amp; Response'!$B$6:$B$105,('14. Recovery &amp; Response'!$C$6:$C$105=$C61)*('14. Recovery &amp; Response'!$B$6:$B$105&lt;&gt;""))),_xlfn.TEXTJOIN(",",TRUE,_xlpm.x)),"Not Created"))</f>
        <v/>
      </c>
      <c r="W61" s="166"/>
    </row>
    <row r="62" spans="1:23" x14ac:dyDescent="0.35">
      <c r="A62" s="161">
        <v>58</v>
      </c>
      <c r="B62" s="159"/>
      <c r="C62" s="154" t="str">
        <f t="shared" si="2"/>
        <v/>
      </c>
      <c r="D62" s="155" t="str" cm="1">
        <f t="array" ref="D62">IF($B62="","",IFERROR(_xlfn.XLOOKUP($B62,INDEX(RiskAssessment[],0,2),INDEX(RiskAssessment[],0,5),""),""))</f>
        <v/>
      </c>
      <c r="E62" s="156" t="str" cm="1">
        <f t="array" ref="E62">IF($B62="","",IFERROR(_xlfn.XLOOKUP($B62,INDEX(RiskAssessment[],0,2),INDEX(RiskAssessment[],0,7),""),""))</f>
        <v/>
      </c>
      <c r="F62" s="156" t="str" cm="1">
        <f t="array" ref="F62">IF($B62="","",IFERROR(_xlfn.XLOOKUP($B62,INDEX(RiskAssessment[],0,2),INDEX(RiskAssessment[],0,8),""),""))</f>
        <v/>
      </c>
      <c r="G62" s="259" t="str">
        <f>IF($B62="","",_xlfn.XLOOKUP($B62,'10. Risk Assessment'!$B$5:$B$34,'10. Risk Assessment'!$F$5:$F$34,""))</f>
        <v/>
      </c>
      <c r="H62" s="160"/>
      <c r="I62" s="166"/>
      <c r="J62" s="159"/>
      <c r="K62" s="159"/>
      <c r="L62" s="159"/>
      <c r="M62" s="159"/>
      <c r="N62" s="159"/>
      <c r="O62" s="159"/>
      <c r="P62" s="166"/>
      <c r="Q62" s="269"/>
      <c r="R62" s="269"/>
      <c r="S62" s="269"/>
      <c r="T62" s="155" t="str" cm="1">
        <f t="array" aca="1" ref="T62" ca="1">IF($B62="","",_xlfn.LET(_xlpm.flag,$J62:$O62,_xlpm.total,COUNTIFS('12. Requirements Register'!$C$5:$C$304,$C62,'12. Requirements Register'!$E$5:$E$304,$J$4:$O$4),_xlpm.readyCount,COUNTIFS('12. Requirements Register'!$C$5:$C$304,$C62,'12. Requirements Register'!$E$5:$E$304,$J$4:$O$4,'12. Requirements Register'!$M$5:$M$304,"Ready"),_xlpm.reqOK,SUM(--(_xlpm.flag="Yes")*--(_xlpm.total&gt;0)*--(_xlpm.readyCount=_xlpm.total))=COUNTIF(_xlpm.flag,"Yes"),_xlpm.core,AND($H62&lt;&gt;"",$I62&lt;&gt;"",$P62&lt;&gt;"",$Q62&lt;&gt;"",$R62&lt;&gt;"",$V62&lt;&gt;"",$V62&lt;&gt;"Not Created"),IF($S62&lt;&gt;"",IF(AND($S62&lt;=TODAY(),_xlpm.core,_xlpm.reqOK),"Completed","Incomplete"),IF($Q62="","Planned",IF(TODAY()&lt;$Q62,"Planned",IF($R62="","In Progress",IF(TODAY()&lt;=$R62,"In Progress","Overdue")))))))</f>
        <v/>
      </c>
      <c r="U62" s="155" t="str">
        <f t="shared" si="1"/>
        <v/>
      </c>
      <c r="V62" s="158" t="str" cm="1">
        <f t="array" ref="V62">IF($C62="","",IFERROR(_xlfn.LET(_xlpm.x,_xlfn.UNIQUE(_xlfn._xlws.FILTER('14. Recovery &amp; Response'!$B$6:$B$105,('14. Recovery &amp; Response'!$C$6:$C$105=$C62)*('14. Recovery &amp; Response'!$B$6:$B$105&lt;&gt;""))),_xlfn.TEXTJOIN(",",TRUE,_xlpm.x)),"Not Created"))</f>
        <v/>
      </c>
      <c r="W62" s="166"/>
    </row>
    <row r="63" spans="1:23" x14ac:dyDescent="0.35">
      <c r="A63" s="161">
        <v>59</v>
      </c>
      <c r="B63" s="159"/>
      <c r="C63" s="154" t="str">
        <f t="shared" si="2"/>
        <v/>
      </c>
      <c r="D63" s="155" t="str" cm="1">
        <f t="array" ref="D63">IF($B63="","",IFERROR(_xlfn.XLOOKUP($B63,INDEX(RiskAssessment[],0,2),INDEX(RiskAssessment[],0,5),""),""))</f>
        <v/>
      </c>
      <c r="E63" s="156" t="str" cm="1">
        <f t="array" ref="E63">IF($B63="","",IFERROR(_xlfn.XLOOKUP($B63,INDEX(RiskAssessment[],0,2),INDEX(RiskAssessment[],0,7),""),""))</f>
        <v/>
      </c>
      <c r="F63" s="156" t="str" cm="1">
        <f t="array" ref="F63">IF($B63="","",IFERROR(_xlfn.XLOOKUP($B63,INDEX(RiskAssessment[],0,2),INDEX(RiskAssessment[],0,8),""),""))</f>
        <v/>
      </c>
      <c r="G63" s="259" t="str">
        <f>IF($B63="","",_xlfn.XLOOKUP($B63,'10. Risk Assessment'!$B$5:$B$34,'10. Risk Assessment'!$F$5:$F$34,""))</f>
        <v/>
      </c>
      <c r="H63" s="160"/>
      <c r="I63" s="166"/>
      <c r="J63" s="159"/>
      <c r="K63" s="159"/>
      <c r="L63" s="159"/>
      <c r="M63" s="159"/>
      <c r="N63" s="159"/>
      <c r="O63" s="159"/>
      <c r="P63" s="166"/>
      <c r="Q63" s="269"/>
      <c r="R63" s="269"/>
      <c r="S63" s="269"/>
      <c r="T63" s="155" t="str" cm="1">
        <f t="array" aca="1" ref="T63" ca="1">IF($B63="","",_xlfn.LET(_xlpm.flag,$J63:$O63,_xlpm.total,COUNTIFS('12. Requirements Register'!$C$5:$C$304,$C63,'12. Requirements Register'!$E$5:$E$304,$J$4:$O$4),_xlpm.readyCount,COUNTIFS('12. Requirements Register'!$C$5:$C$304,$C63,'12. Requirements Register'!$E$5:$E$304,$J$4:$O$4,'12. Requirements Register'!$M$5:$M$304,"Ready"),_xlpm.reqOK,SUM(--(_xlpm.flag="Yes")*--(_xlpm.total&gt;0)*--(_xlpm.readyCount=_xlpm.total))=COUNTIF(_xlpm.flag,"Yes"),_xlpm.core,AND($H63&lt;&gt;"",$I63&lt;&gt;"",$P63&lt;&gt;"",$Q63&lt;&gt;"",$R63&lt;&gt;"",$V63&lt;&gt;"",$V63&lt;&gt;"Not Created"),IF($S63&lt;&gt;"",IF(AND($S63&lt;=TODAY(),_xlpm.core,_xlpm.reqOK),"Completed","Incomplete"),IF($Q63="","Planned",IF(TODAY()&lt;$Q63,"Planned",IF($R63="","In Progress",IF(TODAY()&lt;=$R63,"In Progress","Overdue")))))))</f>
        <v/>
      </c>
      <c r="U63" s="155" t="str">
        <f t="shared" si="1"/>
        <v/>
      </c>
      <c r="V63" s="158" t="str" cm="1">
        <f t="array" ref="V63">IF($C63="","",IFERROR(_xlfn.LET(_xlpm.x,_xlfn.UNIQUE(_xlfn._xlws.FILTER('14. Recovery &amp; Response'!$B$6:$B$105,('14. Recovery &amp; Response'!$C$6:$C$105=$C63)*('14. Recovery &amp; Response'!$B$6:$B$105&lt;&gt;""))),_xlfn.TEXTJOIN(",",TRUE,_xlpm.x)),"Not Created"))</f>
        <v/>
      </c>
      <c r="W63" s="166"/>
    </row>
    <row r="64" spans="1:23" x14ac:dyDescent="0.35">
      <c r="A64" s="161">
        <v>60</v>
      </c>
      <c r="B64" s="159"/>
      <c r="C64" s="154" t="str">
        <f t="shared" si="2"/>
        <v/>
      </c>
      <c r="D64" s="155" t="str" cm="1">
        <f t="array" ref="D64">IF($B64="","",IFERROR(_xlfn.XLOOKUP($B64,INDEX(RiskAssessment[],0,2),INDEX(RiskAssessment[],0,5),""),""))</f>
        <v/>
      </c>
      <c r="E64" s="156" t="str" cm="1">
        <f t="array" ref="E64">IF($B64="","",IFERROR(_xlfn.XLOOKUP($B64,INDEX(RiskAssessment[],0,2),INDEX(RiskAssessment[],0,7),""),""))</f>
        <v/>
      </c>
      <c r="F64" s="156" t="str" cm="1">
        <f t="array" ref="F64">IF($B64="","",IFERROR(_xlfn.XLOOKUP($B64,INDEX(RiskAssessment[],0,2),INDEX(RiskAssessment[],0,8),""),""))</f>
        <v/>
      </c>
      <c r="G64" s="259" t="str">
        <f>IF($B64="","",_xlfn.XLOOKUP($B64,'10. Risk Assessment'!$B$5:$B$34,'10. Risk Assessment'!$F$5:$F$34,""))</f>
        <v/>
      </c>
      <c r="H64" s="160"/>
      <c r="I64" s="166"/>
      <c r="J64" s="159"/>
      <c r="K64" s="159"/>
      <c r="L64" s="159"/>
      <c r="M64" s="159"/>
      <c r="N64" s="159"/>
      <c r="O64" s="159"/>
      <c r="P64" s="166"/>
      <c r="Q64" s="269"/>
      <c r="R64" s="269"/>
      <c r="S64" s="269"/>
      <c r="T64" s="155" t="str" cm="1">
        <f t="array" aca="1" ref="T64" ca="1">IF($B64="","",_xlfn.LET(_xlpm.flag,$J64:$O64,_xlpm.total,COUNTIFS('12. Requirements Register'!$C$5:$C$304,$C64,'12. Requirements Register'!$E$5:$E$304,$J$4:$O$4),_xlpm.readyCount,COUNTIFS('12. Requirements Register'!$C$5:$C$304,$C64,'12. Requirements Register'!$E$5:$E$304,$J$4:$O$4,'12. Requirements Register'!$M$5:$M$304,"Ready"),_xlpm.reqOK,SUM(--(_xlpm.flag="Yes")*--(_xlpm.total&gt;0)*--(_xlpm.readyCount=_xlpm.total))=COUNTIF(_xlpm.flag,"Yes"),_xlpm.core,AND($H64&lt;&gt;"",$I64&lt;&gt;"",$P64&lt;&gt;"",$Q64&lt;&gt;"",$R64&lt;&gt;"",$V64&lt;&gt;"",$V64&lt;&gt;"Not Created"),IF($S64&lt;&gt;"",IF(AND($S64&lt;=TODAY(),_xlpm.core,_xlpm.reqOK),"Completed","Incomplete"),IF($Q64="","Planned",IF(TODAY()&lt;$Q64,"Planned",IF($R64="","In Progress",IF(TODAY()&lt;=$R64,"In Progress","Overdue")))))))</f>
        <v/>
      </c>
      <c r="U64" s="155" t="str">
        <f t="shared" si="1"/>
        <v/>
      </c>
      <c r="V64" s="158" t="str" cm="1">
        <f t="array" ref="V64">IF($C64="","",IFERROR(_xlfn.LET(_xlpm.x,_xlfn.UNIQUE(_xlfn._xlws.FILTER('14. Recovery &amp; Response'!$B$6:$B$105,('14. Recovery &amp; Response'!$C$6:$C$105=$C64)*('14. Recovery &amp; Response'!$B$6:$B$105&lt;&gt;""))),_xlfn.TEXTJOIN(",",TRUE,_xlpm.x)),"Not Created"))</f>
        <v/>
      </c>
      <c r="W64" s="166"/>
    </row>
  </sheetData>
  <sheetProtection selectLockedCells="1"/>
  <mergeCells count="2">
    <mergeCell ref="A1:W1"/>
    <mergeCell ref="A2:W2"/>
  </mergeCells>
  <conditionalFormatting sqref="J5:O64">
    <cfRule type="expression" dxfId="111" priority="11">
      <formula>AND(J5="Yes",$C5&lt;&gt;"",COUNTIF(RequirementStrategyIDs,$C5)=0)</formula>
    </cfRule>
  </conditionalFormatting>
  <conditionalFormatting sqref="S5:T64">
    <cfRule type="expression" dxfId="110" priority="10">
      <formula>AND($C5&lt;&gt;"",OR(AND($S5&lt;&gt;"",$T5&lt;&gt;"Completed"),AND($S5="",$T5="Completed")))</formula>
    </cfRule>
  </conditionalFormatting>
  <conditionalFormatting sqref="T5:T64">
    <cfRule type="cellIs" dxfId="109" priority="2" operator="equal">
      <formula>"Completed"</formula>
    </cfRule>
    <cfRule type="cellIs" dxfId="108" priority="3" operator="equal">
      <formula>"Overdue"</formula>
    </cfRule>
    <cfRule type="cellIs" dxfId="107" priority="4" operator="equal">
      <formula>"In Progress"</formula>
    </cfRule>
    <cfRule type="cellIs" dxfId="106" priority="5" operator="equal">
      <formula>"Planned"</formula>
    </cfRule>
  </conditionalFormatting>
  <conditionalFormatting sqref="U5:U64">
    <cfRule type="cellIs" dxfId="105" priority="6" operator="equal">
      <formula>"DUPLICATE"</formula>
    </cfRule>
  </conditionalFormatting>
  <conditionalFormatting sqref="V5:V64">
    <cfRule type="expression" dxfId="104" priority="12">
      <formula>AND($C5&lt;&gt;"",OR($V5="",$V5="Not Created"))</formula>
    </cfRule>
  </conditionalFormatting>
  <dataValidations count="3">
    <dataValidation type="list" allowBlank="1" sqref="B5:B64" xr:uid="{00000000-0002-0000-0C00-000000000000}">
      <formula1>RiskIDs</formula1>
      <formula2>0</formula2>
    </dataValidation>
    <dataValidation type="list" allowBlank="1" sqref="H5:H64" xr:uid="{00000000-0002-0000-0C00-000001000000}">
      <formula1>lstStrategy</formula1>
      <formula2>0</formula2>
    </dataValidation>
    <dataValidation type="list" allowBlank="1" sqref="J5:O64" xr:uid="{00000000-0002-0000-0C00-000002000000}">
      <formula1>lstYN</formula1>
      <formula2>0</formula2>
    </dataValidation>
  </dataValidations>
  <pageMargins left="0.75" right="0.75" top="1" bottom="1" header="0.511811023622047" footer="0.51180555555555596"/>
  <pageSetup paperSize="9" orientation="portrait" horizontalDpi="300" verticalDpi="300"/>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7" id="{42EB8CFF-76C3-4E9F-81AA-F6106B33378D}">
            <xm:f>AND(J5="Yes",COUNTIFS('12. Requirements Register'!$C$5:$C$304,$C5,'12. Requirements Register'!$E$5:$E$304,J$4)=0)</xm:f>
            <x14:dxf>
              <font>
                <color rgb="FF9C0006"/>
              </font>
              <fill>
                <patternFill patternType="solid">
                  <fgColor indexed="64"/>
                  <bgColor rgb="FFF4CCCC"/>
                </patternFill>
              </fill>
            </x14:dxf>
          </x14:cfRule>
          <x14:cfRule type="expression" priority="8" id="{FECD39C9-AC75-45CE-8F5A-E5202717C874}">
            <xm:f>AND(J5="Yes",COUNTIFS('12. Requirements Register'!$C$5:$C$304,$C5,'12. Requirements Register'!$E$5:$E$304,J$4)&gt;0,COUNTIFS('12. Requirements Register'!$C$5:$C$304,$C5,'12. Requirements Register'!$E$5:$E$304,J$4,'12. Requirements Register'!$M$5:$M$304,"Ready")&lt;COUNTIFS('12. Requirements Register'!$C$5:$C$304,$C5,'12. Requirements Register'!$E$5:$E$304,J$4))</xm:f>
            <x14:dxf>
              <font>
                <color rgb="FF783F04"/>
              </font>
              <fill>
                <patternFill patternType="solid">
                  <fgColor indexed="64"/>
                  <bgColor rgb="FFFCE5CD"/>
                </patternFill>
              </fill>
            </x14:dxf>
          </x14:cfRule>
          <x14:cfRule type="expression" priority="9" id="{9782FBA3-90CF-42FE-A599-A2508BD24219}">
            <xm:f>AND(J5="Yes",COUNTIFS('12. Requirements Register'!$C$5:$C$304,$C5,'12. Requirements Register'!$E$5:$E$304,J$4)&gt;0,COUNTIFS('12. Requirements Register'!$C$5:$C$304,$C5,'12. Requirements Register'!$E$5:$E$304,J$4,'12. Requirements Register'!$M$5:$M$304,"Ready")=COUNTIFS('12. Requirements Register'!$C$5:$C$304,$C5,'12. Requirements Register'!$E$5:$E$304,J$4))</xm:f>
            <x14:dxf>
              <font>
                <color rgb="FF274E13"/>
              </font>
              <fill>
                <patternFill patternType="solid">
                  <fgColor indexed="64"/>
                  <bgColor rgb="FFD9EAD3"/>
                </patternFill>
              </fill>
            </x14:dxf>
          </x14:cfRule>
          <xm:sqref>J5:O64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9137"/>
  </sheetPr>
  <dimension ref="A1:M304"/>
  <sheetViews>
    <sheetView showGridLines="0" topLeftCell="F1" zoomScale="150" zoomScaleNormal="70" workbookViewId="0">
      <pane ySplit="4" topLeftCell="A5" activePane="bottomLeft" state="frozen"/>
      <selection activeCell="D1" sqref="D1"/>
      <selection pane="bottomLeft" activeCell="L5" sqref="L5:L10"/>
    </sheetView>
  </sheetViews>
  <sheetFormatPr defaultColWidth="6.1796875" defaultRowHeight="14.5" x14ac:dyDescent="0.35"/>
  <cols>
    <col min="1" max="1" width="10.1796875" bestFit="1" customWidth="1"/>
    <col min="2" max="2" width="10.90625" bestFit="1" customWidth="1"/>
    <col min="3" max="3" width="11.1796875" bestFit="1" customWidth="1"/>
    <col min="4" max="4" width="13.1796875" bestFit="1" customWidth="1"/>
    <col min="5" max="5" width="12.36328125" bestFit="1" customWidth="1"/>
    <col min="6" max="6" width="20" bestFit="1" customWidth="1"/>
    <col min="7" max="7" width="18.26953125" bestFit="1" customWidth="1"/>
    <col min="8" max="8" width="19.7265625" bestFit="1" customWidth="1"/>
    <col min="9" max="9" width="14.54296875" bestFit="1" customWidth="1"/>
    <col min="10" max="11" width="16.453125" bestFit="1" customWidth="1"/>
    <col min="12" max="12" width="12.54296875" bestFit="1" customWidth="1"/>
    <col min="13" max="13" width="14.26953125" bestFit="1" customWidth="1"/>
  </cols>
  <sheetData>
    <row r="1" spans="1:13" ht="27.75" customHeight="1" x14ac:dyDescent="0.35">
      <c r="A1" s="317" t="s">
        <v>361</v>
      </c>
      <c r="B1" s="315"/>
      <c r="C1" s="315"/>
      <c r="D1" s="315"/>
      <c r="E1" s="315"/>
      <c r="F1" s="315"/>
      <c r="G1" s="315"/>
      <c r="H1" s="315"/>
      <c r="I1" s="315"/>
      <c r="J1" s="315"/>
      <c r="K1" s="315"/>
      <c r="L1" s="315"/>
      <c r="M1" s="315"/>
    </row>
    <row r="2" spans="1:13" ht="18" customHeight="1" x14ac:dyDescent="0.35">
      <c r="A2" s="318" t="s">
        <v>765</v>
      </c>
      <c r="B2" s="315"/>
      <c r="C2" s="315"/>
      <c r="D2" s="315"/>
      <c r="E2" s="315"/>
      <c r="F2" s="315"/>
      <c r="G2" s="315"/>
      <c r="H2" s="315"/>
      <c r="I2" s="315"/>
      <c r="J2" s="315"/>
      <c r="K2" s="315"/>
      <c r="L2" s="315"/>
      <c r="M2" s="315"/>
    </row>
    <row r="4" spans="1:13" ht="36" customHeight="1" x14ac:dyDescent="0.35">
      <c r="A4" s="172" t="s">
        <v>237</v>
      </c>
      <c r="B4" s="173" t="s">
        <v>362</v>
      </c>
      <c r="C4" s="173" t="s">
        <v>760</v>
      </c>
      <c r="D4" s="173" t="s">
        <v>363</v>
      </c>
      <c r="E4" s="173" t="s">
        <v>691</v>
      </c>
      <c r="F4" s="173" t="s">
        <v>364</v>
      </c>
      <c r="G4" s="173" t="s">
        <v>365</v>
      </c>
      <c r="H4" s="174" t="s">
        <v>366</v>
      </c>
      <c r="I4" s="173" t="s">
        <v>369</v>
      </c>
      <c r="J4" s="173" t="s">
        <v>370</v>
      </c>
      <c r="K4" s="173" t="s">
        <v>766</v>
      </c>
      <c r="L4" s="173" t="s">
        <v>6</v>
      </c>
      <c r="M4" s="175" t="s">
        <v>767</v>
      </c>
    </row>
    <row r="5" spans="1:13" ht="20.25" customHeight="1" x14ac:dyDescent="0.35">
      <c r="A5" s="170">
        <v>1</v>
      </c>
      <c r="B5" s="137" t="str">
        <f t="shared" ref="B5:B68" si="0">IF($F5="","","REQ-"&amp;TEXT($A5,"000"))</f>
        <v/>
      </c>
      <c r="C5" s="91" t="s">
        <v>961</v>
      </c>
      <c r="D5" s="138" t="str">
        <f>IF($C5="","",_xlfn.XLOOKUP($C5,StrategiesSolutions[S&amp;S ID],StrategiesSolutions[Risk ID],""))</f>
        <v>RA-001</v>
      </c>
      <c r="E5" s="91" t="s">
        <v>300</v>
      </c>
      <c r="F5" s="93"/>
      <c r="G5" s="93"/>
      <c r="H5" s="94"/>
      <c r="I5" s="93"/>
      <c r="J5" s="93"/>
      <c r="K5" s="93"/>
      <c r="L5" s="93"/>
      <c r="M5" s="171" t="s">
        <v>962</v>
      </c>
    </row>
    <row r="6" spans="1:13" x14ac:dyDescent="0.35">
      <c r="A6" s="170">
        <v>2</v>
      </c>
      <c r="B6" s="137" t="str">
        <f t="shared" si="0"/>
        <v/>
      </c>
      <c r="C6" s="91"/>
      <c r="D6" s="138" t="str">
        <f>IF($C6="","",_xlfn.XLOOKUP($C6,StrategiesSolutions[S&amp;S ID],StrategiesSolutions[Risk ID],""))</f>
        <v/>
      </c>
      <c r="E6" s="91" t="s">
        <v>301</v>
      </c>
      <c r="F6" s="93"/>
      <c r="G6" s="93"/>
      <c r="H6" s="94"/>
      <c r="I6" s="93"/>
      <c r="J6" s="93"/>
      <c r="K6" s="93"/>
      <c r="L6" s="93"/>
      <c r="M6" s="171"/>
    </row>
    <row r="7" spans="1:13" x14ac:dyDescent="0.35">
      <c r="A7" s="170">
        <v>3</v>
      </c>
      <c r="B7" s="137" t="str">
        <f t="shared" si="0"/>
        <v/>
      </c>
      <c r="C7" s="91"/>
      <c r="D7" s="138" t="str">
        <f>IF($C7="","",_xlfn.XLOOKUP($C7,StrategiesSolutions[S&amp;S ID],StrategiesSolutions[Risk ID],""))</f>
        <v/>
      </c>
      <c r="E7" s="91"/>
      <c r="F7" s="93"/>
      <c r="G7" s="93"/>
      <c r="H7" s="94"/>
      <c r="I7" s="93"/>
      <c r="J7" s="93"/>
      <c r="K7" s="93"/>
      <c r="L7" s="93"/>
      <c r="M7" s="171"/>
    </row>
    <row r="8" spans="1:13" x14ac:dyDescent="0.35">
      <c r="A8" s="170">
        <v>4</v>
      </c>
      <c r="B8" s="137" t="str">
        <f t="shared" si="0"/>
        <v/>
      </c>
      <c r="C8" s="91"/>
      <c r="D8" s="138" t="str">
        <f>IF($C8="","",_xlfn.XLOOKUP($C8,StrategiesSolutions[S&amp;S ID],StrategiesSolutions[Risk ID],""))</f>
        <v/>
      </c>
      <c r="E8" s="91"/>
      <c r="F8" s="93"/>
      <c r="G8" s="93"/>
      <c r="H8" s="94"/>
      <c r="I8" s="93"/>
      <c r="J8" s="93"/>
      <c r="K8" s="93"/>
      <c r="L8" s="93"/>
      <c r="M8" s="171"/>
    </row>
    <row r="9" spans="1:13" ht="20.25" customHeight="1" x14ac:dyDescent="0.35">
      <c r="A9" s="170">
        <v>5</v>
      </c>
      <c r="B9" s="137" t="str">
        <f t="shared" si="0"/>
        <v/>
      </c>
      <c r="C9" s="91"/>
      <c r="D9" s="138" t="str">
        <f>IF($C9="","",_xlfn.XLOOKUP($C9,StrategiesSolutions[S&amp;S ID],StrategiesSolutions[Risk ID],""))</f>
        <v/>
      </c>
      <c r="E9" s="91"/>
      <c r="F9" s="93"/>
      <c r="G9" s="93"/>
      <c r="H9" s="94"/>
      <c r="I9" s="93"/>
      <c r="J9" s="93"/>
      <c r="K9" s="93"/>
      <c r="L9" s="93"/>
      <c r="M9" s="171"/>
    </row>
    <row r="10" spans="1:13" ht="15" customHeight="1" x14ac:dyDescent="0.35">
      <c r="A10" s="170">
        <v>6</v>
      </c>
      <c r="B10" s="137" t="str">
        <f t="shared" si="0"/>
        <v/>
      </c>
      <c r="C10" s="91"/>
      <c r="D10" s="138" t="str">
        <f>IF($C10="","",_xlfn.XLOOKUP($C10,StrategiesSolutions[S&amp;S ID],StrategiesSolutions[Risk ID],""))</f>
        <v/>
      </c>
      <c r="E10" s="91"/>
      <c r="F10" s="93"/>
      <c r="G10" s="93"/>
      <c r="H10" s="94"/>
      <c r="I10" s="93"/>
      <c r="J10" s="93"/>
      <c r="K10" s="93"/>
      <c r="L10" s="93"/>
      <c r="M10" s="171"/>
    </row>
    <row r="11" spans="1:13" ht="20.25" customHeight="1" x14ac:dyDescent="0.35">
      <c r="A11" s="170">
        <v>7</v>
      </c>
      <c r="B11" s="137" t="str">
        <f t="shared" si="0"/>
        <v/>
      </c>
      <c r="C11" s="91"/>
      <c r="D11" s="138" t="str">
        <f>IF($C11="","",_xlfn.XLOOKUP($C11,StrategiesSolutions[S&amp;S ID],StrategiesSolutions[Risk ID],""))</f>
        <v/>
      </c>
      <c r="E11" s="91"/>
      <c r="F11" s="93"/>
      <c r="G11" s="93"/>
      <c r="H11" s="94"/>
      <c r="I11" s="93"/>
      <c r="J11" s="93"/>
      <c r="K11" s="93"/>
      <c r="L11" s="93"/>
      <c r="M11" s="171"/>
    </row>
    <row r="12" spans="1:13" ht="15" customHeight="1" x14ac:dyDescent="0.35">
      <c r="A12" s="170">
        <v>8</v>
      </c>
      <c r="B12" s="137" t="str">
        <f t="shared" si="0"/>
        <v/>
      </c>
      <c r="C12" s="91"/>
      <c r="D12" s="138" t="str">
        <f>IF($C12="","",_xlfn.XLOOKUP($C12,StrategiesSolutions[S&amp;S ID],StrategiesSolutions[Risk ID],""))</f>
        <v/>
      </c>
      <c r="E12" s="91"/>
      <c r="F12" s="93"/>
      <c r="G12" s="93"/>
      <c r="H12" s="94"/>
      <c r="I12" s="93"/>
      <c r="J12" s="93"/>
      <c r="K12" s="93"/>
      <c r="L12" s="93"/>
      <c r="M12" s="171"/>
    </row>
    <row r="13" spans="1:13" ht="15" customHeight="1" x14ac:dyDescent="0.35">
      <c r="A13" s="170">
        <v>9</v>
      </c>
      <c r="B13" s="137" t="str">
        <f t="shared" si="0"/>
        <v/>
      </c>
      <c r="C13" s="91"/>
      <c r="D13" s="138" t="str">
        <f>IF($C13="","",_xlfn.XLOOKUP($C13,StrategiesSolutions[S&amp;S ID],StrategiesSolutions[Risk ID],""))</f>
        <v/>
      </c>
      <c r="E13" s="91"/>
      <c r="F13" s="93"/>
      <c r="G13" s="93"/>
      <c r="H13" s="94"/>
      <c r="I13" s="93"/>
      <c r="J13" s="93"/>
      <c r="K13" s="93"/>
      <c r="L13" s="93"/>
      <c r="M13" s="171"/>
    </row>
    <row r="14" spans="1:13" ht="15" customHeight="1" x14ac:dyDescent="0.35">
      <c r="A14" s="170">
        <v>10</v>
      </c>
      <c r="B14" s="137" t="str">
        <f t="shared" si="0"/>
        <v/>
      </c>
      <c r="C14" s="91"/>
      <c r="D14" s="138" t="str">
        <f>IF($C14="","",_xlfn.XLOOKUP($C14,StrategiesSolutions[S&amp;S ID],StrategiesSolutions[Risk ID],""))</f>
        <v/>
      </c>
      <c r="E14" s="91"/>
      <c r="F14" s="93"/>
      <c r="G14" s="93"/>
      <c r="H14" s="94"/>
      <c r="I14" s="93"/>
      <c r="J14" s="93"/>
      <c r="K14" s="93"/>
      <c r="L14" s="93"/>
      <c r="M14" s="171"/>
    </row>
    <row r="15" spans="1:13" ht="15" customHeight="1" x14ac:dyDescent="0.35">
      <c r="A15" s="170">
        <v>11</v>
      </c>
      <c r="B15" s="137" t="str">
        <f t="shared" si="0"/>
        <v/>
      </c>
      <c r="C15" s="91"/>
      <c r="D15" s="138" t="str">
        <f>IF($C15="","",_xlfn.XLOOKUP($C15,StrategiesSolutions[S&amp;S ID],StrategiesSolutions[Risk ID],""))</f>
        <v/>
      </c>
      <c r="E15" s="91"/>
      <c r="F15" s="93"/>
      <c r="G15" s="93"/>
      <c r="H15" s="94"/>
      <c r="I15" s="93"/>
      <c r="J15" s="93"/>
      <c r="K15" s="93"/>
      <c r="L15" s="93"/>
      <c r="M15" s="171"/>
    </row>
    <row r="16" spans="1:13" ht="15" customHeight="1" x14ac:dyDescent="0.35">
      <c r="A16" s="170">
        <v>12</v>
      </c>
      <c r="B16" s="137" t="str">
        <f t="shared" si="0"/>
        <v/>
      </c>
      <c r="C16" s="91"/>
      <c r="D16" s="138" t="str">
        <f>IF($C16="","",_xlfn.XLOOKUP($C16,StrategiesSolutions[S&amp;S ID],StrategiesSolutions[Risk ID],""))</f>
        <v/>
      </c>
      <c r="E16" s="91"/>
      <c r="F16" s="93"/>
      <c r="G16" s="93"/>
      <c r="H16" s="94"/>
      <c r="I16" s="93"/>
      <c r="J16" s="93"/>
      <c r="K16" s="93"/>
      <c r="L16" s="93"/>
      <c r="M16" s="171"/>
    </row>
    <row r="17" spans="1:13" ht="20.25" customHeight="1" x14ac:dyDescent="0.35">
      <c r="A17" s="170">
        <v>13</v>
      </c>
      <c r="B17" s="137" t="str">
        <f t="shared" si="0"/>
        <v/>
      </c>
      <c r="C17" s="91"/>
      <c r="D17" s="138" t="str">
        <f>IF($C17="","",_xlfn.XLOOKUP($C17,StrategiesSolutions[S&amp;S ID],StrategiesSolutions[Risk ID],""))</f>
        <v/>
      </c>
      <c r="E17" s="91"/>
      <c r="F17" s="93"/>
      <c r="G17" s="93"/>
      <c r="H17" s="94"/>
      <c r="I17" s="93"/>
      <c r="J17" s="93"/>
      <c r="K17" s="93"/>
      <c r="L17" s="93"/>
      <c r="M17" s="171"/>
    </row>
    <row r="18" spans="1:13" ht="15" customHeight="1" x14ac:dyDescent="0.35">
      <c r="A18" s="170">
        <v>14</v>
      </c>
      <c r="B18" s="137" t="str">
        <f t="shared" si="0"/>
        <v/>
      </c>
      <c r="C18" s="91"/>
      <c r="D18" s="138" t="str">
        <f>IF($C18="","",_xlfn.XLOOKUP($C18,StrategiesSolutions[S&amp;S ID],StrategiesSolutions[Risk ID],""))</f>
        <v/>
      </c>
      <c r="E18" s="91"/>
      <c r="F18" s="93"/>
      <c r="G18" s="93"/>
      <c r="H18" s="94"/>
      <c r="I18" s="93"/>
      <c r="J18" s="93"/>
      <c r="K18" s="93"/>
      <c r="L18" s="93"/>
      <c r="M18" s="171"/>
    </row>
    <row r="19" spans="1:13" ht="15" customHeight="1" x14ac:dyDescent="0.35">
      <c r="A19" s="170">
        <v>15</v>
      </c>
      <c r="B19" s="137" t="str">
        <f t="shared" si="0"/>
        <v/>
      </c>
      <c r="C19" s="91"/>
      <c r="D19" s="138" t="str">
        <f>IF($C19="","",_xlfn.XLOOKUP($C19,StrategiesSolutions[S&amp;S ID],StrategiesSolutions[Risk ID],""))</f>
        <v/>
      </c>
      <c r="E19" s="91"/>
      <c r="F19" s="93"/>
      <c r="G19" s="93"/>
      <c r="H19" s="94"/>
      <c r="I19" s="93"/>
      <c r="J19" s="93"/>
      <c r="K19" s="93"/>
      <c r="L19" s="93"/>
      <c r="M19" s="171"/>
    </row>
    <row r="20" spans="1:13" ht="15" customHeight="1" x14ac:dyDescent="0.35">
      <c r="A20" s="170">
        <v>16</v>
      </c>
      <c r="B20" s="137" t="str">
        <f t="shared" si="0"/>
        <v/>
      </c>
      <c r="C20" s="91"/>
      <c r="D20" s="138" t="str">
        <f>IF($C20="","",_xlfn.XLOOKUP($C20,StrategiesSolutions[S&amp;S ID],StrategiesSolutions[Risk ID],""))</f>
        <v/>
      </c>
      <c r="E20" s="91"/>
      <c r="F20" s="93"/>
      <c r="G20" s="93"/>
      <c r="H20" s="94"/>
      <c r="I20" s="93"/>
      <c r="J20" s="93"/>
      <c r="K20" s="93"/>
      <c r="L20" s="93"/>
      <c r="M20" s="171"/>
    </row>
    <row r="21" spans="1:13" ht="15" customHeight="1" x14ac:dyDescent="0.35">
      <c r="A21" s="170">
        <v>17</v>
      </c>
      <c r="B21" s="137" t="str">
        <f t="shared" si="0"/>
        <v/>
      </c>
      <c r="C21" s="91"/>
      <c r="D21" s="138" t="str">
        <f>IF($C21="","",_xlfn.XLOOKUP($C21,StrategiesSolutions[S&amp;S ID],StrategiesSolutions[Risk ID],""))</f>
        <v/>
      </c>
      <c r="E21" s="91"/>
      <c r="F21" s="93"/>
      <c r="G21" s="93"/>
      <c r="H21" s="94"/>
      <c r="I21" s="93"/>
      <c r="J21" s="93"/>
      <c r="K21" s="93"/>
      <c r="L21" s="93"/>
      <c r="M21" s="171"/>
    </row>
    <row r="22" spans="1:13" ht="15" customHeight="1" x14ac:dyDescent="0.35">
      <c r="A22" s="170">
        <v>18</v>
      </c>
      <c r="B22" s="137" t="str">
        <f t="shared" si="0"/>
        <v/>
      </c>
      <c r="C22" s="91"/>
      <c r="D22" s="138" t="str">
        <f>IF($C22="","",_xlfn.XLOOKUP($C22,StrategiesSolutions[S&amp;S ID],StrategiesSolutions[Risk ID],""))</f>
        <v/>
      </c>
      <c r="E22" s="91"/>
      <c r="F22" s="93"/>
      <c r="G22" s="93"/>
      <c r="H22" s="94"/>
      <c r="I22" s="93"/>
      <c r="J22" s="93"/>
      <c r="K22" s="93"/>
      <c r="L22" s="93"/>
      <c r="M22" s="171"/>
    </row>
    <row r="23" spans="1:13" ht="15" customHeight="1" x14ac:dyDescent="0.35">
      <c r="A23" s="170">
        <v>19</v>
      </c>
      <c r="B23" s="137" t="str">
        <f t="shared" si="0"/>
        <v/>
      </c>
      <c r="C23" s="91"/>
      <c r="D23" s="138" t="str">
        <f>IF($C23="","",_xlfn.XLOOKUP($C23,StrategiesSolutions[S&amp;S ID],StrategiesSolutions[Risk ID],""))</f>
        <v/>
      </c>
      <c r="E23" s="91"/>
      <c r="F23" s="93"/>
      <c r="G23" s="93"/>
      <c r="H23" s="94"/>
      <c r="I23" s="93"/>
      <c r="J23" s="93"/>
      <c r="K23" s="93"/>
      <c r="L23" s="93"/>
      <c r="M23" s="171"/>
    </row>
    <row r="24" spans="1:13" ht="15" customHeight="1" x14ac:dyDescent="0.35">
      <c r="A24" s="170">
        <v>20</v>
      </c>
      <c r="B24" s="137" t="str">
        <f t="shared" si="0"/>
        <v/>
      </c>
      <c r="C24" s="91"/>
      <c r="D24" s="138" t="str">
        <f>IF($C24="","",_xlfn.XLOOKUP($C24,StrategiesSolutions[S&amp;S ID],StrategiesSolutions[Risk ID],""))</f>
        <v/>
      </c>
      <c r="E24" s="91"/>
      <c r="F24" s="93"/>
      <c r="G24" s="93"/>
      <c r="H24" s="94"/>
      <c r="I24" s="93"/>
      <c r="J24" s="93"/>
      <c r="K24" s="93"/>
      <c r="L24" s="93"/>
      <c r="M24" s="171"/>
    </row>
    <row r="25" spans="1:13" ht="15" customHeight="1" x14ac:dyDescent="0.35">
      <c r="A25" s="170">
        <v>21</v>
      </c>
      <c r="B25" s="137" t="str">
        <f t="shared" si="0"/>
        <v/>
      </c>
      <c r="C25" s="91"/>
      <c r="D25" s="138" t="str">
        <f>IF($C25="","",_xlfn.XLOOKUP($C25,StrategiesSolutions[S&amp;S ID],StrategiesSolutions[Risk ID],""))</f>
        <v/>
      </c>
      <c r="E25" s="91"/>
      <c r="F25" s="93"/>
      <c r="G25" s="93"/>
      <c r="H25" s="94"/>
      <c r="I25" s="93"/>
      <c r="J25" s="93"/>
      <c r="K25" s="93"/>
      <c r="L25" s="93"/>
      <c r="M25" s="171"/>
    </row>
    <row r="26" spans="1:13" ht="15" customHeight="1" x14ac:dyDescent="0.35">
      <c r="A26" s="170">
        <v>22</v>
      </c>
      <c r="B26" s="137" t="str">
        <f t="shared" si="0"/>
        <v/>
      </c>
      <c r="C26" s="91"/>
      <c r="D26" s="138" t="str">
        <f>IF($C26="","",_xlfn.XLOOKUP($C26,StrategiesSolutions[S&amp;S ID],StrategiesSolutions[Risk ID],""))</f>
        <v/>
      </c>
      <c r="E26" s="91"/>
      <c r="F26" s="93"/>
      <c r="G26" s="93"/>
      <c r="H26" s="94"/>
      <c r="I26" s="93"/>
      <c r="J26" s="93"/>
      <c r="K26" s="93"/>
      <c r="L26" s="93"/>
      <c r="M26" s="171"/>
    </row>
    <row r="27" spans="1:13" ht="15" customHeight="1" x14ac:dyDescent="0.35">
      <c r="A27" s="170">
        <v>23</v>
      </c>
      <c r="B27" s="137" t="str">
        <f t="shared" si="0"/>
        <v/>
      </c>
      <c r="C27" s="91"/>
      <c r="D27" s="138" t="str">
        <f>IF($C27="","",_xlfn.XLOOKUP($C27,StrategiesSolutions[S&amp;S ID],StrategiesSolutions[Risk ID],""))</f>
        <v/>
      </c>
      <c r="E27" s="91"/>
      <c r="F27" s="93"/>
      <c r="G27" s="93"/>
      <c r="H27" s="94"/>
      <c r="I27" s="93"/>
      <c r="J27" s="93"/>
      <c r="K27" s="93"/>
      <c r="L27" s="93"/>
      <c r="M27" s="171"/>
    </row>
    <row r="28" spans="1:13" ht="15" customHeight="1" x14ac:dyDescent="0.35">
      <c r="A28" s="170">
        <v>24</v>
      </c>
      <c r="B28" s="137" t="str">
        <f t="shared" si="0"/>
        <v/>
      </c>
      <c r="C28" s="91"/>
      <c r="D28" s="138" t="str">
        <f>IF($C28="","",_xlfn.XLOOKUP($C28,StrategiesSolutions[S&amp;S ID],StrategiesSolutions[Risk ID],""))</f>
        <v/>
      </c>
      <c r="E28" s="91"/>
      <c r="F28" s="93"/>
      <c r="G28" s="93"/>
      <c r="H28" s="94"/>
      <c r="I28" s="93"/>
      <c r="J28" s="93"/>
      <c r="K28" s="93"/>
      <c r="L28" s="93"/>
      <c r="M28" s="171"/>
    </row>
    <row r="29" spans="1:13" ht="20.25" customHeight="1" x14ac:dyDescent="0.35">
      <c r="A29" s="170">
        <v>25</v>
      </c>
      <c r="B29" s="137" t="str">
        <f t="shared" si="0"/>
        <v/>
      </c>
      <c r="C29" s="91"/>
      <c r="D29" s="138" t="str">
        <f>IF($C29="","",_xlfn.XLOOKUP($C29,StrategiesSolutions[S&amp;S ID],StrategiesSolutions[Risk ID],""))</f>
        <v/>
      </c>
      <c r="E29" s="91"/>
      <c r="F29" s="93"/>
      <c r="G29" s="93"/>
      <c r="H29" s="94"/>
      <c r="I29" s="93"/>
      <c r="J29" s="93"/>
      <c r="K29" s="93"/>
      <c r="L29" s="93"/>
      <c r="M29" s="171"/>
    </row>
    <row r="30" spans="1:13" ht="15" customHeight="1" x14ac:dyDescent="0.35">
      <c r="A30" s="170">
        <v>26</v>
      </c>
      <c r="B30" s="137" t="str">
        <f t="shared" si="0"/>
        <v/>
      </c>
      <c r="C30" s="91"/>
      <c r="D30" s="138" t="str">
        <f>IF($C30="","",_xlfn.XLOOKUP($C30,StrategiesSolutions[S&amp;S ID],StrategiesSolutions[Risk ID],""))</f>
        <v/>
      </c>
      <c r="E30" s="91"/>
      <c r="F30" s="93"/>
      <c r="G30" s="93"/>
      <c r="H30" s="94"/>
      <c r="I30" s="93"/>
      <c r="J30" s="93"/>
      <c r="K30" s="93"/>
      <c r="L30" s="93"/>
      <c r="M30" s="171"/>
    </row>
    <row r="31" spans="1:13" ht="15" customHeight="1" x14ac:dyDescent="0.35">
      <c r="A31" s="170">
        <v>27</v>
      </c>
      <c r="B31" s="137" t="str">
        <f t="shared" si="0"/>
        <v/>
      </c>
      <c r="C31" s="91"/>
      <c r="D31" s="138" t="str">
        <f>IF($C31="","",_xlfn.XLOOKUP($C31,StrategiesSolutions[S&amp;S ID],StrategiesSolutions[Risk ID],""))</f>
        <v/>
      </c>
      <c r="E31" s="91"/>
      <c r="F31" s="93"/>
      <c r="G31" s="93"/>
      <c r="H31" s="94"/>
      <c r="I31" s="93"/>
      <c r="J31" s="93"/>
      <c r="K31" s="93"/>
      <c r="L31" s="93"/>
      <c r="M31" s="171"/>
    </row>
    <row r="32" spans="1:13" ht="15" customHeight="1" x14ac:dyDescent="0.35">
      <c r="A32" s="170">
        <v>28</v>
      </c>
      <c r="B32" s="137" t="str">
        <f t="shared" si="0"/>
        <v/>
      </c>
      <c r="C32" s="91"/>
      <c r="D32" s="138" t="str">
        <f>IF($C32="","",_xlfn.XLOOKUP($C32,StrategiesSolutions[S&amp;S ID],StrategiesSolutions[Risk ID],""))</f>
        <v/>
      </c>
      <c r="E32" s="91"/>
      <c r="F32" s="93"/>
      <c r="G32" s="93"/>
      <c r="H32" s="94"/>
      <c r="I32" s="93"/>
      <c r="J32" s="93"/>
      <c r="K32" s="93"/>
      <c r="L32" s="93"/>
      <c r="M32" s="171"/>
    </row>
    <row r="33" spans="1:13" ht="15" customHeight="1" x14ac:dyDescent="0.35">
      <c r="A33" s="170">
        <v>29</v>
      </c>
      <c r="B33" s="137" t="str">
        <f t="shared" si="0"/>
        <v/>
      </c>
      <c r="C33" s="91"/>
      <c r="D33" s="138" t="str">
        <f>IF($C33="","",_xlfn.XLOOKUP($C33,StrategiesSolutions[S&amp;S ID],StrategiesSolutions[Risk ID],""))</f>
        <v/>
      </c>
      <c r="E33" s="91"/>
      <c r="F33" s="93"/>
      <c r="G33" s="93"/>
      <c r="H33" s="94"/>
      <c r="I33" s="93"/>
      <c r="J33" s="93"/>
      <c r="K33" s="93"/>
      <c r="L33" s="93"/>
      <c r="M33" s="171"/>
    </row>
    <row r="34" spans="1:13" ht="15" customHeight="1" x14ac:dyDescent="0.35">
      <c r="A34" s="170">
        <v>30</v>
      </c>
      <c r="B34" s="137" t="str">
        <f t="shared" si="0"/>
        <v/>
      </c>
      <c r="C34" s="91"/>
      <c r="D34" s="138" t="str">
        <f>IF($C34="","",_xlfn.XLOOKUP($C34,StrategiesSolutions[S&amp;S ID],StrategiesSolutions[Risk ID],""))</f>
        <v/>
      </c>
      <c r="E34" s="91"/>
      <c r="F34" s="93"/>
      <c r="G34" s="93"/>
      <c r="H34" s="94"/>
      <c r="I34" s="93"/>
      <c r="J34" s="93"/>
      <c r="K34" s="93"/>
      <c r="L34" s="93"/>
      <c r="M34" s="171"/>
    </row>
    <row r="35" spans="1:13" ht="15" customHeight="1" x14ac:dyDescent="0.35">
      <c r="A35" s="170">
        <v>31</v>
      </c>
      <c r="B35" s="137" t="str">
        <f t="shared" si="0"/>
        <v/>
      </c>
      <c r="C35" s="91"/>
      <c r="D35" s="138" t="str">
        <f>IF($C35="","",_xlfn.XLOOKUP($C35,StrategiesSolutions[S&amp;S ID],StrategiesSolutions[Risk ID],""))</f>
        <v/>
      </c>
      <c r="E35" s="91"/>
      <c r="F35" s="93"/>
      <c r="G35" s="93"/>
      <c r="H35" s="94"/>
      <c r="I35" s="93"/>
      <c r="J35" s="93"/>
      <c r="K35" s="93"/>
      <c r="L35" s="93"/>
      <c r="M35" s="171"/>
    </row>
    <row r="36" spans="1:13" ht="15" customHeight="1" x14ac:dyDescent="0.35">
      <c r="A36" s="170">
        <v>32</v>
      </c>
      <c r="B36" s="137" t="str">
        <f t="shared" si="0"/>
        <v/>
      </c>
      <c r="C36" s="91"/>
      <c r="D36" s="138" t="str">
        <f>IF($C36="","",_xlfn.XLOOKUP($C36,StrategiesSolutions[S&amp;S ID],StrategiesSolutions[Risk ID],""))</f>
        <v/>
      </c>
      <c r="E36" s="91"/>
      <c r="F36" s="93"/>
      <c r="G36" s="93"/>
      <c r="H36" s="94"/>
      <c r="I36" s="93"/>
      <c r="J36" s="93"/>
      <c r="K36" s="93"/>
      <c r="L36" s="93"/>
      <c r="M36" s="171"/>
    </row>
    <row r="37" spans="1:13" ht="15" customHeight="1" x14ac:dyDescent="0.35">
      <c r="A37" s="170">
        <v>33</v>
      </c>
      <c r="B37" s="137" t="str">
        <f t="shared" si="0"/>
        <v/>
      </c>
      <c r="C37" s="91"/>
      <c r="D37" s="138" t="str">
        <f>IF($C37="","",_xlfn.XLOOKUP($C37,StrategiesSolutions[S&amp;S ID],StrategiesSolutions[Risk ID],""))</f>
        <v/>
      </c>
      <c r="E37" s="91"/>
      <c r="F37" s="93"/>
      <c r="G37" s="93"/>
      <c r="H37" s="94"/>
      <c r="I37" s="93"/>
      <c r="J37" s="93"/>
      <c r="K37" s="93"/>
      <c r="L37" s="93"/>
      <c r="M37" s="171"/>
    </row>
    <row r="38" spans="1:13" ht="15" customHeight="1" x14ac:dyDescent="0.35">
      <c r="A38" s="170">
        <v>34</v>
      </c>
      <c r="B38" s="137" t="str">
        <f t="shared" si="0"/>
        <v/>
      </c>
      <c r="C38" s="91"/>
      <c r="D38" s="138" t="str">
        <f>IF($C38="","",_xlfn.XLOOKUP($C38,StrategiesSolutions[S&amp;S ID],StrategiesSolutions[Risk ID],""))</f>
        <v/>
      </c>
      <c r="E38" s="91"/>
      <c r="F38" s="93"/>
      <c r="G38" s="93"/>
      <c r="H38" s="94"/>
      <c r="I38" s="93"/>
      <c r="J38" s="93"/>
      <c r="K38" s="93"/>
      <c r="L38" s="93"/>
      <c r="M38" s="171"/>
    </row>
    <row r="39" spans="1:13" ht="15" customHeight="1" x14ac:dyDescent="0.35">
      <c r="A39" s="170">
        <v>35</v>
      </c>
      <c r="B39" s="137" t="str">
        <f t="shared" si="0"/>
        <v/>
      </c>
      <c r="C39" s="91"/>
      <c r="D39" s="138" t="str">
        <f>IF($C39="","",_xlfn.XLOOKUP($C39,StrategiesSolutions[S&amp;S ID],StrategiesSolutions[Risk ID],""))</f>
        <v/>
      </c>
      <c r="E39" s="91"/>
      <c r="F39" s="93"/>
      <c r="G39" s="93"/>
      <c r="H39" s="94"/>
      <c r="I39" s="93"/>
      <c r="J39" s="93"/>
      <c r="K39" s="93"/>
      <c r="L39" s="93"/>
      <c r="M39" s="171"/>
    </row>
    <row r="40" spans="1:13" ht="15" customHeight="1" x14ac:dyDescent="0.35">
      <c r="A40" s="170">
        <v>36</v>
      </c>
      <c r="B40" s="137" t="str">
        <f t="shared" si="0"/>
        <v/>
      </c>
      <c r="C40" s="91"/>
      <c r="D40" s="138" t="str">
        <f>IF($C40="","",_xlfn.XLOOKUP($C40,StrategiesSolutions[S&amp;S ID],StrategiesSolutions[Risk ID],""))</f>
        <v/>
      </c>
      <c r="E40" s="91"/>
      <c r="F40" s="93"/>
      <c r="G40" s="93"/>
      <c r="H40" s="94"/>
      <c r="I40" s="93"/>
      <c r="J40" s="93"/>
      <c r="K40" s="93"/>
      <c r="L40" s="93"/>
      <c r="M40" s="171"/>
    </row>
    <row r="41" spans="1:13" ht="15" customHeight="1" x14ac:dyDescent="0.35">
      <c r="A41" s="170">
        <v>37</v>
      </c>
      <c r="B41" s="137" t="str">
        <f t="shared" si="0"/>
        <v/>
      </c>
      <c r="C41" s="91"/>
      <c r="D41" s="138" t="str">
        <f>IF($C41="","",_xlfn.XLOOKUP($C41,StrategiesSolutions[S&amp;S ID],StrategiesSolutions[Risk ID],""))</f>
        <v/>
      </c>
      <c r="E41" s="91"/>
      <c r="F41" s="93"/>
      <c r="G41" s="93"/>
      <c r="H41" s="94"/>
      <c r="I41" s="93"/>
      <c r="J41" s="93"/>
      <c r="K41" s="93"/>
      <c r="L41" s="93"/>
      <c r="M41" s="171"/>
    </row>
    <row r="42" spans="1:13" ht="15" customHeight="1" x14ac:dyDescent="0.35">
      <c r="A42" s="170">
        <v>38</v>
      </c>
      <c r="B42" s="137" t="str">
        <f t="shared" si="0"/>
        <v/>
      </c>
      <c r="C42" s="91"/>
      <c r="D42" s="138" t="str">
        <f>IF($C42="","",_xlfn.XLOOKUP($C42,StrategiesSolutions[S&amp;S ID],StrategiesSolutions[Risk ID],""))</f>
        <v/>
      </c>
      <c r="E42" s="91"/>
      <c r="F42" s="93"/>
      <c r="G42" s="93"/>
      <c r="H42" s="94"/>
      <c r="I42" s="93"/>
      <c r="J42" s="93"/>
      <c r="K42" s="93"/>
      <c r="L42" s="93"/>
      <c r="M42" s="171"/>
    </row>
    <row r="43" spans="1:13" ht="15" customHeight="1" x14ac:dyDescent="0.35">
      <c r="A43" s="170">
        <v>39</v>
      </c>
      <c r="B43" s="137" t="str">
        <f t="shared" si="0"/>
        <v/>
      </c>
      <c r="C43" s="91"/>
      <c r="D43" s="138" t="str">
        <f>IF($C43="","",_xlfn.XLOOKUP($C43,StrategiesSolutions[S&amp;S ID],StrategiesSolutions[Risk ID],""))</f>
        <v/>
      </c>
      <c r="E43" s="91"/>
      <c r="F43" s="93"/>
      <c r="G43" s="93"/>
      <c r="H43" s="94"/>
      <c r="I43" s="93"/>
      <c r="J43" s="93"/>
      <c r="K43" s="93"/>
      <c r="L43" s="93"/>
      <c r="M43" s="171"/>
    </row>
    <row r="44" spans="1:13" ht="15" customHeight="1" x14ac:dyDescent="0.35">
      <c r="A44" s="170">
        <v>40</v>
      </c>
      <c r="B44" s="137" t="str">
        <f t="shared" si="0"/>
        <v/>
      </c>
      <c r="C44" s="91"/>
      <c r="D44" s="138" t="str">
        <f>IF($C44="","",_xlfn.XLOOKUP($C44,StrategiesSolutions[S&amp;S ID],StrategiesSolutions[Risk ID],""))</f>
        <v/>
      </c>
      <c r="E44" s="91"/>
      <c r="F44" s="93"/>
      <c r="G44" s="93"/>
      <c r="H44" s="94"/>
      <c r="I44" s="93"/>
      <c r="J44" s="93"/>
      <c r="K44" s="93"/>
      <c r="L44" s="93"/>
      <c r="M44" s="171"/>
    </row>
    <row r="45" spans="1:13" ht="15" customHeight="1" x14ac:dyDescent="0.35">
      <c r="A45" s="170">
        <v>41</v>
      </c>
      <c r="B45" s="137" t="str">
        <f t="shared" si="0"/>
        <v/>
      </c>
      <c r="C45" s="91"/>
      <c r="D45" s="138" t="str">
        <f>IF($C45="","",_xlfn.XLOOKUP($C45,StrategiesSolutions[S&amp;S ID],StrategiesSolutions[Risk ID],""))</f>
        <v/>
      </c>
      <c r="E45" s="91"/>
      <c r="F45" s="93"/>
      <c r="G45" s="93"/>
      <c r="H45" s="94"/>
      <c r="I45" s="93"/>
      <c r="J45" s="93"/>
      <c r="K45" s="93"/>
      <c r="L45" s="93"/>
      <c r="M45" s="171"/>
    </row>
    <row r="46" spans="1:13" ht="15" customHeight="1" x14ac:dyDescent="0.35">
      <c r="A46" s="170">
        <v>42</v>
      </c>
      <c r="B46" s="137" t="str">
        <f t="shared" si="0"/>
        <v/>
      </c>
      <c r="C46" s="91"/>
      <c r="D46" s="138" t="str">
        <f>IF($C46="","",_xlfn.XLOOKUP($C46,StrategiesSolutions[S&amp;S ID],StrategiesSolutions[Risk ID],""))</f>
        <v/>
      </c>
      <c r="E46" s="91"/>
      <c r="F46" s="93"/>
      <c r="G46" s="93"/>
      <c r="H46" s="94"/>
      <c r="I46" s="93"/>
      <c r="J46" s="93"/>
      <c r="K46" s="93"/>
      <c r="L46" s="93"/>
      <c r="M46" s="171"/>
    </row>
    <row r="47" spans="1:13" ht="15" customHeight="1" x14ac:dyDescent="0.35">
      <c r="A47" s="170">
        <v>43</v>
      </c>
      <c r="B47" s="137" t="str">
        <f t="shared" si="0"/>
        <v/>
      </c>
      <c r="C47" s="91"/>
      <c r="D47" s="138" t="str">
        <f>IF($C47="","",_xlfn.XLOOKUP($C47,StrategiesSolutions[S&amp;S ID],StrategiesSolutions[Risk ID],""))</f>
        <v/>
      </c>
      <c r="E47" s="91"/>
      <c r="F47" s="93"/>
      <c r="G47" s="93"/>
      <c r="H47" s="94"/>
      <c r="I47" s="93"/>
      <c r="J47" s="93"/>
      <c r="K47" s="93"/>
      <c r="L47" s="93"/>
      <c r="M47" s="171"/>
    </row>
    <row r="48" spans="1:13" ht="15" customHeight="1" x14ac:dyDescent="0.35">
      <c r="A48" s="170">
        <v>44</v>
      </c>
      <c r="B48" s="137" t="str">
        <f t="shared" si="0"/>
        <v/>
      </c>
      <c r="C48" s="91"/>
      <c r="D48" s="138" t="str">
        <f>IF($C48="","",_xlfn.XLOOKUP($C48,StrategiesSolutions[S&amp;S ID],StrategiesSolutions[Risk ID],""))</f>
        <v/>
      </c>
      <c r="E48" s="91"/>
      <c r="F48" s="93"/>
      <c r="G48" s="93"/>
      <c r="H48" s="94"/>
      <c r="I48" s="93"/>
      <c r="J48" s="93"/>
      <c r="K48" s="93"/>
      <c r="L48" s="93"/>
      <c r="M48" s="171"/>
    </row>
    <row r="49" spans="1:13" ht="15" customHeight="1" x14ac:dyDescent="0.35">
      <c r="A49" s="170">
        <v>45</v>
      </c>
      <c r="B49" s="137" t="str">
        <f t="shared" si="0"/>
        <v/>
      </c>
      <c r="C49" s="91"/>
      <c r="D49" s="138" t="str">
        <f>IF($C49="","",_xlfn.XLOOKUP($C49,StrategiesSolutions[S&amp;S ID],StrategiesSolutions[Risk ID],""))</f>
        <v/>
      </c>
      <c r="E49" s="91"/>
      <c r="F49" s="93"/>
      <c r="G49" s="93"/>
      <c r="H49" s="94"/>
      <c r="I49" s="93"/>
      <c r="J49" s="93"/>
      <c r="K49" s="93"/>
      <c r="L49" s="93"/>
      <c r="M49" s="171"/>
    </row>
    <row r="50" spans="1:13" ht="15" customHeight="1" x14ac:dyDescent="0.35">
      <c r="A50" s="170">
        <v>46</v>
      </c>
      <c r="B50" s="137" t="str">
        <f t="shared" si="0"/>
        <v/>
      </c>
      <c r="C50" s="91"/>
      <c r="D50" s="138" t="str">
        <f>IF($C50="","",_xlfn.XLOOKUP($C50,StrategiesSolutions[S&amp;S ID],StrategiesSolutions[Risk ID],""))</f>
        <v/>
      </c>
      <c r="E50" s="91"/>
      <c r="F50" s="93"/>
      <c r="G50" s="93"/>
      <c r="H50" s="94"/>
      <c r="I50" s="93"/>
      <c r="J50" s="93"/>
      <c r="K50" s="93"/>
      <c r="L50" s="93"/>
      <c r="M50" s="171"/>
    </row>
    <row r="51" spans="1:13" ht="15" customHeight="1" x14ac:dyDescent="0.35">
      <c r="A51" s="170">
        <v>47</v>
      </c>
      <c r="B51" s="137" t="str">
        <f t="shared" si="0"/>
        <v/>
      </c>
      <c r="C51" s="91"/>
      <c r="D51" s="138" t="str">
        <f>IF($C51="","",_xlfn.XLOOKUP($C51,StrategiesSolutions[S&amp;S ID],StrategiesSolutions[Risk ID],""))</f>
        <v/>
      </c>
      <c r="E51" s="91"/>
      <c r="F51" s="93"/>
      <c r="G51" s="93"/>
      <c r="H51" s="94"/>
      <c r="I51" s="93"/>
      <c r="J51" s="93"/>
      <c r="K51" s="93"/>
      <c r="L51" s="93"/>
      <c r="M51" s="171"/>
    </row>
    <row r="52" spans="1:13" ht="15" customHeight="1" x14ac:dyDescent="0.35">
      <c r="A52" s="170">
        <v>48</v>
      </c>
      <c r="B52" s="137" t="str">
        <f t="shared" si="0"/>
        <v/>
      </c>
      <c r="C52" s="91"/>
      <c r="D52" s="138" t="str">
        <f>IF($C52="","",_xlfn.XLOOKUP($C52,StrategiesSolutions[S&amp;S ID],StrategiesSolutions[Risk ID],""))</f>
        <v/>
      </c>
      <c r="E52" s="91"/>
      <c r="F52" s="93"/>
      <c r="G52" s="93"/>
      <c r="H52" s="94"/>
      <c r="I52" s="93"/>
      <c r="J52" s="93"/>
      <c r="K52" s="93"/>
      <c r="L52" s="93"/>
      <c r="M52" s="171"/>
    </row>
    <row r="53" spans="1:13" ht="15" customHeight="1" x14ac:dyDescent="0.35">
      <c r="A53" s="170">
        <v>49</v>
      </c>
      <c r="B53" s="137" t="str">
        <f t="shared" si="0"/>
        <v/>
      </c>
      <c r="C53" s="91"/>
      <c r="D53" s="138" t="str">
        <f>IF($C53="","",_xlfn.XLOOKUP($C53,StrategiesSolutions[S&amp;S ID],StrategiesSolutions[Risk ID],""))</f>
        <v/>
      </c>
      <c r="E53" s="91"/>
      <c r="F53" s="93"/>
      <c r="G53" s="93"/>
      <c r="H53" s="94"/>
      <c r="I53" s="93"/>
      <c r="J53" s="93"/>
      <c r="K53" s="93"/>
      <c r="L53" s="93"/>
      <c r="M53" s="171"/>
    </row>
    <row r="54" spans="1:13" ht="15" customHeight="1" x14ac:dyDescent="0.35">
      <c r="A54" s="170">
        <v>50</v>
      </c>
      <c r="B54" s="137" t="str">
        <f t="shared" si="0"/>
        <v/>
      </c>
      <c r="C54" s="91"/>
      <c r="D54" s="138" t="str">
        <f>IF($C54="","",_xlfn.XLOOKUP($C54,StrategiesSolutions[S&amp;S ID],StrategiesSolutions[Risk ID],""))</f>
        <v/>
      </c>
      <c r="E54" s="91"/>
      <c r="F54" s="93"/>
      <c r="G54" s="93"/>
      <c r="H54" s="94"/>
      <c r="I54" s="93"/>
      <c r="J54" s="93"/>
      <c r="K54" s="93"/>
      <c r="L54" s="93"/>
      <c r="M54" s="171"/>
    </row>
    <row r="55" spans="1:13" ht="15" customHeight="1" x14ac:dyDescent="0.35">
      <c r="A55" s="170">
        <v>51</v>
      </c>
      <c r="B55" s="137" t="str">
        <f t="shared" si="0"/>
        <v/>
      </c>
      <c r="C55" s="91"/>
      <c r="D55" s="138" t="str">
        <f>IF($C55="","",_xlfn.XLOOKUP($C55,StrategiesSolutions[S&amp;S ID],StrategiesSolutions[Risk ID],""))</f>
        <v/>
      </c>
      <c r="E55" s="91"/>
      <c r="F55" s="93"/>
      <c r="G55" s="93"/>
      <c r="H55" s="94"/>
      <c r="I55" s="93"/>
      <c r="J55" s="93"/>
      <c r="K55" s="93"/>
      <c r="L55" s="93"/>
      <c r="M55" s="171"/>
    </row>
    <row r="56" spans="1:13" ht="15" customHeight="1" x14ac:dyDescent="0.35">
      <c r="A56" s="170">
        <v>52</v>
      </c>
      <c r="B56" s="137" t="str">
        <f t="shared" si="0"/>
        <v/>
      </c>
      <c r="C56" s="91"/>
      <c r="D56" s="138" t="str">
        <f>IF($C56="","",_xlfn.XLOOKUP($C56,StrategiesSolutions[S&amp;S ID],StrategiesSolutions[Risk ID],""))</f>
        <v/>
      </c>
      <c r="E56" s="91"/>
      <c r="F56" s="93"/>
      <c r="G56" s="93"/>
      <c r="H56" s="94"/>
      <c r="I56" s="93"/>
      <c r="J56" s="93"/>
      <c r="K56" s="93"/>
      <c r="L56" s="93"/>
      <c r="M56" s="171"/>
    </row>
    <row r="57" spans="1:13" ht="15" customHeight="1" x14ac:dyDescent="0.35">
      <c r="A57" s="170">
        <v>53</v>
      </c>
      <c r="B57" s="137" t="str">
        <f t="shared" si="0"/>
        <v/>
      </c>
      <c r="C57" s="91"/>
      <c r="D57" s="138" t="str">
        <f>IF($C57="","",_xlfn.XLOOKUP($C57,StrategiesSolutions[S&amp;S ID],StrategiesSolutions[Risk ID],""))</f>
        <v/>
      </c>
      <c r="E57" s="91"/>
      <c r="F57" s="93"/>
      <c r="G57" s="93"/>
      <c r="H57" s="94"/>
      <c r="I57" s="93"/>
      <c r="J57" s="93"/>
      <c r="K57" s="93"/>
      <c r="L57" s="93"/>
      <c r="M57" s="171"/>
    </row>
    <row r="58" spans="1:13" ht="15" customHeight="1" x14ac:dyDescent="0.35">
      <c r="A58" s="170">
        <v>54</v>
      </c>
      <c r="B58" s="137" t="str">
        <f t="shared" si="0"/>
        <v/>
      </c>
      <c r="C58" s="91"/>
      <c r="D58" s="138" t="str">
        <f>IF($C58="","",_xlfn.XLOOKUP($C58,StrategiesSolutions[S&amp;S ID],StrategiesSolutions[Risk ID],""))</f>
        <v/>
      </c>
      <c r="E58" s="91"/>
      <c r="F58" s="93"/>
      <c r="G58" s="93"/>
      <c r="H58" s="94"/>
      <c r="I58" s="93"/>
      <c r="J58" s="93"/>
      <c r="K58" s="93"/>
      <c r="L58" s="93"/>
      <c r="M58" s="171"/>
    </row>
    <row r="59" spans="1:13" ht="15" customHeight="1" x14ac:dyDescent="0.35">
      <c r="A59" s="170">
        <v>55</v>
      </c>
      <c r="B59" s="137" t="str">
        <f t="shared" si="0"/>
        <v/>
      </c>
      <c r="C59" s="91"/>
      <c r="D59" s="138" t="str">
        <f>IF($C59="","",_xlfn.XLOOKUP($C59,StrategiesSolutions[S&amp;S ID],StrategiesSolutions[Risk ID],""))</f>
        <v/>
      </c>
      <c r="E59" s="91"/>
      <c r="F59" s="93"/>
      <c r="G59" s="93"/>
      <c r="H59" s="94"/>
      <c r="I59" s="93"/>
      <c r="J59" s="93"/>
      <c r="K59" s="93"/>
      <c r="L59" s="93"/>
      <c r="M59" s="171"/>
    </row>
    <row r="60" spans="1:13" ht="15" customHeight="1" x14ac:dyDescent="0.35">
      <c r="A60" s="170">
        <v>56</v>
      </c>
      <c r="B60" s="137" t="str">
        <f t="shared" si="0"/>
        <v/>
      </c>
      <c r="C60" s="91"/>
      <c r="D60" s="138" t="str">
        <f>IF($C60="","",_xlfn.XLOOKUP($C60,StrategiesSolutions[S&amp;S ID],StrategiesSolutions[Risk ID],""))</f>
        <v/>
      </c>
      <c r="E60" s="91"/>
      <c r="F60" s="93"/>
      <c r="G60" s="93"/>
      <c r="H60" s="94"/>
      <c r="I60" s="93"/>
      <c r="J60" s="93"/>
      <c r="K60" s="93"/>
      <c r="L60" s="93"/>
      <c r="M60" s="171"/>
    </row>
    <row r="61" spans="1:13" ht="15" customHeight="1" x14ac:dyDescent="0.35">
      <c r="A61" s="170">
        <v>57</v>
      </c>
      <c r="B61" s="137" t="str">
        <f t="shared" si="0"/>
        <v/>
      </c>
      <c r="C61" s="91"/>
      <c r="D61" s="138" t="str">
        <f>IF($C61="","",_xlfn.XLOOKUP($C61,StrategiesSolutions[S&amp;S ID],StrategiesSolutions[Risk ID],""))</f>
        <v/>
      </c>
      <c r="E61" s="91"/>
      <c r="F61" s="93"/>
      <c r="G61" s="93"/>
      <c r="H61" s="94"/>
      <c r="I61" s="93"/>
      <c r="J61" s="93"/>
      <c r="K61" s="93"/>
      <c r="L61" s="93"/>
      <c r="M61" s="171"/>
    </row>
    <row r="62" spans="1:13" ht="15" customHeight="1" x14ac:dyDescent="0.35">
      <c r="A62" s="170">
        <v>58</v>
      </c>
      <c r="B62" s="137" t="str">
        <f t="shared" si="0"/>
        <v/>
      </c>
      <c r="C62" s="91"/>
      <c r="D62" s="138" t="str">
        <f>IF($C62="","",_xlfn.XLOOKUP($C62,StrategiesSolutions[S&amp;S ID],StrategiesSolutions[Risk ID],""))</f>
        <v/>
      </c>
      <c r="E62" s="91"/>
      <c r="F62" s="93"/>
      <c r="G62" s="93"/>
      <c r="H62" s="94"/>
      <c r="I62" s="93"/>
      <c r="J62" s="93"/>
      <c r="K62" s="93"/>
      <c r="L62" s="93"/>
      <c r="M62" s="171"/>
    </row>
    <row r="63" spans="1:13" ht="15" customHeight="1" x14ac:dyDescent="0.35">
      <c r="A63" s="170">
        <v>59</v>
      </c>
      <c r="B63" s="137" t="str">
        <f t="shared" si="0"/>
        <v/>
      </c>
      <c r="C63" s="91"/>
      <c r="D63" s="138" t="str">
        <f>IF($C63="","",_xlfn.XLOOKUP($C63,StrategiesSolutions[S&amp;S ID],StrategiesSolutions[Risk ID],""))</f>
        <v/>
      </c>
      <c r="E63" s="91"/>
      <c r="F63" s="93"/>
      <c r="G63" s="93"/>
      <c r="H63" s="94"/>
      <c r="I63" s="93"/>
      <c r="J63" s="93"/>
      <c r="K63" s="93"/>
      <c r="L63" s="93"/>
      <c r="M63" s="171"/>
    </row>
    <row r="64" spans="1:13" ht="15" customHeight="1" x14ac:dyDescent="0.35">
      <c r="A64" s="170">
        <v>60</v>
      </c>
      <c r="B64" s="137" t="str">
        <f t="shared" si="0"/>
        <v/>
      </c>
      <c r="C64" s="91"/>
      <c r="D64" s="138" t="str">
        <f>IF($C64="","",_xlfn.XLOOKUP($C64,StrategiesSolutions[S&amp;S ID],StrategiesSolutions[Risk ID],""))</f>
        <v/>
      </c>
      <c r="E64" s="91"/>
      <c r="F64" s="93"/>
      <c r="G64" s="93"/>
      <c r="H64" s="94"/>
      <c r="I64" s="93"/>
      <c r="J64" s="93"/>
      <c r="K64" s="93"/>
      <c r="L64" s="93"/>
      <c r="M64" s="171"/>
    </row>
    <row r="65" spans="1:13" ht="15" customHeight="1" x14ac:dyDescent="0.35">
      <c r="A65" s="170">
        <v>61</v>
      </c>
      <c r="B65" s="137" t="str">
        <f t="shared" si="0"/>
        <v/>
      </c>
      <c r="C65" s="91"/>
      <c r="D65" s="138" t="str">
        <f>IF($C65="","",_xlfn.XLOOKUP($C65,StrategiesSolutions[S&amp;S ID],StrategiesSolutions[Risk ID],""))</f>
        <v/>
      </c>
      <c r="E65" s="91"/>
      <c r="F65" s="93"/>
      <c r="G65" s="93"/>
      <c r="H65" s="94"/>
      <c r="I65" s="93"/>
      <c r="J65" s="93"/>
      <c r="K65" s="93"/>
      <c r="L65" s="93"/>
      <c r="M65" s="171"/>
    </row>
    <row r="66" spans="1:13" ht="15" customHeight="1" x14ac:dyDescent="0.35">
      <c r="A66" s="170">
        <v>62</v>
      </c>
      <c r="B66" s="137" t="str">
        <f t="shared" si="0"/>
        <v/>
      </c>
      <c r="C66" s="91"/>
      <c r="D66" s="138" t="str">
        <f>IF($C66="","",_xlfn.XLOOKUP($C66,StrategiesSolutions[S&amp;S ID],StrategiesSolutions[Risk ID],""))</f>
        <v/>
      </c>
      <c r="E66" s="91"/>
      <c r="F66" s="93"/>
      <c r="G66" s="93"/>
      <c r="H66" s="94"/>
      <c r="I66" s="93"/>
      <c r="J66" s="93"/>
      <c r="K66" s="93"/>
      <c r="L66" s="93"/>
      <c r="M66" s="171"/>
    </row>
    <row r="67" spans="1:13" ht="15" customHeight="1" x14ac:dyDescent="0.35">
      <c r="A67" s="170">
        <v>63</v>
      </c>
      <c r="B67" s="137" t="str">
        <f t="shared" si="0"/>
        <v/>
      </c>
      <c r="C67" s="91"/>
      <c r="D67" s="138" t="str">
        <f>IF($C67="","",_xlfn.XLOOKUP($C67,StrategiesSolutions[S&amp;S ID],StrategiesSolutions[Risk ID],""))</f>
        <v/>
      </c>
      <c r="E67" s="91"/>
      <c r="F67" s="93"/>
      <c r="G67" s="93"/>
      <c r="H67" s="94"/>
      <c r="I67" s="93"/>
      <c r="J67" s="93"/>
      <c r="K67" s="93"/>
      <c r="L67" s="93"/>
      <c r="M67" s="171"/>
    </row>
    <row r="68" spans="1:13" ht="15" customHeight="1" x14ac:dyDescent="0.35">
      <c r="A68" s="170">
        <v>64</v>
      </c>
      <c r="B68" s="137" t="str">
        <f t="shared" si="0"/>
        <v/>
      </c>
      <c r="C68" s="91"/>
      <c r="D68" s="138" t="str">
        <f>IF($C68="","",_xlfn.XLOOKUP($C68,StrategiesSolutions[S&amp;S ID],StrategiesSolutions[Risk ID],""))</f>
        <v/>
      </c>
      <c r="E68" s="91"/>
      <c r="F68" s="93"/>
      <c r="G68" s="93"/>
      <c r="H68" s="94"/>
      <c r="I68" s="93"/>
      <c r="J68" s="93"/>
      <c r="K68" s="93"/>
      <c r="L68" s="93"/>
      <c r="M68" s="171"/>
    </row>
    <row r="69" spans="1:13" ht="15" customHeight="1" x14ac:dyDescent="0.35">
      <c r="A69" s="170">
        <v>65</v>
      </c>
      <c r="B69" s="137" t="str">
        <f t="shared" ref="B69:B132" si="1">IF($F69="","","REQ-"&amp;TEXT($A69,"000"))</f>
        <v/>
      </c>
      <c r="C69" s="91"/>
      <c r="D69" s="138" t="str">
        <f>IF($C69="","",_xlfn.XLOOKUP($C69,StrategiesSolutions[S&amp;S ID],StrategiesSolutions[Risk ID],""))</f>
        <v/>
      </c>
      <c r="E69" s="91"/>
      <c r="F69" s="93"/>
      <c r="G69" s="93"/>
      <c r="H69" s="94"/>
      <c r="I69" s="93"/>
      <c r="J69" s="93"/>
      <c r="K69" s="93"/>
      <c r="L69" s="93"/>
      <c r="M69" s="171"/>
    </row>
    <row r="70" spans="1:13" ht="15" customHeight="1" x14ac:dyDescent="0.35">
      <c r="A70" s="170">
        <v>66</v>
      </c>
      <c r="B70" s="137" t="str">
        <f t="shared" si="1"/>
        <v/>
      </c>
      <c r="C70" s="91"/>
      <c r="D70" s="138" t="str">
        <f>IF($C70="","",_xlfn.XLOOKUP($C70,StrategiesSolutions[S&amp;S ID],StrategiesSolutions[Risk ID],""))</f>
        <v/>
      </c>
      <c r="E70" s="91"/>
      <c r="F70" s="93"/>
      <c r="G70" s="93"/>
      <c r="H70" s="94"/>
      <c r="I70" s="93"/>
      <c r="J70" s="93"/>
      <c r="K70" s="93"/>
      <c r="L70" s="93"/>
      <c r="M70" s="171"/>
    </row>
    <row r="71" spans="1:13" ht="15" customHeight="1" x14ac:dyDescent="0.35">
      <c r="A71" s="170">
        <v>67</v>
      </c>
      <c r="B71" s="137" t="str">
        <f t="shared" si="1"/>
        <v/>
      </c>
      <c r="C71" s="91"/>
      <c r="D71" s="138" t="str">
        <f>IF($C71="","",_xlfn.XLOOKUP($C71,StrategiesSolutions[S&amp;S ID],StrategiesSolutions[Risk ID],""))</f>
        <v/>
      </c>
      <c r="E71" s="91"/>
      <c r="F71" s="93"/>
      <c r="G71" s="93"/>
      <c r="H71" s="94"/>
      <c r="I71" s="93"/>
      <c r="J71" s="93"/>
      <c r="K71" s="93"/>
      <c r="L71" s="93"/>
      <c r="M71" s="171"/>
    </row>
    <row r="72" spans="1:13" ht="15" customHeight="1" x14ac:dyDescent="0.35">
      <c r="A72" s="170">
        <v>68</v>
      </c>
      <c r="B72" s="137" t="str">
        <f t="shared" si="1"/>
        <v/>
      </c>
      <c r="C72" s="91"/>
      <c r="D72" s="138" t="str">
        <f>IF($C72="","",_xlfn.XLOOKUP($C72,StrategiesSolutions[S&amp;S ID],StrategiesSolutions[Risk ID],""))</f>
        <v/>
      </c>
      <c r="E72" s="91"/>
      <c r="F72" s="93"/>
      <c r="G72" s="93"/>
      <c r="H72" s="94"/>
      <c r="I72" s="93"/>
      <c r="J72" s="93"/>
      <c r="K72" s="93"/>
      <c r="L72" s="93"/>
      <c r="M72" s="171"/>
    </row>
    <row r="73" spans="1:13" ht="15" customHeight="1" x14ac:dyDescent="0.35">
      <c r="A73" s="170">
        <v>69</v>
      </c>
      <c r="B73" s="137" t="str">
        <f t="shared" si="1"/>
        <v/>
      </c>
      <c r="C73" s="91"/>
      <c r="D73" s="138" t="str">
        <f>IF($C73="","",_xlfn.XLOOKUP($C73,StrategiesSolutions[S&amp;S ID],StrategiesSolutions[Risk ID],""))</f>
        <v/>
      </c>
      <c r="E73" s="91"/>
      <c r="F73" s="93"/>
      <c r="G73" s="93"/>
      <c r="H73" s="94"/>
      <c r="I73" s="93"/>
      <c r="J73" s="93"/>
      <c r="K73" s="93"/>
      <c r="L73" s="93"/>
      <c r="M73" s="171"/>
    </row>
    <row r="74" spans="1:13" ht="15" customHeight="1" x14ac:dyDescent="0.35">
      <c r="A74" s="170">
        <v>70</v>
      </c>
      <c r="B74" s="137" t="str">
        <f t="shared" si="1"/>
        <v/>
      </c>
      <c r="C74" s="91"/>
      <c r="D74" s="138" t="str">
        <f>IF($C74="","",_xlfn.XLOOKUP($C74,StrategiesSolutions[S&amp;S ID],StrategiesSolutions[Risk ID],""))</f>
        <v/>
      </c>
      <c r="E74" s="91"/>
      <c r="F74" s="93"/>
      <c r="G74" s="93"/>
      <c r="H74" s="94"/>
      <c r="I74" s="93"/>
      <c r="J74" s="93"/>
      <c r="K74" s="93"/>
      <c r="L74" s="93"/>
      <c r="M74" s="171"/>
    </row>
    <row r="75" spans="1:13" ht="15" customHeight="1" x14ac:dyDescent="0.35">
      <c r="A75" s="170">
        <v>71</v>
      </c>
      <c r="B75" s="137" t="str">
        <f t="shared" si="1"/>
        <v/>
      </c>
      <c r="C75" s="91"/>
      <c r="D75" s="138" t="str">
        <f>IF($C75="","",_xlfn.XLOOKUP($C75,StrategiesSolutions[S&amp;S ID],StrategiesSolutions[Risk ID],""))</f>
        <v/>
      </c>
      <c r="E75" s="91"/>
      <c r="F75" s="93"/>
      <c r="G75" s="93"/>
      <c r="H75" s="94"/>
      <c r="I75" s="93"/>
      <c r="J75" s="93"/>
      <c r="K75" s="93"/>
      <c r="L75" s="93"/>
      <c r="M75" s="171"/>
    </row>
    <row r="76" spans="1:13" ht="15" customHeight="1" x14ac:dyDescent="0.35">
      <c r="A76" s="170">
        <v>72</v>
      </c>
      <c r="B76" s="137" t="str">
        <f t="shared" si="1"/>
        <v/>
      </c>
      <c r="C76" s="91"/>
      <c r="D76" s="138" t="str">
        <f>IF($C76="","",_xlfn.XLOOKUP($C76,StrategiesSolutions[S&amp;S ID],StrategiesSolutions[Risk ID],""))</f>
        <v/>
      </c>
      <c r="E76" s="91"/>
      <c r="F76" s="93"/>
      <c r="G76" s="93"/>
      <c r="H76" s="94"/>
      <c r="I76" s="93"/>
      <c r="J76" s="93"/>
      <c r="K76" s="93"/>
      <c r="L76" s="93"/>
      <c r="M76" s="171"/>
    </row>
    <row r="77" spans="1:13" ht="15" customHeight="1" x14ac:dyDescent="0.35">
      <c r="A77" s="170">
        <v>73</v>
      </c>
      <c r="B77" s="137" t="str">
        <f t="shared" si="1"/>
        <v/>
      </c>
      <c r="C77" s="91"/>
      <c r="D77" s="138" t="str">
        <f>IF($C77="","",_xlfn.XLOOKUP($C77,StrategiesSolutions[S&amp;S ID],StrategiesSolutions[Risk ID],""))</f>
        <v/>
      </c>
      <c r="E77" s="91"/>
      <c r="F77" s="93"/>
      <c r="G77" s="93"/>
      <c r="H77" s="94"/>
      <c r="I77" s="93"/>
      <c r="J77" s="93"/>
      <c r="K77" s="93"/>
      <c r="L77" s="93"/>
      <c r="M77" s="171"/>
    </row>
    <row r="78" spans="1:13" ht="15" customHeight="1" x14ac:dyDescent="0.35">
      <c r="A78" s="170">
        <v>74</v>
      </c>
      <c r="B78" s="137" t="str">
        <f t="shared" si="1"/>
        <v/>
      </c>
      <c r="C78" s="92"/>
      <c r="D78" s="138" t="str">
        <f>IF($C78="","",_xlfn.XLOOKUP($C78,StrategiesSolutions[S&amp;S ID],StrategiesSolutions[Risk ID],""))</f>
        <v/>
      </c>
      <c r="E78" s="92"/>
      <c r="F78" s="93"/>
      <c r="G78" s="93"/>
      <c r="H78" s="94"/>
      <c r="I78" s="93"/>
      <c r="J78" s="93"/>
      <c r="K78" s="93"/>
      <c r="L78" s="93"/>
      <c r="M78" s="171"/>
    </row>
    <row r="79" spans="1:13" ht="15" customHeight="1" x14ac:dyDescent="0.35">
      <c r="A79" s="170">
        <v>75</v>
      </c>
      <c r="B79" s="137" t="str">
        <f t="shared" si="1"/>
        <v/>
      </c>
      <c r="C79" s="92"/>
      <c r="D79" s="138" t="str">
        <f>IF($C79="","",_xlfn.XLOOKUP($C79,StrategiesSolutions[S&amp;S ID],StrategiesSolutions[Risk ID],""))</f>
        <v/>
      </c>
      <c r="E79" s="92"/>
      <c r="F79" s="93"/>
      <c r="G79" s="93"/>
      <c r="H79" s="94"/>
      <c r="I79" s="93"/>
      <c r="J79" s="93"/>
      <c r="K79" s="93"/>
      <c r="L79" s="93"/>
      <c r="M79" s="171"/>
    </row>
    <row r="80" spans="1:13" ht="15" customHeight="1" x14ac:dyDescent="0.35">
      <c r="A80" s="170">
        <v>76</v>
      </c>
      <c r="B80" s="137" t="str">
        <f t="shared" si="1"/>
        <v/>
      </c>
      <c r="C80" s="92"/>
      <c r="D80" s="138" t="str">
        <f>IF($C80="","",_xlfn.XLOOKUP($C80,StrategiesSolutions[S&amp;S ID],StrategiesSolutions[Risk ID],""))</f>
        <v/>
      </c>
      <c r="E80" s="92"/>
      <c r="F80" s="93"/>
      <c r="G80" s="93"/>
      <c r="H80" s="94"/>
      <c r="I80" s="93"/>
      <c r="J80" s="93"/>
      <c r="K80" s="93"/>
      <c r="L80" s="93"/>
      <c r="M80" s="171"/>
    </row>
    <row r="81" spans="1:13" ht="15" customHeight="1" x14ac:dyDescent="0.35">
      <c r="A81" s="170">
        <v>77</v>
      </c>
      <c r="B81" s="137" t="str">
        <f t="shared" si="1"/>
        <v/>
      </c>
      <c r="C81" s="92"/>
      <c r="D81" s="138" t="str">
        <f>IF($C81="","",_xlfn.XLOOKUP($C81,StrategiesSolutions[S&amp;S ID],StrategiesSolutions[Risk ID],""))</f>
        <v/>
      </c>
      <c r="E81" s="92"/>
      <c r="F81" s="93"/>
      <c r="G81" s="93"/>
      <c r="H81" s="94"/>
      <c r="I81" s="93"/>
      <c r="J81" s="93"/>
      <c r="K81" s="93"/>
      <c r="L81" s="93"/>
      <c r="M81" s="171"/>
    </row>
    <row r="82" spans="1:13" ht="15" customHeight="1" x14ac:dyDescent="0.35">
      <c r="A82" s="170">
        <v>78</v>
      </c>
      <c r="B82" s="137" t="str">
        <f t="shared" si="1"/>
        <v/>
      </c>
      <c r="C82" s="92"/>
      <c r="D82" s="138" t="str">
        <f>IF($C82="","",_xlfn.XLOOKUP($C82,StrategiesSolutions[S&amp;S ID],StrategiesSolutions[Risk ID],""))</f>
        <v/>
      </c>
      <c r="E82" s="92"/>
      <c r="F82" s="93"/>
      <c r="G82" s="93"/>
      <c r="H82" s="94"/>
      <c r="I82" s="93"/>
      <c r="J82" s="93"/>
      <c r="K82" s="93"/>
      <c r="L82" s="93"/>
      <c r="M82" s="171"/>
    </row>
    <row r="83" spans="1:13" ht="15" customHeight="1" x14ac:dyDescent="0.35">
      <c r="A83" s="170">
        <v>79</v>
      </c>
      <c r="B83" s="137" t="str">
        <f t="shared" si="1"/>
        <v/>
      </c>
      <c r="C83" s="92"/>
      <c r="D83" s="138" t="str">
        <f>IF($C83="","",_xlfn.XLOOKUP($C83,StrategiesSolutions[S&amp;S ID],StrategiesSolutions[Risk ID],""))</f>
        <v/>
      </c>
      <c r="E83" s="92"/>
      <c r="F83" s="93"/>
      <c r="G83" s="93"/>
      <c r="H83" s="94"/>
      <c r="I83" s="93"/>
      <c r="J83" s="93"/>
      <c r="K83" s="93"/>
      <c r="L83" s="93"/>
      <c r="M83" s="171"/>
    </row>
    <row r="84" spans="1:13" ht="15" customHeight="1" x14ac:dyDescent="0.35">
      <c r="A84" s="170">
        <v>80</v>
      </c>
      <c r="B84" s="137" t="str">
        <f t="shared" si="1"/>
        <v/>
      </c>
      <c r="C84" s="92"/>
      <c r="D84" s="138" t="str">
        <f>IF($C84="","",_xlfn.XLOOKUP($C84,StrategiesSolutions[S&amp;S ID],StrategiesSolutions[Risk ID],""))</f>
        <v/>
      </c>
      <c r="E84" s="92"/>
      <c r="F84" s="93"/>
      <c r="G84" s="93"/>
      <c r="H84" s="94"/>
      <c r="I84" s="93"/>
      <c r="J84" s="93"/>
      <c r="K84" s="93"/>
      <c r="L84" s="93"/>
      <c r="M84" s="171"/>
    </row>
    <row r="85" spans="1:13" ht="15" customHeight="1" x14ac:dyDescent="0.35">
      <c r="A85" s="170">
        <v>81</v>
      </c>
      <c r="B85" s="137" t="str">
        <f t="shared" si="1"/>
        <v/>
      </c>
      <c r="C85" s="92"/>
      <c r="D85" s="138" t="str">
        <f>IF($C85="","",_xlfn.XLOOKUP($C85,StrategiesSolutions[S&amp;S ID],StrategiesSolutions[Risk ID],""))</f>
        <v/>
      </c>
      <c r="E85" s="92"/>
      <c r="F85" s="93"/>
      <c r="G85" s="93"/>
      <c r="H85" s="94"/>
      <c r="I85" s="93"/>
      <c r="J85" s="93"/>
      <c r="K85" s="93"/>
      <c r="L85" s="93"/>
      <c r="M85" s="171"/>
    </row>
    <row r="86" spans="1:13" ht="15" customHeight="1" x14ac:dyDescent="0.35">
      <c r="A86" s="170">
        <v>82</v>
      </c>
      <c r="B86" s="137" t="str">
        <f t="shared" si="1"/>
        <v/>
      </c>
      <c r="C86" s="92"/>
      <c r="D86" s="138" t="str">
        <f>IF($C86="","",_xlfn.XLOOKUP($C86,StrategiesSolutions[S&amp;S ID],StrategiesSolutions[Risk ID],""))</f>
        <v/>
      </c>
      <c r="E86" s="92"/>
      <c r="F86" s="93"/>
      <c r="G86" s="93"/>
      <c r="H86" s="94"/>
      <c r="I86" s="93"/>
      <c r="J86" s="93"/>
      <c r="K86" s="93"/>
      <c r="L86" s="93"/>
      <c r="M86" s="171"/>
    </row>
    <row r="87" spans="1:13" ht="15" customHeight="1" x14ac:dyDescent="0.35">
      <c r="A87" s="170">
        <v>83</v>
      </c>
      <c r="B87" s="137" t="str">
        <f t="shared" si="1"/>
        <v/>
      </c>
      <c r="C87" s="92"/>
      <c r="D87" s="138" t="str">
        <f>IF($C87="","",_xlfn.XLOOKUP($C87,StrategiesSolutions[S&amp;S ID],StrategiesSolutions[Risk ID],""))</f>
        <v/>
      </c>
      <c r="E87" s="92"/>
      <c r="F87" s="93"/>
      <c r="G87" s="93"/>
      <c r="H87" s="94"/>
      <c r="I87" s="93"/>
      <c r="J87" s="93"/>
      <c r="K87" s="93"/>
      <c r="L87" s="93"/>
      <c r="M87" s="171"/>
    </row>
    <row r="88" spans="1:13" ht="15" customHeight="1" x14ac:dyDescent="0.35">
      <c r="A88" s="170">
        <v>84</v>
      </c>
      <c r="B88" s="137" t="str">
        <f t="shared" si="1"/>
        <v/>
      </c>
      <c r="C88" s="92"/>
      <c r="D88" s="138" t="str">
        <f>IF($C88="","",_xlfn.XLOOKUP($C88,StrategiesSolutions[S&amp;S ID],StrategiesSolutions[Risk ID],""))</f>
        <v/>
      </c>
      <c r="E88" s="92"/>
      <c r="F88" s="93"/>
      <c r="G88" s="93"/>
      <c r="H88" s="94"/>
      <c r="I88" s="93"/>
      <c r="J88" s="93"/>
      <c r="K88" s="93"/>
      <c r="L88" s="93"/>
      <c r="M88" s="171"/>
    </row>
    <row r="89" spans="1:13" ht="15" customHeight="1" x14ac:dyDescent="0.35">
      <c r="A89" s="170">
        <v>85</v>
      </c>
      <c r="B89" s="137" t="str">
        <f t="shared" si="1"/>
        <v/>
      </c>
      <c r="C89" s="92"/>
      <c r="D89" s="138" t="str">
        <f>IF($C89="","",_xlfn.XLOOKUP($C89,StrategiesSolutions[S&amp;S ID],StrategiesSolutions[Risk ID],""))</f>
        <v/>
      </c>
      <c r="E89" s="92"/>
      <c r="F89" s="93"/>
      <c r="G89" s="93"/>
      <c r="H89" s="94"/>
      <c r="I89" s="93"/>
      <c r="J89" s="93"/>
      <c r="K89" s="93"/>
      <c r="L89" s="93"/>
      <c r="M89" s="171"/>
    </row>
    <row r="90" spans="1:13" ht="15" customHeight="1" x14ac:dyDescent="0.35">
      <c r="A90" s="170">
        <v>86</v>
      </c>
      <c r="B90" s="137" t="str">
        <f t="shared" si="1"/>
        <v/>
      </c>
      <c r="C90" s="92"/>
      <c r="D90" s="138" t="str">
        <f>IF($C90="","",_xlfn.XLOOKUP($C90,StrategiesSolutions[S&amp;S ID],StrategiesSolutions[Risk ID],""))</f>
        <v/>
      </c>
      <c r="E90" s="92"/>
      <c r="F90" s="93"/>
      <c r="G90" s="93"/>
      <c r="H90" s="94"/>
      <c r="I90" s="93"/>
      <c r="J90" s="93"/>
      <c r="K90" s="93"/>
      <c r="L90" s="93"/>
      <c r="M90" s="171"/>
    </row>
    <row r="91" spans="1:13" ht="15" customHeight="1" x14ac:dyDescent="0.35">
      <c r="A91" s="170">
        <v>87</v>
      </c>
      <c r="B91" s="137" t="str">
        <f t="shared" si="1"/>
        <v/>
      </c>
      <c r="C91" s="92"/>
      <c r="D91" s="138" t="str">
        <f>IF($C91="","",_xlfn.XLOOKUP($C91,StrategiesSolutions[S&amp;S ID],StrategiesSolutions[Risk ID],""))</f>
        <v/>
      </c>
      <c r="E91" s="92"/>
      <c r="F91" s="93"/>
      <c r="G91" s="93"/>
      <c r="H91" s="94"/>
      <c r="I91" s="93"/>
      <c r="J91" s="93"/>
      <c r="K91" s="93"/>
      <c r="L91" s="93"/>
      <c r="M91" s="171"/>
    </row>
    <row r="92" spans="1:13" ht="15" customHeight="1" x14ac:dyDescent="0.35">
      <c r="A92" s="170">
        <v>88</v>
      </c>
      <c r="B92" s="137" t="str">
        <f t="shared" si="1"/>
        <v/>
      </c>
      <c r="C92" s="92"/>
      <c r="D92" s="138" t="str">
        <f>IF($C92="","",_xlfn.XLOOKUP($C92,StrategiesSolutions[S&amp;S ID],StrategiesSolutions[Risk ID],""))</f>
        <v/>
      </c>
      <c r="E92" s="92"/>
      <c r="F92" s="93"/>
      <c r="G92" s="93"/>
      <c r="H92" s="94"/>
      <c r="I92" s="93"/>
      <c r="J92" s="93"/>
      <c r="K92" s="93"/>
      <c r="L92" s="93"/>
      <c r="M92" s="171"/>
    </row>
    <row r="93" spans="1:13" ht="15" customHeight="1" x14ac:dyDescent="0.35">
      <c r="A93" s="170">
        <v>89</v>
      </c>
      <c r="B93" s="137" t="str">
        <f t="shared" si="1"/>
        <v/>
      </c>
      <c r="C93" s="92"/>
      <c r="D93" s="138" t="str">
        <f>IF($C93="","",_xlfn.XLOOKUP($C93,StrategiesSolutions[S&amp;S ID],StrategiesSolutions[Risk ID],""))</f>
        <v/>
      </c>
      <c r="E93" s="92"/>
      <c r="F93" s="93"/>
      <c r="G93" s="93"/>
      <c r="H93" s="94"/>
      <c r="I93" s="93"/>
      <c r="J93" s="93"/>
      <c r="K93" s="93"/>
      <c r="L93" s="93"/>
      <c r="M93" s="171"/>
    </row>
    <row r="94" spans="1:13" ht="15" customHeight="1" x14ac:dyDescent="0.35">
      <c r="A94" s="170">
        <v>90</v>
      </c>
      <c r="B94" s="137" t="str">
        <f t="shared" si="1"/>
        <v/>
      </c>
      <c r="C94" s="92"/>
      <c r="D94" s="138" t="str">
        <f>IF($C94="","",_xlfn.XLOOKUP($C94,StrategiesSolutions[S&amp;S ID],StrategiesSolutions[Risk ID],""))</f>
        <v/>
      </c>
      <c r="E94" s="92"/>
      <c r="F94" s="93"/>
      <c r="G94" s="93"/>
      <c r="H94" s="94"/>
      <c r="I94" s="93"/>
      <c r="J94" s="93"/>
      <c r="K94" s="93"/>
      <c r="L94" s="93"/>
      <c r="M94" s="171"/>
    </row>
    <row r="95" spans="1:13" ht="15" customHeight="1" x14ac:dyDescent="0.35">
      <c r="A95" s="170">
        <v>91</v>
      </c>
      <c r="B95" s="137" t="str">
        <f t="shared" si="1"/>
        <v/>
      </c>
      <c r="C95" s="92"/>
      <c r="D95" s="138" t="str">
        <f>IF($C95="","",_xlfn.XLOOKUP($C95,StrategiesSolutions[S&amp;S ID],StrategiesSolutions[Risk ID],""))</f>
        <v/>
      </c>
      <c r="E95" s="92"/>
      <c r="F95" s="93"/>
      <c r="G95" s="93"/>
      <c r="H95" s="94"/>
      <c r="I95" s="93"/>
      <c r="J95" s="93"/>
      <c r="K95" s="93"/>
      <c r="L95" s="93"/>
      <c r="M95" s="171"/>
    </row>
    <row r="96" spans="1:13" ht="15" customHeight="1" x14ac:dyDescent="0.35">
      <c r="A96" s="170">
        <v>92</v>
      </c>
      <c r="B96" s="137" t="str">
        <f t="shared" si="1"/>
        <v/>
      </c>
      <c r="C96" s="92"/>
      <c r="D96" s="138" t="str">
        <f>IF($C96="","",_xlfn.XLOOKUP($C96,StrategiesSolutions[S&amp;S ID],StrategiesSolutions[Risk ID],""))</f>
        <v/>
      </c>
      <c r="E96" s="92"/>
      <c r="F96" s="93"/>
      <c r="G96" s="93"/>
      <c r="H96" s="94"/>
      <c r="I96" s="93"/>
      <c r="J96" s="93"/>
      <c r="K96" s="93"/>
      <c r="L96" s="93"/>
      <c r="M96" s="171"/>
    </row>
    <row r="97" spans="1:13" ht="15" customHeight="1" x14ac:dyDescent="0.35">
      <c r="A97" s="170">
        <v>93</v>
      </c>
      <c r="B97" s="137" t="str">
        <f t="shared" si="1"/>
        <v/>
      </c>
      <c r="C97" s="92"/>
      <c r="D97" s="138" t="str">
        <f>IF($C97="","",_xlfn.XLOOKUP($C97,StrategiesSolutions[S&amp;S ID],StrategiesSolutions[Risk ID],""))</f>
        <v/>
      </c>
      <c r="E97" s="92"/>
      <c r="F97" s="93"/>
      <c r="G97" s="93"/>
      <c r="H97" s="94"/>
      <c r="I97" s="93"/>
      <c r="J97" s="93"/>
      <c r="K97" s="93"/>
      <c r="L97" s="93"/>
      <c r="M97" s="171"/>
    </row>
    <row r="98" spans="1:13" ht="15" customHeight="1" x14ac:dyDescent="0.35">
      <c r="A98" s="170">
        <v>94</v>
      </c>
      <c r="B98" s="137" t="str">
        <f t="shared" si="1"/>
        <v/>
      </c>
      <c r="C98" s="92"/>
      <c r="D98" s="138" t="str">
        <f>IF($C98="","",_xlfn.XLOOKUP($C98,StrategiesSolutions[S&amp;S ID],StrategiesSolutions[Risk ID],""))</f>
        <v/>
      </c>
      <c r="E98" s="92"/>
      <c r="F98" s="93"/>
      <c r="G98" s="93"/>
      <c r="H98" s="94"/>
      <c r="I98" s="93"/>
      <c r="J98" s="93"/>
      <c r="K98" s="93"/>
      <c r="L98" s="93"/>
      <c r="M98" s="171"/>
    </row>
    <row r="99" spans="1:13" ht="15" customHeight="1" x14ac:dyDescent="0.35">
      <c r="A99" s="170">
        <v>95</v>
      </c>
      <c r="B99" s="137" t="str">
        <f t="shared" si="1"/>
        <v/>
      </c>
      <c r="C99" s="92"/>
      <c r="D99" s="138" t="str">
        <f>IF($C99="","",_xlfn.XLOOKUP($C99,StrategiesSolutions[S&amp;S ID],StrategiesSolutions[Risk ID],""))</f>
        <v/>
      </c>
      <c r="E99" s="92"/>
      <c r="F99" s="93"/>
      <c r="G99" s="93"/>
      <c r="H99" s="94"/>
      <c r="I99" s="93"/>
      <c r="J99" s="93"/>
      <c r="K99" s="93"/>
      <c r="L99" s="93"/>
      <c r="M99" s="171"/>
    </row>
    <row r="100" spans="1:13" ht="15" customHeight="1" x14ac:dyDescent="0.35">
      <c r="A100" s="170">
        <v>96</v>
      </c>
      <c r="B100" s="137" t="str">
        <f t="shared" si="1"/>
        <v/>
      </c>
      <c r="C100" s="92"/>
      <c r="D100" s="138" t="str">
        <f>IF($C100="","",_xlfn.XLOOKUP($C100,StrategiesSolutions[S&amp;S ID],StrategiesSolutions[Risk ID],""))</f>
        <v/>
      </c>
      <c r="E100" s="92"/>
      <c r="F100" s="93"/>
      <c r="G100" s="93"/>
      <c r="H100" s="94"/>
      <c r="I100" s="93"/>
      <c r="J100" s="93"/>
      <c r="K100" s="93"/>
      <c r="L100" s="93"/>
      <c r="M100" s="171"/>
    </row>
    <row r="101" spans="1:13" ht="15" customHeight="1" x14ac:dyDescent="0.35">
      <c r="A101" s="170">
        <v>97</v>
      </c>
      <c r="B101" s="137" t="str">
        <f t="shared" si="1"/>
        <v/>
      </c>
      <c r="C101" s="92"/>
      <c r="D101" s="138" t="str">
        <f>IF($C101="","",_xlfn.XLOOKUP($C101,StrategiesSolutions[S&amp;S ID],StrategiesSolutions[Risk ID],""))</f>
        <v/>
      </c>
      <c r="E101" s="92"/>
      <c r="F101" s="93"/>
      <c r="G101" s="93"/>
      <c r="H101" s="94"/>
      <c r="I101" s="93"/>
      <c r="J101" s="93"/>
      <c r="K101" s="93"/>
      <c r="L101" s="93"/>
      <c r="M101" s="171"/>
    </row>
    <row r="102" spans="1:13" ht="15" customHeight="1" x14ac:dyDescent="0.35">
      <c r="A102" s="170">
        <v>98</v>
      </c>
      <c r="B102" s="137" t="str">
        <f t="shared" si="1"/>
        <v/>
      </c>
      <c r="C102" s="92"/>
      <c r="D102" s="138" t="str">
        <f>IF($C102="","",_xlfn.XLOOKUP($C102,StrategiesSolutions[S&amp;S ID],StrategiesSolutions[Risk ID],""))</f>
        <v/>
      </c>
      <c r="E102" s="92"/>
      <c r="F102" s="93"/>
      <c r="G102" s="93"/>
      <c r="H102" s="94"/>
      <c r="I102" s="93"/>
      <c r="J102" s="93"/>
      <c r="K102" s="93"/>
      <c r="L102" s="93"/>
      <c r="M102" s="171"/>
    </row>
    <row r="103" spans="1:13" ht="15" customHeight="1" x14ac:dyDescent="0.35">
      <c r="A103" s="170">
        <v>99</v>
      </c>
      <c r="B103" s="137" t="str">
        <f t="shared" si="1"/>
        <v/>
      </c>
      <c r="C103" s="92"/>
      <c r="D103" s="138" t="str">
        <f>IF($C103="","",_xlfn.XLOOKUP($C103,StrategiesSolutions[S&amp;S ID],StrategiesSolutions[Risk ID],""))</f>
        <v/>
      </c>
      <c r="E103" s="92"/>
      <c r="F103" s="93"/>
      <c r="G103" s="93"/>
      <c r="H103" s="94"/>
      <c r="I103" s="93"/>
      <c r="J103" s="93"/>
      <c r="K103" s="93"/>
      <c r="L103" s="93"/>
      <c r="M103" s="171"/>
    </row>
    <row r="104" spans="1:13" ht="15" customHeight="1" x14ac:dyDescent="0.35">
      <c r="A104" s="170">
        <v>100</v>
      </c>
      <c r="B104" s="137" t="str">
        <f t="shared" si="1"/>
        <v/>
      </c>
      <c r="C104" s="92"/>
      <c r="D104" s="138" t="str">
        <f>IF($C104="","",_xlfn.XLOOKUP($C104,StrategiesSolutions[S&amp;S ID],StrategiesSolutions[Risk ID],""))</f>
        <v/>
      </c>
      <c r="E104" s="92"/>
      <c r="F104" s="93"/>
      <c r="G104" s="93"/>
      <c r="H104" s="94"/>
      <c r="I104" s="93"/>
      <c r="J104" s="93"/>
      <c r="K104" s="93"/>
      <c r="L104" s="93"/>
      <c r="M104" s="171"/>
    </row>
    <row r="105" spans="1:13" ht="15" customHeight="1" x14ac:dyDescent="0.35">
      <c r="A105" s="170">
        <v>101</v>
      </c>
      <c r="B105" s="137" t="str">
        <f t="shared" si="1"/>
        <v/>
      </c>
      <c r="C105" s="92"/>
      <c r="D105" s="138" t="str">
        <f>IF($C105="","",_xlfn.XLOOKUP($C105,StrategiesSolutions[S&amp;S ID],StrategiesSolutions[Risk ID],""))</f>
        <v/>
      </c>
      <c r="E105" s="92"/>
      <c r="F105" s="93"/>
      <c r="G105" s="93"/>
      <c r="H105" s="94"/>
      <c r="I105" s="93"/>
      <c r="J105" s="93"/>
      <c r="K105" s="93"/>
      <c r="L105" s="93"/>
      <c r="M105" s="171"/>
    </row>
    <row r="106" spans="1:13" ht="15" customHeight="1" x14ac:dyDescent="0.35">
      <c r="A106" s="170">
        <v>102</v>
      </c>
      <c r="B106" s="137" t="str">
        <f t="shared" si="1"/>
        <v/>
      </c>
      <c r="C106" s="92"/>
      <c r="D106" s="138" t="str">
        <f>IF($C106="","",_xlfn.XLOOKUP($C106,StrategiesSolutions[S&amp;S ID],StrategiesSolutions[Risk ID],""))</f>
        <v/>
      </c>
      <c r="E106" s="92"/>
      <c r="F106" s="93"/>
      <c r="G106" s="93"/>
      <c r="H106" s="94"/>
      <c r="I106" s="93"/>
      <c r="J106" s="93"/>
      <c r="K106" s="93"/>
      <c r="L106" s="93"/>
      <c r="M106" s="171"/>
    </row>
    <row r="107" spans="1:13" ht="15" customHeight="1" x14ac:dyDescent="0.35">
      <c r="A107" s="170">
        <v>103</v>
      </c>
      <c r="B107" s="137" t="str">
        <f t="shared" si="1"/>
        <v/>
      </c>
      <c r="C107" s="92"/>
      <c r="D107" s="138" t="str">
        <f>IF($C107="","",_xlfn.XLOOKUP($C107,StrategiesSolutions[S&amp;S ID],StrategiesSolutions[Risk ID],""))</f>
        <v/>
      </c>
      <c r="E107" s="92"/>
      <c r="F107" s="93"/>
      <c r="G107" s="93"/>
      <c r="H107" s="94"/>
      <c r="I107" s="93"/>
      <c r="J107" s="93"/>
      <c r="K107" s="93"/>
      <c r="L107" s="93"/>
      <c r="M107" s="171"/>
    </row>
    <row r="108" spans="1:13" ht="15" customHeight="1" x14ac:dyDescent="0.35">
      <c r="A108" s="170">
        <v>104</v>
      </c>
      <c r="B108" s="137" t="str">
        <f t="shared" si="1"/>
        <v/>
      </c>
      <c r="C108" s="92"/>
      <c r="D108" s="138" t="str">
        <f>IF($C108="","",_xlfn.XLOOKUP($C108,StrategiesSolutions[S&amp;S ID],StrategiesSolutions[Risk ID],""))</f>
        <v/>
      </c>
      <c r="E108" s="92"/>
      <c r="F108" s="93"/>
      <c r="G108" s="93"/>
      <c r="H108" s="94"/>
      <c r="I108" s="93"/>
      <c r="J108" s="93"/>
      <c r="K108" s="93"/>
      <c r="L108" s="93"/>
      <c r="M108" s="171"/>
    </row>
    <row r="109" spans="1:13" ht="15" customHeight="1" x14ac:dyDescent="0.35">
      <c r="A109" s="170">
        <v>105</v>
      </c>
      <c r="B109" s="137" t="str">
        <f t="shared" si="1"/>
        <v/>
      </c>
      <c r="C109" s="92"/>
      <c r="D109" s="138" t="str">
        <f>IF($C109="","",_xlfn.XLOOKUP($C109,StrategiesSolutions[S&amp;S ID],StrategiesSolutions[Risk ID],""))</f>
        <v/>
      </c>
      <c r="E109" s="92"/>
      <c r="F109" s="93"/>
      <c r="G109" s="93"/>
      <c r="H109" s="94"/>
      <c r="I109" s="93"/>
      <c r="J109" s="93"/>
      <c r="K109" s="93"/>
      <c r="L109" s="93"/>
      <c r="M109" s="171"/>
    </row>
    <row r="110" spans="1:13" ht="15" customHeight="1" x14ac:dyDescent="0.35">
      <c r="A110" s="170">
        <v>106</v>
      </c>
      <c r="B110" s="137" t="str">
        <f t="shared" si="1"/>
        <v/>
      </c>
      <c r="C110" s="92"/>
      <c r="D110" s="138" t="str">
        <f>IF($C110="","",_xlfn.XLOOKUP($C110,StrategiesSolutions[S&amp;S ID],StrategiesSolutions[Risk ID],""))</f>
        <v/>
      </c>
      <c r="E110" s="92"/>
      <c r="F110" s="93"/>
      <c r="G110" s="93"/>
      <c r="H110" s="94"/>
      <c r="I110" s="93"/>
      <c r="J110" s="93"/>
      <c r="K110" s="93"/>
      <c r="L110" s="93"/>
      <c r="M110" s="171"/>
    </row>
    <row r="111" spans="1:13" ht="15" customHeight="1" x14ac:dyDescent="0.35">
      <c r="A111" s="170">
        <v>107</v>
      </c>
      <c r="B111" s="137" t="str">
        <f t="shared" si="1"/>
        <v/>
      </c>
      <c r="C111" s="92"/>
      <c r="D111" s="138" t="str">
        <f>IF($C111="","",_xlfn.XLOOKUP($C111,StrategiesSolutions[S&amp;S ID],StrategiesSolutions[Risk ID],""))</f>
        <v/>
      </c>
      <c r="E111" s="92"/>
      <c r="F111" s="93"/>
      <c r="G111" s="93"/>
      <c r="H111" s="94"/>
      <c r="I111" s="93"/>
      <c r="J111" s="93"/>
      <c r="K111" s="93"/>
      <c r="L111" s="93"/>
      <c r="M111" s="171"/>
    </row>
    <row r="112" spans="1:13" ht="15" customHeight="1" x14ac:dyDescent="0.35">
      <c r="A112" s="170">
        <v>108</v>
      </c>
      <c r="B112" s="137" t="str">
        <f t="shared" si="1"/>
        <v/>
      </c>
      <c r="C112" s="92"/>
      <c r="D112" s="138" t="str">
        <f>IF($C112="","",_xlfn.XLOOKUP($C112,StrategiesSolutions[S&amp;S ID],StrategiesSolutions[Risk ID],""))</f>
        <v/>
      </c>
      <c r="E112" s="92"/>
      <c r="F112" s="93"/>
      <c r="G112" s="93"/>
      <c r="H112" s="94"/>
      <c r="I112" s="93"/>
      <c r="J112" s="93"/>
      <c r="K112" s="93"/>
      <c r="L112" s="93"/>
      <c r="M112" s="171"/>
    </row>
    <row r="113" spans="1:13" ht="15" customHeight="1" x14ac:dyDescent="0.35">
      <c r="A113" s="170">
        <v>109</v>
      </c>
      <c r="B113" s="137" t="str">
        <f t="shared" si="1"/>
        <v/>
      </c>
      <c r="C113" s="92"/>
      <c r="D113" s="138" t="str">
        <f>IF($C113="","",_xlfn.XLOOKUP($C113,StrategiesSolutions[S&amp;S ID],StrategiesSolutions[Risk ID],""))</f>
        <v/>
      </c>
      <c r="E113" s="92"/>
      <c r="F113" s="93"/>
      <c r="G113" s="93"/>
      <c r="H113" s="94"/>
      <c r="I113" s="93"/>
      <c r="J113" s="93"/>
      <c r="K113" s="93"/>
      <c r="L113" s="93"/>
      <c r="M113" s="171"/>
    </row>
    <row r="114" spans="1:13" ht="15" customHeight="1" x14ac:dyDescent="0.35">
      <c r="A114" s="170">
        <v>110</v>
      </c>
      <c r="B114" s="137" t="str">
        <f t="shared" si="1"/>
        <v/>
      </c>
      <c r="C114" s="92"/>
      <c r="D114" s="138" t="str">
        <f>IF($C114="","",_xlfn.XLOOKUP($C114,StrategiesSolutions[S&amp;S ID],StrategiesSolutions[Risk ID],""))</f>
        <v/>
      </c>
      <c r="E114" s="92"/>
      <c r="F114" s="93"/>
      <c r="G114" s="93"/>
      <c r="H114" s="94"/>
      <c r="I114" s="93"/>
      <c r="J114" s="93"/>
      <c r="K114" s="93"/>
      <c r="L114" s="93"/>
      <c r="M114" s="171"/>
    </row>
    <row r="115" spans="1:13" ht="15" customHeight="1" x14ac:dyDescent="0.35">
      <c r="A115" s="170">
        <v>111</v>
      </c>
      <c r="B115" s="137" t="str">
        <f t="shared" si="1"/>
        <v/>
      </c>
      <c r="C115" s="92"/>
      <c r="D115" s="138" t="str">
        <f>IF($C115="","",_xlfn.XLOOKUP($C115,StrategiesSolutions[S&amp;S ID],StrategiesSolutions[Risk ID],""))</f>
        <v/>
      </c>
      <c r="E115" s="92"/>
      <c r="F115" s="93"/>
      <c r="G115" s="93"/>
      <c r="H115" s="94"/>
      <c r="I115" s="93"/>
      <c r="J115" s="93"/>
      <c r="K115" s="93"/>
      <c r="L115" s="93"/>
      <c r="M115" s="171"/>
    </row>
    <row r="116" spans="1:13" ht="15" customHeight="1" x14ac:dyDescent="0.35">
      <c r="A116" s="170">
        <v>112</v>
      </c>
      <c r="B116" s="137" t="str">
        <f t="shared" si="1"/>
        <v/>
      </c>
      <c r="C116" s="92"/>
      <c r="D116" s="138" t="str">
        <f>IF($C116="","",_xlfn.XLOOKUP($C116,StrategiesSolutions[S&amp;S ID],StrategiesSolutions[Risk ID],""))</f>
        <v/>
      </c>
      <c r="E116" s="92"/>
      <c r="F116" s="93"/>
      <c r="G116" s="93"/>
      <c r="H116" s="94"/>
      <c r="I116" s="93"/>
      <c r="J116" s="93"/>
      <c r="K116" s="93"/>
      <c r="L116" s="93"/>
      <c r="M116" s="171"/>
    </row>
    <row r="117" spans="1:13" ht="15" customHeight="1" x14ac:dyDescent="0.35">
      <c r="A117" s="170">
        <v>113</v>
      </c>
      <c r="B117" s="137" t="str">
        <f t="shared" si="1"/>
        <v/>
      </c>
      <c r="C117" s="92"/>
      <c r="D117" s="138" t="str">
        <f>IF($C117="","",_xlfn.XLOOKUP($C117,StrategiesSolutions[S&amp;S ID],StrategiesSolutions[Risk ID],""))</f>
        <v/>
      </c>
      <c r="E117" s="92"/>
      <c r="F117" s="93"/>
      <c r="G117" s="93"/>
      <c r="H117" s="94"/>
      <c r="I117" s="93"/>
      <c r="J117" s="93"/>
      <c r="K117" s="93"/>
      <c r="L117" s="93"/>
      <c r="M117" s="171"/>
    </row>
    <row r="118" spans="1:13" ht="15" customHeight="1" x14ac:dyDescent="0.35">
      <c r="A118" s="170">
        <v>114</v>
      </c>
      <c r="B118" s="137" t="str">
        <f t="shared" si="1"/>
        <v/>
      </c>
      <c r="C118" s="92"/>
      <c r="D118" s="138" t="str">
        <f>IF($C118="","",_xlfn.XLOOKUP($C118,StrategiesSolutions[S&amp;S ID],StrategiesSolutions[Risk ID],""))</f>
        <v/>
      </c>
      <c r="E118" s="92"/>
      <c r="F118" s="93"/>
      <c r="G118" s="93"/>
      <c r="H118" s="94"/>
      <c r="I118" s="93"/>
      <c r="J118" s="93"/>
      <c r="K118" s="93"/>
      <c r="L118" s="93"/>
      <c r="M118" s="171"/>
    </row>
    <row r="119" spans="1:13" ht="15" customHeight="1" x14ac:dyDescent="0.35">
      <c r="A119" s="170">
        <v>115</v>
      </c>
      <c r="B119" s="137" t="str">
        <f t="shared" si="1"/>
        <v/>
      </c>
      <c r="C119" s="92"/>
      <c r="D119" s="138" t="str">
        <f>IF($C119="","",_xlfn.XLOOKUP($C119,StrategiesSolutions[S&amp;S ID],StrategiesSolutions[Risk ID],""))</f>
        <v/>
      </c>
      <c r="E119" s="92"/>
      <c r="F119" s="93"/>
      <c r="G119" s="93"/>
      <c r="H119" s="94"/>
      <c r="I119" s="93"/>
      <c r="J119" s="93"/>
      <c r="K119" s="93"/>
      <c r="L119" s="93"/>
      <c r="M119" s="171"/>
    </row>
    <row r="120" spans="1:13" ht="15" customHeight="1" x14ac:dyDescent="0.35">
      <c r="A120" s="170">
        <v>116</v>
      </c>
      <c r="B120" s="137" t="str">
        <f t="shared" si="1"/>
        <v/>
      </c>
      <c r="C120" s="92"/>
      <c r="D120" s="138" t="str">
        <f>IF($C120="","",_xlfn.XLOOKUP($C120,StrategiesSolutions[S&amp;S ID],StrategiesSolutions[Risk ID],""))</f>
        <v/>
      </c>
      <c r="E120" s="92"/>
      <c r="F120" s="93"/>
      <c r="G120" s="93"/>
      <c r="H120" s="94"/>
      <c r="I120" s="93"/>
      <c r="J120" s="93"/>
      <c r="K120" s="93"/>
      <c r="L120" s="93"/>
      <c r="M120" s="171"/>
    </row>
    <row r="121" spans="1:13" ht="15" customHeight="1" x14ac:dyDescent="0.35">
      <c r="A121" s="170">
        <v>117</v>
      </c>
      <c r="B121" s="137" t="str">
        <f t="shared" si="1"/>
        <v/>
      </c>
      <c r="C121" s="92"/>
      <c r="D121" s="138" t="str">
        <f>IF($C121="","",_xlfn.XLOOKUP($C121,StrategiesSolutions[S&amp;S ID],StrategiesSolutions[Risk ID],""))</f>
        <v/>
      </c>
      <c r="E121" s="92"/>
      <c r="F121" s="93"/>
      <c r="G121" s="93"/>
      <c r="H121" s="94"/>
      <c r="I121" s="93"/>
      <c r="J121" s="93"/>
      <c r="K121" s="93"/>
      <c r="L121" s="93"/>
      <c r="M121" s="171"/>
    </row>
    <row r="122" spans="1:13" ht="15" customHeight="1" x14ac:dyDescent="0.35">
      <c r="A122" s="170">
        <v>118</v>
      </c>
      <c r="B122" s="137" t="str">
        <f t="shared" si="1"/>
        <v/>
      </c>
      <c r="C122" s="92"/>
      <c r="D122" s="138" t="str">
        <f>IF($C122="","",_xlfn.XLOOKUP($C122,StrategiesSolutions[S&amp;S ID],StrategiesSolutions[Risk ID],""))</f>
        <v/>
      </c>
      <c r="E122" s="92"/>
      <c r="F122" s="93"/>
      <c r="G122" s="93"/>
      <c r="H122" s="94"/>
      <c r="I122" s="93"/>
      <c r="J122" s="93"/>
      <c r="K122" s="93"/>
      <c r="L122" s="93"/>
      <c r="M122" s="171"/>
    </row>
    <row r="123" spans="1:13" ht="15" customHeight="1" x14ac:dyDescent="0.35">
      <c r="A123" s="170">
        <v>119</v>
      </c>
      <c r="B123" s="137" t="str">
        <f t="shared" si="1"/>
        <v/>
      </c>
      <c r="C123" s="92"/>
      <c r="D123" s="138" t="str">
        <f>IF($C123="","",_xlfn.XLOOKUP($C123,StrategiesSolutions[S&amp;S ID],StrategiesSolutions[Risk ID],""))</f>
        <v/>
      </c>
      <c r="E123" s="92"/>
      <c r="F123" s="93"/>
      <c r="G123" s="93"/>
      <c r="H123" s="94"/>
      <c r="I123" s="93"/>
      <c r="J123" s="93"/>
      <c r="K123" s="93"/>
      <c r="L123" s="93"/>
      <c r="M123" s="171"/>
    </row>
    <row r="124" spans="1:13" ht="15" customHeight="1" x14ac:dyDescent="0.35">
      <c r="A124" s="170">
        <v>120</v>
      </c>
      <c r="B124" s="137" t="str">
        <f t="shared" si="1"/>
        <v/>
      </c>
      <c r="C124" s="92"/>
      <c r="D124" s="138" t="str">
        <f>IF($C124="","",_xlfn.XLOOKUP($C124,StrategiesSolutions[S&amp;S ID],StrategiesSolutions[Risk ID],""))</f>
        <v/>
      </c>
      <c r="E124" s="92"/>
      <c r="F124" s="93"/>
      <c r="G124" s="93"/>
      <c r="H124" s="94"/>
      <c r="I124" s="93"/>
      <c r="J124" s="93"/>
      <c r="K124" s="93"/>
      <c r="L124" s="93"/>
      <c r="M124" s="171"/>
    </row>
    <row r="125" spans="1:13" ht="15" customHeight="1" x14ac:dyDescent="0.35">
      <c r="A125" s="170">
        <v>121</v>
      </c>
      <c r="B125" s="137" t="str">
        <f t="shared" si="1"/>
        <v/>
      </c>
      <c r="C125" s="92"/>
      <c r="D125" s="138" t="str">
        <f>IF($C125="","",_xlfn.XLOOKUP($C125,StrategiesSolutions[S&amp;S ID],StrategiesSolutions[Risk ID],""))</f>
        <v/>
      </c>
      <c r="E125" s="92"/>
      <c r="F125" s="93"/>
      <c r="G125" s="93"/>
      <c r="H125" s="94"/>
      <c r="I125" s="93"/>
      <c r="J125" s="93"/>
      <c r="K125" s="93"/>
      <c r="L125" s="93"/>
      <c r="M125" s="171"/>
    </row>
    <row r="126" spans="1:13" ht="15" customHeight="1" x14ac:dyDescent="0.35">
      <c r="A126" s="170">
        <v>122</v>
      </c>
      <c r="B126" s="137" t="str">
        <f t="shared" si="1"/>
        <v/>
      </c>
      <c r="C126" s="92"/>
      <c r="D126" s="138" t="str">
        <f>IF($C126="","",_xlfn.XLOOKUP($C126,StrategiesSolutions[S&amp;S ID],StrategiesSolutions[Risk ID],""))</f>
        <v/>
      </c>
      <c r="E126" s="92"/>
      <c r="F126" s="93"/>
      <c r="G126" s="93"/>
      <c r="H126" s="94"/>
      <c r="I126" s="93"/>
      <c r="J126" s="93"/>
      <c r="K126" s="93"/>
      <c r="L126" s="93"/>
      <c r="M126" s="171"/>
    </row>
    <row r="127" spans="1:13" ht="15" customHeight="1" x14ac:dyDescent="0.35">
      <c r="A127" s="170">
        <v>123</v>
      </c>
      <c r="B127" s="137" t="str">
        <f t="shared" si="1"/>
        <v/>
      </c>
      <c r="C127" s="92"/>
      <c r="D127" s="138" t="str">
        <f>IF($C127="","",_xlfn.XLOOKUP($C127,StrategiesSolutions[S&amp;S ID],StrategiesSolutions[Risk ID],""))</f>
        <v/>
      </c>
      <c r="E127" s="92"/>
      <c r="F127" s="93"/>
      <c r="G127" s="93"/>
      <c r="H127" s="94"/>
      <c r="I127" s="93"/>
      <c r="J127" s="93"/>
      <c r="K127" s="93"/>
      <c r="L127" s="93"/>
      <c r="M127" s="171"/>
    </row>
    <row r="128" spans="1:13" ht="15" customHeight="1" x14ac:dyDescent="0.35">
      <c r="A128" s="170">
        <v>124</v>
      </c>
      <c r="B128" s="137" t="str">
        <f t="shared" si="1"/>
        <v/>
      </c>
      <c r="C128" s="92"/>
      <c r="D128" s="138" t="str">
        <f>IF($C128="","",_xlfn.XLOOKUP($C128,StrategiesSolutions[S&amp;S ID],StrategiesSolutions[Risk ID],""))</f>
        <v/>
      </c>
      <c r="E128" s="92"/>
      <c r="F128" s="93"/>
      <c r="G128" s="93"/>
      <c r="H128" s="94"/>
      <c r="I128" s="93"/>
      <c r="J128" s="93"/>
      <c r="K128" s="93"/>
      <c r="L128" s="93"/>
      <c r="M128" s="171"/>
    </row>
    <row r="129" spans="1:13" ht="15" customHeight="1" x14ac:dyDescent="0.35">
      <c r="A129" s="170">
        <v>125</v>
      </c>
      <c r="B129" s="137" t="str">
        <f t="shared" si="1"/>
        <v/>
      </c>
      <c r="C129" s="92"/>
      <c r="D129" s="138" t="str">
        <f>IF($C129="","",_xlfn.XLOOKUP($C129,StrategiesSolutions[S&amp;S ID],StrategiesSolutions[Risk ID],""))</f>
        <v/>
      </c>
      <c r="E129" s="92"/>
      <c r="F129" s="93"/>
      <c r="G129" s="93"/>
      <c r="H129" s="94"/>
      <c r="I129" s="93"/>
      <c r="J129" s="93"/>
      <c r="K129" s="93"/>
      <c r="L129" s="93"/>
      <c r="M129" s="171"/>
    </row>
    <row r="130" spans="1:13" ht="15" customHeight="1" x14ac:dyDescent="0.35">
      <c r="A130" s="170">
        <v>126</v>
      </c>
      <c r="B130" s="137" t="str">
        <f t="shared" si="1"/>
        <v/>
      </c>
      <c r="C130" s="92"/>
      <c r="D130" s="138" t="str">
        <f>IF($C130="","",_xlfn.XLOOKUP($C130,StrategiesSolutions[S&amp;S ID],StrategiesSolutions[Risk ID],""))</f>
        <v/>
      </c>
      <c r="E130" s="92"/>
      <c r="F130" s="93"/>
      <c r="G130" s="93"/>
      <c r="H130" s="94"/>
      <c r="I130" s="93"/>
      <c r="J130" s="93"/>
      <c r="K130" s="93"/>
      <c r="L130" s="93"/>
      <c r="M130" s="171"/>
    </row>
    <row r="131" spans="1:13" ht="15" customHeight="1" x14ac:dyDescent="0.35">
      <c r="A131" s="170">
        <v>127</v>
      </c>
      <c r="B131" s="137" t="str">
        <f t="shared" si="1"/>
        <v/>
      </c>
      <c r="C131" s="92"/>
      <c r="D131" s="138" t="str">
        <f>IF($C131="","",_xlfn.XLOOKUP($C131,StrategiesSolutions[S&amp;S ID],StrategiesSolutions[Risk ID],""))</f>
        <v/>
      </c>
      <c r="E131" s="92"/>
      <c r="F131" s="93"/>
      <c r="G131" s="93"/>
      <c r="H131" s="94"/>
      <c r="I131" s="93"/>
      <c r="J131" s="93"/>
      <c r="K131" s="93"/>
      <c r="L131" s="93"/>
      <c r="M131" s="171"/>
    </row>
    <row r="132" spans="1:13" ht="15" customHeight="1" x14ac:dyDescent="0.35">
      <c r="A132" s="170">
        <v>128</v>
      </c>
      <c r="B132" s="137" t="str">
        <f t="shared" si="1"/>
        <v/>
      </c>
      <c r="C132" s="92"/>
      <c r="D132" s="138" t="str">
        <f>IF($C132="","",_xlfn.XLOOKUP($C132,StrategiesSolutions[S&amp;S ID],StrategiesSolutions[Risk ID],""))</f>
        <v/>
      </c>
      <c r="E132" s="92"/>
      <c r="F132" s="93"/>
      <c r="G132" s="93"/>
      <c r="H132" s="94"/>
      <c r="I132" s="93"/>
      <c r="J132" s="93"/>
      <c r="K132" s="93"/>
      <c r="L132" s="93"/>
      <c r="M132" s="171"/>
    </row>
    <row r="133" spans="1:13" ht="15" customHeight="1" x14ac:dyDescent="0.35">
      <c r="A133" s="170">
        <v>129</v>
      </c>
      <c r="B133" s="137" t="str">
        <f t="shared" ref="B133:B196" si="2">IF($F133="","","REQ-"&amp;TEXT($A133,"000"))</f>
        <v/>
      </c>
      <c r="C133" s="92"/>
      <c r="D133" s="138" t="str">
        <f>IF($C133="","",_xlfn.XLOOKUP($C133,StrategiesSolutions[S&amp;S ID],StrategiesSolutions[Risk ID],""))</f>
        <v/>
      </c>
      <c r="E133" s="92"/>
      <c r="F133" s="93"/>
      <c r="G133" s="93"/>
      <c r="H133" s="94"/>
      <c r="I133" s="93"/>
      <c r="J133" s="93"/>
      <c r="K133" s="93"/>
      <c r="L133" s="93"/>
      <c r="M133" s="171"/>
    </row>
    <row r="134" spans="1:13" ht="15" customHeight="1" x14ac:dyDescent="0.35">
      <c r="A134" s="170">
        <v>130</v>
      </c>
      <c r="B134" s="137" t="str">
        <f t="shared" si="2"/>
        <v/>
      </c>
      <c r="C134" s="92"/>
      <c r="D134" s="138" t="str">
        <f>IF($C134="","",_xlfn.XLOOKUP($C134,StrategiesSolutions[S&amp;S ID],StrategiesSolutions[Risk ID],""))</f>
        <v/>
      </c>
      <c r="E134" s="92"/>
      <c r="F134" s="93"/>
      <c r="G134" s="93"/>
      <c r="H134" s="94"/>
      <c r="I134" s="93"/>
      <c r="J134" s="93"/>
      <c r="K134" s="93"/>
      <c r="L134" s="93"/>
      <c r="M134" s="171"/>
    </row>
    <row r="135" spans="1:13" ht="15" customHeight="1" x14ac:dyDescent="0.35">
      <c r="A135" s="170">
        <v>131</v>
      </c>
      <c r="B135" s="137" t="str">
        <f t="shared" si="2"/>
        <v/>
      </c>
      <c r="C135" s="92"/>
      <c r="D135" s="138" t="str">
        <f>IF($C135="","",_xlfn.XLOOKUP($C135,StrategiesSolutions[S&amp;S ID],StrategiesSolutions[Risk ID],""))</f>
        <v/>
      </c>
      <c r="E135" s="92"/>
      <c r="F135" s="93"/>
      <c r="G135" s="93"/>
      <c r="H135" s="94"/>
      <c r="I135" s="93"/>
      <c r="J135" s="93"/>
      <c r="K135" s="93"/>
      <c r="L135" s="93"/>
      <c r="M135" s="171"/>
    </row>
    <row r="136" spans="1:13" ht="15" customHeight="1" x14ac:dyDescent="0.35">
      <c r="A136" s="170">
        <v>132</v>
      </c>
      <c r="B136" s="137" t="str">
        <f t="shared" si="2"/>
        <v/>
      </c>
      <c r="C136" s="92"/>
      <c r="D136" s="138" t="str">
        <f>IF($C136="","",_xlfn.XLOOKUP($C136,StrategiesSolutions[S&amp;S ID],StrategiesSolutions[Risk ID],""))</f>
        <v/>
      </c>
      <c r="E136" s="92"/>
      <c r="F136" s="93"/>
      <c r="G136" s="93"/>
      <c r="H136" s="94"/>
      <c r="I136" s="93"/>
      <c r="J136" s="93"/>
      <c r="K136" s="93"/>
      <c r="L136" s="93"/>
      <c r="M136" s="171"/>
    </row>
    <row r="137" spans="1:13" ht="15" customHeight="1" x14ac:dyDescent="0.35">
      <c r="A137" s="170">
        <v>133</v>
      </c>
      <c r="B137" s="137" t="str">
        <f t="shared" si="2"/>
        <v/>
      </c>
      <c r="C137" s="92"/>
      <c r="D137" s="138" t="str">
        <f>IF($C137="","",_xlfn.XLOOKUP($C137,StrategiesSolutions[S&amp;S ID],StrategiesSolutions[Risk ID],""))</f>
        <v/>
      </c>
      <c r="E137" s="92"/>
      <c r="F137" s="93"/>
      <c r="G137" s="93"/>
      <c r="H137" s="94"/>
      <c r="I137" s="93"/>
      <c r="J137" s="93"/>
      <c r="K137" s="93"/>
      <c r="L137" s="93"/>
      <c r="M137" s="171"/>
    </row>
    <row r="138" spans="1:13" ht="15" customHeight="1" x14ac:dyDescent="0.35">
      <c r="A138" s="170">
        <v>134</v>
      </c>
      <c r="B138" s="137" t="str">
        <f t="shared" si="2"/>
        <v/>
      </c>
      <c r="C138" s="92"/>
      <c r="D138" s="138" t="str">
        <f>IF($C138="","",_xlfn.XLOOKUP($C138,StrategiesSolutions[S&amp;S ID],StrategiesSolutions[Risk ID],""))</f>
        <v/>
      </c>
      <c r="E138" s="92"/>
      <c r="F138" s="93"/>
      <c r="G138" s="93"/>
      <c r="H138" s="94"/>
      <c r="I138" s="93"/>
      <c r="J138" s="93"/>
      <c r="K138" s="93"/>
      <c r="L138" s="93"/>
      <c r="M138" s="171"/>
    </row>
    <row r="139" spans="1:13" ht="15" customHeight="1" x14ac:dyDescent="0.35">
      <c r="A139" s="170">
        <v>135</v>
      </c>
      <c r="B139" s="137" t="str">
        <f t="shared" si="2"/>
        <v/>
      </c>
      <c r="C139" s="92"/>
      <c r="D139" s="138" t="str">
        <f>IF($C139="","",_xlfn.XLOOKUP($C139,StrategiesSolutions[S&amp;S ID],StrategiesSolutions[Risk ID],""))</f>
        <v/>
      </c>
      <c r="E139" s="92"/>
      <c r="F139" s="93"/>
      <c r="G139" s="93"/>
      <c r="H139" s="94"/>
      <c r="I139" s="93"/>
      <c r="J139" s="93"/>
      <c r="K139" s="93"/>
      <c r="L139" s="93"/>
      <c r="M139" s="171"/>
    </row>
    <row r="140" spans="1:13" ht="15" customHeight="1" x14ac:dyDescent="0.35">
      <c r="A140" s="170">
        <v>136</v>
      </c>
      <c r="B140" s="137" t="str">
        <f t="shared" si="2"/>
        <v/>
      </c>
      <c r="C140" s="92"/>
      <c r="D140" s="138" t="str">
        <f>IF($C140="","",_xlfn.XLOOKUP($C140,StrategiesSolutions[S&amp;S ID],StrategiesSolutions[Risk ID],""))</f>
        <v/>
      </c>
      <c r="E140" s="92"/>
      <c r="F140" s="93"/>
      <c r="G140" s="93"/>
      <c r="H140" s="94"/>
      <c r="I140" s="93"/>
      <c r="J140" s="93"/>
      <c r="K140" s="93"/>
      <c r="L140" s="93"/>
      <c r="M140" s="171"/>
    </row>
    <row r="141" spans="1:13" ht="15" customHeight="1" x14ac:dyDescent="0.35">
      <c r="A141" s="170">
        <v>137</v>
      </c>
      <c r="B141" s="137" t="str">
        <f t="shared" si="2"/>
        <v/>
      </c>
      <c r="C141" s="92"/>
      <c r="D141" s="138" t="str">
        <f>IF($C141="","",_xlfn.XLOOKUP($C141,StrategiesSolutions[S&amp;S ID],StrategiesSolutions[Risk ID],""))</f>
        <v/>
      </c>
      <c r="E141" s="92"/>
      <c r="F141" s="93"/>
      <c r="G141" s="93"/>
      <c r="H141" s="94"/>
      <c r="I141" s="93"/>
      <c r="J141" s="93"/>
      <c r="K141" s="93"/>
      <c r="L141" s="93"/>
      <c r="M141" s="171"/>
    </row>
    <row r="142" spans="1:13" ht="15" customHeight="1" x14ac:dyDescent="0.35">
      <c r="A142" s="170">
        <v>138</v>
      </c>
      <c r="B142" s="137" t="str">
        <f t="shared" si="2"/>
        <v/>
      </c>
      <c r="C142" s="92"/>
      <c r="D142" s="138" t="str">
        <f>IF($C142="","",_xlfn.XLOOKUP($C142,StrategiesSolutions[S&amp;S ID],StrategiesSolutions[Risk ID],""))</f>
        <v/>
      </c>
      <c r="E142" s="92"/>
      <c r="F142" s="93"/>
      <c r="G142" s="93"/>
      <c r="H142" s="94"/>
      <c r="I142" s="93"/>
      <c r="J142" s="93"/>
      <c r="K142" s="93"/>
      <c r="L142" s="93"/>
      <c r="M142" s="171"/>
    </row>
    <row r="143" spans="1:13" ht="15" customHeight="1" x14ac:dyDescent="0.35">
      <c r="A143" s="170">
        <v>139</v>
      </c>
      <c r="B143" s="137" t="str">
        <f t="shared" si="2"/>
        <v/>
      </c>
      <c r="C143" s="92"/>
      <c r="D143" s="138" t="str">
        <f>IF($C143="","",_xlfn.XLOOKUP($C143,StrategiesSolutions[S&amp;S ID],StrategiesSolutions[Risk ID],""))</f>
        <v/>
      </c>
      <c r="E143" s="92"/>
      <c r="F143" s="93"/>
      <c r="G143" s="93"/>
      <c r="H143" s="94"/>
      <c r="I143" s="93"/>
      <c r="J143" s="93"/>
      <c r="K143" s="93"/>
      <c r="L143" s="93"/>
      <c r="M143" s="171"/>
    </row>
    <row r="144" spans="1:13" ht="15" customHeight="1" x14ac:dyDescent="0.35">
      <c r="A144" s="170">
        <v>140</v>
      </c>
      <c r="B144" s="137" t="str">
        <f t="shared" si="2"/>
        <v/>
      </c>
      <c r="C144" s="92"/>
      <c r="D144" s="138" t="str">
        <f>IF($C144="","",_xlfn.XLOOKUP($C144,StrategiesSolutions[S&amp;S ID],StrategiesSolutions[Risk ID],""))</f>
        <v/>
      </c>
      <c r="E144" s="92"/>
      <c r="F144" s="93"/>
      <c r="G144" s="93"/>
      <c r="H144" s="94"/>
      <c r="I144" s="93"/>
      <c r="J144" s="93"/>
      <c r="K144" s="93"/>
      <c r="L144" s="93"/>
      <c r="M144" s="171"/>
    </row>
    <row r="145" spans="1:13" ht="15" customHeight="1" x14ac:dyDescent="0.35">
      <c r="A145" s="170">
        <v>141</v>
      </c>
      <c r="B145" s="137" t="str">
        <f t="shared" si="2"/>
        <v/>
      </c>
      <c r="C145" s="92"/>
      <c r="D145" s="138" t="str">
        <f>IF($C145="","",_xlfn.XLOOKUP($C145,StrategiesSolutions[S&amp;S ID],StrategiesSolutions[Risk ID],""))</f>
        <v/>
      </c>
      <c r="E145" s="92"/>
      <c r="F145" s="93"/>
      <c r="G145" s="93"/>
      <c r="H145" s="94"/>
      <c r="I145" s="93"/>
      <c r="J145" s="93"/>
      <c r="K145" s="93"/>
      <c r="L145" s="93"/>
      <c r="M145" s="171"/>
    </row>
    <row r="146" spans="1:13" ht="15" customHeight="1" x14ac:dyDescent="0.35">
      <c r="A146" s="170">
        <v>142</v>
      </c>
      <c r="B146" s="137" t="str">
        <f t="shared" si="2"/>
        <v/>
      </c>
      <c r="C146" s="92"/>
      <c r="D146" s="138" t="str">
        <f>IF($C146="","",_xlfn.XLOOKUP($C146,StrategiesSolutions[S&amp;S ID],StrategiesSolutions[Risk ID],""))</f>
        <v/>
      </c>
      <c r="E146" s="92"/>
      <c r="F146" s="93"/>
      <c r="G146" s="93"/>
      <c r="H146" s="94"/>
      <c r="I146" s="93"/>
      <c r="J146" s="93"/>
      <c r="K146" s="93"/>
      <c r="L146" s="93"/>
      <c r="M146" s="171"/>
    </row>
    <row r="147" spans="1:13" ht="15" customHeight="1" x14ac:dyDescent="0.35">
      <c r="A147" s="170">
        <v>143</v>
      </c>
      <c r="B147" s="137" t="str">
        <f t="shared" si="2"/>
        <v/>
      </c>
      <c r="C147" s="92"/>
      <c r="D147" s="138" t="str">
        <f>IF($C147="","",_xlfn.XLOOKUP($C147,StrategiesSolutions[S&amp;S ID],StrategiesSolutions[Risk ID],""))</f>
        <v/>
      </c>
      <c r="E147" s="92"/>
      <c r="F147" s="93"/>
      <c r="G147" s="93"/>
      <c r="H147" s="94"/>
      <c r="I147" s="93"/>
      <c r="J147" s="93"/>
      <c r="K147" s="93"/>
      <c r="L147" s="93"/>
      <c r="M147" s="171"/>
    </row>
    <row r="148" spans="1:13" ht="15" customHeight="1" x14ac:dyDescent="0.35">
      <c r="A148" s="170">
        <v>144</v>
      </c>
      <c r="B148" s="137" t="str">
        <f t="shared" si="2"/>
        <v/>
      </c>
      <c r="C148" s="92"/>
      <c r="D148" s="138" t="str">
        <f>IF($C148="","",_xlfn.XLOOKUP($C148,StrategiesSolutions[S&amp;S ID],StrategiesSolutions[Risk ID],""))</f>
        <v/>
      </c>
      <c r="E148" s="92"/>
      <c r="F148" s="93"/>
      <c r="G148" s="93"/>
      <c r="H148" s="94"/>
      <c r="I148" s="93"/>
      <c r="J148" s="93"/>
      <c r="K148" s="93"/>
      <c r="L148" s="93"/>
      <c r="M148" s="171"/>
    </row>
    <row r="149" spans="1:13" ht="15" customHeight="1" x14ac:dyDescent="0.35">
      <c r="A149" s="170">
        <v>145</v>
      </c>
      <c r="B149" s="137" t="str">
        <f t="shared" si="2"/>
        <v/>
      </c>
      <c r="C149" s="92"/>
      <c r="D149" s="138" t="str">
        <f>IF($C149="","",_xlfn.XLOOKUP($C149,StrategiesSolutions[S&amp;S ID],StrategiesSolutions[Risk ID],""))</f>
        <v/>
      </c>
      <c r="E149" s="92"/>
      <c r="F149" s="93"/>
      <c r="G149" s="93"/>
      <c r="H149" s="94"/>
      <c r="I149" s="93"/>
      <c r="J149" s="93"/>
      <c r="K149" s="93"/>
      <c r="L149" s="93"/>
      <c r="M149" s="171"/>
    </row>
    <row r="150" spans="1:13" ht="15" customHeight="1" x14ac:dyDescent="0.35">
      <c r="A150" s="170">
        <v>146</v>
      </c>
      <c r="B150" s="137" t="str">
        <f t="shared" si="2"/>
        <v/>
      </c>
      <c r="C150" s="92"/>
      <c r="D150" s="138" t="str">
        <f>IF($C150="","",_xlfn.XLOOKUP($C150,StrategiesSolutions[S&amp;S ID],StrategiesSolutions[Risk ID],""))</f>
        <v/>
      </c>
      <c r="E150" s="92"/>
      <c r="F150" s="93"/>
      <c r="G150" s="93"/>
      <c r="H150" s="94"/>
      <c r="I150" s="93"/>
      <c r="J150" s="93"/>
      <c r="K150" s="93"/>
      <c r="L150" s="93"/>
      <c r="M150" s="171"/>
    </row>
    <row r="151" spans="1:13" ht="15" customHeight="1" x14ac:dyDescent="0.35">
      <c r="A151" s="170">
        <v>147</v>
      </c>
      <c r="B151" s="137" t="str">
        <f t="shared" si="2"/>
        <v/>
      </c>
      <c r="C151" s="92"/>
      <c r="D151" s="138" t="str">
        <f>IF($C151="","",_xlfn.XLOOKUP($C151,StrategiesSolutions[S&amp;S ID],StrategiesSolutions[Risk ID],""))</f>
        <v/>
      </c>
      <c r="E151" s="92"/>
      <c r="F151" s="93"/>
      <c r="G151" s="93"/>
      <c r="H151" s="94"/>
      <c r="I151" s="93"/>
      <c r="J151" s="93"/>
      <c r="K151" s="93"/>
      <c r="L151" s="93"/>
      <c r="M151" s="171"/>
    </row>
    <row r="152" spans="1:13" ht="15" customHeight="1" x14ac:dyDescent="0.35">
      <c r="A152" s="170">
        <v>148</v>
      </c>
      <c r="B152" s="137" t="str">
        <f t="shared" si="2"/>
        <v/>
      </c>
      <c r="C152" s="92"/>
      <c r="D152" s="138" t="str">
        <f>IF($C152="","",_xlfn.XLOOKUP($C152,StrategiesSolutions[S&amp;S ID],StrategiesSolutions[Risk ID],""))</f>
        <v/>
      </c>
      <c r="E152" s="92"/>
      <c r="F152" s="93"/>
      <c r="G152" s="93"/>
      <c r="H152" s="94"/>
      <c r="I152" s="93"/>
      <c r="J152" s="93"/>
      <c r="K152" s="93"/>
      <c r="L152" s="93"/>
      <c r="M152" s="171"/>
    </row>
    <row r="153" spans="1:13" ht="15" customHeight="1" x14ac:dyDescent="0.35">
      <c r="A153" s="170">
        <v>149</v>
      </c>
      <c r="B153" s="137" t="str">
        <f t="shared" si="2"/>
        <v/>
      </c>
      <c r="C153" s="92"/>
      <c r="D153" s="138" t="str">
        <f>IF($C153="","",_xlfn.XLOOKUP($C153,StrategiesSolutions[S&amp;S ID],StrategiesSolutions[Risk ID],""))</f>
        <v/>
      </c>
      <c r="E153" s="92"/>
      <c r="F153" s="93"/>
      <c r="G153" s="93"/>
      <c r="H153" s="94"/>
      <c r="I153" s="93"/>
      <c r="J153" s="93"/>
      <c r="K153" s="93"/>
      <c r="L153" s="93"/>
      <c r="M153" s="171"/>
    </row>
    <row r="154" spans="1:13" ht="15" customHeight="1" x14ac:dyDescent="0.35">
      <c r="A154" s="170">
        <v>150</v>
      </c>
      <c r="B154" s="137" t="str">
        <f t="shared" si="2"/>
        <v/>
      </c>
      <c r="C154" s="92"/>
      <c r="D154" s="138" t="str">
        <f>IF($C154="","",_xlfn.XLOOKUP($C154,StrategiesSolutions[S&amp;S ID],StrategiesSolutions[Risk ID],""))</f>
        <v/>
      </c>
      <c r="E154" s="92"/>
      <c r="F154" s="93"/>
      <c r="G154" s="93"/>
      <c r="H154" s="94"/>
      <c r="I154" s="93"/>
      <c r="J154" s="93"/>
      <c r="K154" s="93"/>
      <c r="L154" s="93"/>
      <c r="M154" s="171"/>
    </row>
    <row r="155" spans="1:13" ht="15" customHeight="1" x14ac:dyDescent="0.35">
      <c r="A155" s="170">
        <v>151</v>
      </c>
      <c r="B155" s="137" t="str">
        <f t="shared" si="2"/>
        <v/>
      </c>
      <c r="C155" s="92"/>
      <c r="D155" s="138" t="str">
        <f>IF($C155="","",_xlfn.XLOOKUP($C155,StrategiesSolutions[S&amp;S ID],StrategiesSolutions[Risk ID],""))</f>
        <v/>
      </c>
      <c r="E155" s="92"/>
      <c r="F155" s="93"/>
      <c r="G155" s="93"/>
      <c r="H155" s="94"/>
      <c r="I155" s="93"/>
      <c r="J155" s="93"/>
      <c r="K155" s="93"/>
      <c r="L155" s="93"/>
      <c r="M155" s="171"/>
    </row>
    <row r="156" spans="1:13" ht="15" customHeight="1" x14ac:dyDescent="0.35">
      <c r="A156" s="170">
        <v>152</v>
      </c>
      <c r="B156" s="137" t="str">
        <f t="shared" si="2"/>
        <v/>
      </c>
      <c r="C156" s="92"/>
      <c r="D156" s="138" t="str">
        <f>IF($C156="","",_xlfn.XLOOKUP($C156,StrategiesSolutions[S&amp;S ID],StrategiesSolutions[Risk ID],""))</f>
        <v/>
      </c>
      <c r="E156" s="92"/>
      <c r="F156" s="93"/>
      <c r="G156" s="93"/>
      <c r="H156" s="94"/>
      <c r="I156" s="93"/>
      <c r="J156" s="93"/>
      <c r="K156" s="93"/>
      <c r="L156" s="93"/>
      <c r="M156" s="171"/>
    </row>
    <row r="157" spans="1:13" ht="15" customHeight="1" x14ac:dyDescent="0.35">
      <c r="A157" s="170">
        <v>153</v>
      </c>
      <c r="B157" s="137" t="str">
        <f t="shared" si="2"/>
        <v/>
      </c>
      <c r="C157" s="92"/>
      <c r="D157" s="138" t="str">
        <f>IF($C157="","",_xlfn.XLOOKUP($C157,StrategiesSolutions[S&amp;S ID],StrategiesSolutions[Risk ID],""))</f>
        <v/>
      </c>
      <c r="E157" s="92"/>
      <c r="F157" s="93"/>
      <c r="G157" s="93"/>
      <c r="H157" s="94"/>
      <c r="I157" s="93"/>
      <c r="J157" s="93"/>
      <c r="K157" s="93"/>
      <c r="L157" s="93"/>
      <c r="M157" s="171"/>
    </row>
    <row r="158" spans="1:13" ht="15" customHeight="1" x14ac:dyDescent="0.35">
      <c r="A158" s="170">
        <v>154</v>
      </c>
      <c r="B158" s="137" t="str">
        <f t="shared" si="2"/>
        <v/>
      </c>
      <c r="C158" s="92"/>
      <c r="D158" s="138" t="str">
        <f>IF($C158="","",_xlfn.XLOOKUP($C158,StrategiesSolutions[S&amp;S ID],StrategiesSolutions[Risk ID],""))</f>
        <v/>
      </c>
      <c r="E158" s="92"/>
      <c r="F158" s="93"/>
      <c r="G158" s="93"/>
      <c r="H158" s="94"/>
      <c r="I158" s="93"/>
      <c r="J158" s="93"/>
      <c r="K158" s="93"/>
      <c r="L158" s="93"/>
      <c r="M158" s="171"/>
    </row>
    <row r="159" spans="1:13" ht="15" customHeight="1" x14ac:dyDescent="0.35">
      <c r="A159" s="170">
        <v>155</v>
      </c>
      <c r="B159" s="137" t="str">
        <f t="shared" si="2"/>
        <v/>
      </c>
      <c r="C159" s="92"/>
      <c r="D159" s="138" t="str">
        <f>IF($C159="","",_xlfn.XLOOKUP($C159,StrategiesSolutions[S&amp;S ID],StrategiesSolutions[Risk ID],""))</f>
        <v/>
      </c>
      <c r="E159" s="92"/>
      <c r="F159" s="93"/>
      <c r="G159" s="93"/>
      <c r="H159" s="94"/>
      <c r="I159" s="93"/>
      <c r="J159" s="93"/>
      <c r="K159" s="93"/>
      <c r="L159" s="93"/>
      <c r="M159" s="171"/>
    </row>
    <row r="160" spans="1:13" ht="15" customHeight="1" x14ac:dyDescent="0.35">
      <c r="A160" s="170">
        <v>156</v>
      </c>
      <c r="B160" s="137" t="str">
        <f t="shared" si="2"/>
        <v/>
      </c>
      <c r="C160" s="92"/>
      <c r="D160" s="138" t="str">
        <f>IF($C160="","",_xlfn.XLOOKUP($C160,StrategiesSolutions[S&amp;S ID],StrategiesSolutions[Risk ID],""))</f>
        <v/>
      </c>
      <c r="E160" s="92"/>
      <c r="F160" s="93"/>
      <c r="G160" s="93"/>
      <c r="H160" s="94"/>
      <c r="I160" s="93"/>
      <c r="J160" s="93"/>
      <c r="K160" s="93"/>
      <c r="L160" s="93"/>
      <c r="M160" s="171"/>
    </row>
    <row r="161" spans="1:13" ht="15" customHeight="1" x14ac:dyDescent="0.35">
      <c r="A161" s="170">
        <v>157</v>
      </c>
      <c r="B161" s="137" t="str">
        <f t="shared" si="2"/>
        <v/>
      </c>
      <c r="C161" s="92"/>
      <c r="D161" s="138" t="str">
        <f>IF($C161="","",_xlfn.XLOOKUP($C161,StrategiesSolutions[S&amp;S ID],StrategiesSolutions[Risk ID],""))</f>
        <v/>
      </c>
      <c r="E161" s="92"/>
      <c r="F161" s="93"/>
      <c r="G161" s="93"/>
      <c r="H161" s="94"/>
      <c r="I161" s="93"/>
      <c r="J161" s="93"/>
      <c r="K161" s="93"/>
      <c r="L161" s="93"/>
      <c r="M161" s="171"/>
    </row>
    <row r="162" spans="1:13" ht="15" customHeight="1" x14ac:dyDescent="0.35">
      <c r="A162" s="170">
        <v>158</v>
      </c>
      <c r="B162" s="137" t="str">
        <f t="shared" si="2"/>
        <v/>
      </c>
      <c r="C162" s="92"/>
      <c r="D162" s="138" t="str">
        <f>IF($C162="","",_xlfn.XLOOKUP($C162,StrategiesSolutions[S&amp;S ID],StrategiesSolutions[Risk ID],""))</f>
        <v/>
      </c>
      <c r="E162" s="92"/>
      <c r="F162" s="93"/>
      <c r="G162" s="93"/>
      <c r="H162" s="94"/>
      <c r="I162" s="93"/>
      <c r="J162" s="93"/>
      <c r="K162" s="93"/>
      <c r="L162" s="93"/>
      <c r="M162" s="171"/>
    </row>
    <row r="163" spans="1:13" ht="15" customHeight="1" x14ac:dyDescent="0.35">
      <c r="A163" s="170">
        <v>159</v>
      </c>
      <c r="B163" s="137" t="str">
        <f t="shared" si="2"/>
        <v/>
      </c>
      <c r="C163" s="92"/>
      <c r="D163" s="138" t="str">
        <f>IF($C163="","",_xlfn.XLOOKUP($C163,StrategiesSolutions[S&amp;S ID],StrategiesSolutions[Risk ID],""))</f>
        <v/>
      </c>
      <c r="E163" s="92"/>
      <c r="F163" s="93"/>
      <c r="G163" s="93"/>
      <c r="H163" s="94"/>
      <c r="I163" s="93"/>
      <c r="J163" s="93"/>
      <c r="K163" s="93"/>
      <c r="L163" s="93"/>
      <c r="M163" s="171"/>
    </row>
    <row r="164" spans="1:13" ht="15" customHeight="1" x14ac:dyDescent="0.35">
      <c r="A164" s="170">
        <v>160</v>
      </c>
      <c r="B164" s="137" t="str">
        <f t="shared" si="2"/>
        <v/>
      </c>
      <c r="C164" s="92"/>
      <c r="D164" s="138" t="str">
        <f>IF($C164="","",_xlfn.XLOOKUP($C164,StrategiesSolutions[S&amp;S ID],StrategiesSolutions[Risk ID],""))</f>
        <v/>
      </c>
      <c r="E164" s="92"/>
      <c r="F164" s="93"/>
      <c r="G164" s="93"/>
      <c r="H164" s="94"/>
      <c r="I164" s="93"/>
      <c r="J164" s="93"/>
      <c r="K164" s="93"/>
      <c r="L164" s="93"/>
      <c r="M164" s="171"/>
    </row>
    <row r="165" spans="1:13" ht="15" customHeight="1" x14ac:dyDescent="0.35">
      <c r="A165" s="170">
        <v>161</v>
      </c>
      <c r="B165" s="137" t="str">
        <f t="shared" si="2"/>
        <v/>
      </c>
      <c r="C165" s="92"/>
      <c r="D165" s="138" t="str">
        <f>IF($C165="","",_xlfn.XLOOKUP($C165,StrategiesSolutions[S&amp;S ID],StrategiesSolutions[Risk ID],""))</f>
        <v/>
      </c>
      <c r="E165" s="92"/>
      <c r="F165" s="93"/>
      <c r="G165" s="93"/>
      <c r="H165" s="94"/>
      <c r="I165" s="93"/>
      <c r="J165" s="93"/>
      <c r="K165" s="93"/>
      <c r="L165" s="93"/>
      <c r="M165" s="171"/>
    </row>
    <row r="166" spans="1:13" ht="15" customHeight="1" x14ac:dyDescent="0.35">
      <c r="A166" s="170">
        <v>162</v>
      </c>
      <c r="B166" s="137" t="str">
        <f t="shared" si="2"/>
        <v/>
      </c>
      <c r="C166" s="92"/>
      <c r="D166" s="138" t="str">
        <f>IF($C166="","",_xlfn.XLOOKUP($C166,StrategiesSolutions[S&amp;S ID],StrategiesSolutions[Risk ID],""))</f>
        <v/>
      </c>
      <c r="E166" s="92"/>
      <c r="F166" s="93"/>
      <c r="G166" s="93"/>
      <c r="H166" s="94"/>
      <c r="I166" s="93"/>
      <c r="J166" s="93"/>
      <c r="K166" s="93"/>
      <c r="L166" s="93"/>
      <c r="M166" s="171"/>
    </row>
    <row r="167" spans="1:13" ht="15" customHeight="1" x14ac:dyDescent="0.35">
      <c r="A167" s="170">
        <v>163</v>
      </c>
      <c r="B167" s="137" t="str">
        <f t="shared" si="2"/>
        <v/>
      </c>
      <c r="C167" s="92"/>
      <c r="D167" s="138" t="str">
        <f>IF($C167="","",_xlfn.XLOOKUP($C167,StrategiesSolutions[S&amp;S ID],StrategiesSolutions[Risk ID],""))</f>
        <v/>
      </c>
      <c r="E167" s="92"/>
      <c r="F167" s="93"/>
      <c r="G167" s="93"/>
      <c r="H167" s="94"/>
      <c r="I167" s="93"/>
      <c r="J167" s="93"/>
      <c r="K167" s="93"/>
      <c r="L167" s="93"/>
      <c r="M167" s="171"/>
    </row>
    <row r="168" spans="1:13" ht="15" customHeight="1" x14ac:dyDescent="0.35">
      <c r="A168" s="170">
        <v>164</v>
      </c>
      <c r="B168" s="137" t="str">
        <f t="shared" si="2"/>
        <v/>
      </c>
      <c r="C168" s="92"/>
      <c r="D168" s="138" t="str">
        <f>IF($C168="","",_xlfn.XLOOKUP($C168,StrategiesSolutions[S&amp;S ID],StrategiesSolutions[Risk ID],""))</f>
        <v/>
      </c>
      <c r="E168" s="92"/>
      <c r="F168" s="93"/>
      <c r="G168" s="93"/>
      <c r="H168" s="94"/>
      <c r="I168" s="93"/>
      <c r="J168" s="93"/>
      <c r="K168" s="93"/>
      <c r="L168" s="93"/>
      <c r="M168" s="171"/>
    </row>
    <row r="169" spans="1:13" ht="15" customHeight="1" x14ac:dyDescent="0.35">
      <c r="A169" s="170">
        <v>165</v>
      </c>
      <c r="B169" s="137" t="str">
        <f t="shared" si="2"/>
        <v/>
      </c>
      <c r="C169" s="92"/>
      <c r="D169" s="138" t="str">
        <f>IF($C169="","",_xlfn.XLOOKUP($C169,StrategiesSolutions[S&amp;S ID],StrategiesSolutions[Risk ID],""))</f>
        <v/>
      </c>
      <c r="E169" s="92"/>
      <c r="F169" s="93"/>
      <c r="G169" s="93"/>
      <c r="H169" s="94"/>
      <c r="I169" s="93"/>
      <c r="J169" s="93"/>
      <c r="K169" s="93"/>
      <c r="L169" s="93"/>
      <c r="M169" s="171"/>
    </row>
    <row r="170" spans="1:13" ht="15" customHeight="1" x14ac:dyDescent="0.35">
      <c r="A170" s="170">
        <v>166</v>
      </c>
      <c r="B170" s="137" t="str">
        <f t="shared" si="2"/>
        <v/>
      </c>
      <c r="C170" s="92"/>
      <c r="D170" s="138" t="str">
        <f>IF($C170="","",_xlfn.XLOOKUP($C170,StrategiesSolutions[S&amp;S ID],StrategiesSolutions[Risk ID],""))</f>
        <v/>
      </c>
      <c r="E170" s="92"/>
      <c r="F170" s="93"/>
      <c r="G170" s="93"/>
      <c r="H170" s="94"/>
      <c r="I170" s="93"/>
      <c r="J170" s="93"/>
      <c r="K170" s="93"/>
      <c r="L170" s="93"/>
      <c r="M170" s="171"/>
    </row>
    <row r="171" spans="1:13" ht="15" customHeight="1" x14ac:dyDescent="0.35">
      <c r="A171" s="170">
        <v>167</v>
      </c>
      <c r="B171" s="137" t="str">
        <f t="shared" si="2"/>
        <v/>
      </c>
      <c r="C171" s="92"/>
      <c r="D171" s="138" t="str">
        <f>IF($C171="","",_xlfn.XLOOKUP($C171,StrategiesSolutions[S&amp;S ID],StrategiesSolutions[Risk ID],""))</f>
        <v/>
      </c>
      <c r="E171" s="92"/>
      <c r="F171" s="93"/>
      <c r="G171" s="93"/>
      <c r="H171" s="94"/>
      <c r="I171" s="93"/>
      <c r="J171" s="93"/>
      <c r="K171" s="93"/>
      <c r="L171" s="93"/>
      <c r="M171" s="171"/>
    </row>
    <row r="172" spans="1:13" ht="15" customHeight="1" x14ac:dyDescent="0.35">
      <c r="A172" s="170">
        <v>168</v>
      </c>
      <c r="B172" s="137" t="str">
        <f t="shared" si="2"/>
        <v/>
      </c>
      <c r="C172" s="92"/>
      <c r="D172" s="138" t="str">
        <f>IF($C172="","",_xlfn.XLOOKUP($C172,StrategiesSolutions[S&amp;S ID],StrategiesSolutions[Risk ID],""))</f>
        <v/>
      </c>
      <c r="E172" s="92"/>
      <c r="F172" s="93"/>
      <c r="G172" s="93"/>
      <c r="H172" s="94"/>
      <c r="I172" s="93"/>
      <c r="J172" s="93"/>
      <c r="K172" s="93"/>
      <c r="L172" s="93"/>
      <c r="M172" s="171"/>
    </row>
    <row r="173" spans="1:13" ht="15" customHeight="1" x14ac:dyDescent="0.35">
      <c r="A173" s="170">
        <v>169</v>
      </c>
      <c r="B173" s="137" t="str">
        <f t="shared" si="2"/>
        <v/>
      </c>
      <c r="C173" s="92"/>
      <c r="D173" s="138" t="str">
        <f>IF($C173="","",_xlfn.XLOOKUP($C173,StrategiesSolutions[S&amp;S ID],StrategiesSolutions[Risk ID],""))</f>
        <v/>
      </c>
      <c r="E173" s="92"/>
      <c r="F173" s="93"/>
      <c r="G173" s="93"/>
      <c r="H173" s="94"/>
      <c r="I173" s="93"/>
      <c r="J173" s="93"/>
      <c r="K173" s="93"/>
      <c r="L173" s="93"/>
      <c r="M173" s="171"/>
    </row>
    <row r="174" spans="1:13" ht="15" customHeight="1" x14ac:dyDescent="0.35">
      <c r="A174" s="170">
        <v>170</v>
      </c>
      <c r="B174" s="137" t="str">
        <f t="shared" si="2"/>
        <v/>
      </c>
      <c r="C174" s="92"/>
      <c r="D174" s="138" t="str">
        <f>IF($C174="","",_xlfn.XLOOKUP($C174,StrategiesSolutions[S&amp;S ID],StrategiesSolutions[Risk ID],""))</f>
        <v/>
      </c>
      <c r="E174" s="92"/>
      <c r="F174" s="93"/>
      <c r="G174" s="93"/>
      <c r="H174" s="94"/>
      <c r="I174" s="93"/>
      <c r="J174" s="93"/>
      <c r="K174" s="93"/>
      <c r="L174" s="93"/>
      <c r="M174" s="171"/>
    </row>
    <row r="175" spans="1:13" ht="15" customHeight="1" x14ac:dyDescent="0.35">
      <c r="A175" s="170">
        <v>171</v>
      </c>
      <c r="B175" s="137" t="str">
        <f t="shared" si="2"/>
        <v/>
      </c>
      <c r="C175" s="92"/>
      <c r="D175" s="138" t="str">
        <f>IF($C175="","",_xlfn.XLOOKUP($C175,StrategiesSolutions[S&amp;S ID],StrategiesSolutions[Risk ID],""))</f>
        <v/>
      </c>
      <c r="E175" s="92"/>
      <c r="F175" s="93"/>
      <c r="G175" s="93"/>
      <c r="H175" s="94"/>
      <c r="I175" s="93"/>
      <c r="J175" s="93"/>
      <c r="K175" s="93"/>
      <c r="L175" s="93"/>
      <c r="M175" s="171"/>
    </row>
    <row r="176" spans="1:13" ht="15" customHeight="1" x14ac:dyDescent="0.35">
      <c r="A176" s="170">
        <v>172</v>
      </c>
      <c r="B176" s="137" t="str">
        <f t="shared" si="2"/>
        <v/>
      </c>
      <c r="C176" s="92"/>
      <c r="D176" s="138" t="str">
        <f>IF($C176="","",_xlfn.XLOOKUP($C176,StrategiesSolutions[S&amp;S ID],StrategiesSolutions[Risk ID],""))</f>
        <v/>
      </c>
      <c r="E176" s="92"/>
      <c r="F176" s="93"/>
      <c r="G176" s="93"/>
      <c r="H176" s="94"/>
      <c r="I176" s="93"/>
      <c r="J176" s="93"/>
      <c r="K176" s="93"/>
      <c r="L176" s="93"/>
      <c r="M176" s="171"/>
    </row>
    <row r="177" spans="1:13" ht="15" customHeight="1" x14ac:dyDescent="0.35">
      <c r="A177" s="170">
        <v>173</v>
      </c>
      <c r="B177" s="137" t="str">
        <f t="shared" si="2"/>
        <v/>
      </c>
      <c r="C177" s="92"/>
      <c r="D177" s="138" t="str">
        <f>IF($C177="","",_xlfn.XLOOKUP($C177,StrategiesSolutions[S&amp;S ID],StrategiesSolutions[Risk ID],""))</f>
        <v/>
      </c>
      <c r="E177" s="92"/>
      <c r="F177" s="93"/>
      <c r="G177" s="93"/>
      <c r="H177" s="94"/>
      <c r="I177" s="93"/>
      <c r="J177" s="93"/>
      <c r="K177" s="93"/>
      <c r="L177" s="93"/>
      <c r="M177" s="171"/>
    </row>
    <row r="178" spans="1:13" ht="15" customHeight="1" x14ac:dyDescent="0.35">
      <c r="A178" s="170">
        <v>174</v>
      </c>
      <c r="B178" s="137" t="str">
        <f t="shared" si="2"/>
        <v/>
      </c>
      <c r="C178" s="92"/>
      <c r="D178" s="138" t="str">
        <f>IF($C178="","",_xlfn.XLOOKUP($C178,StrategiesSolutions[S&amp;S ID],StrategiesSolutions[Risk ID],""))</f>
        <v/>
      </c>
      <c r="E178" s="92"/>
      <c r="F178" s="93"/>
      <c r="G178" s="93"/>
      <c r="H178" s="94"/>
      <c r="I178" s="93"/>
      <c r="J178" s="93"/>
      <c r="K178" s="93"/>
      <c r="L178" s="93"/>
      <c r="M178" s="171"/>
    </row>
    <row r="179" spans="1:13" ht="15" customHeight="1" x14ac:dyDescent="0.35">
      <c r="A179" s="170">
        <v>175</v>
      </c>
      <c r="B179" s="137" t="str">
        <f t="shared" si="2"/>
        <v/>
      </c>
      <c r="C179" s="92"/>
      <c r="D179" s="138" t="str">
        <f>IF($C179="","",_xlfn.XLOOKUP($C179,StrategiesSolutions[S&amp;S ID],StrategiesSolutions[Risk ID],""))</f>
        <v/>
      </c>
      <c r="E179" s="92"/>
      <c r="F179" s="93"/>
      <c r="G179" s="93"/>
      <c r="H179" s="94"/>
      <c r="I179" s="93"/>
      <c r="J179" s="93"/>
      <c r="K179" s="93"/>
      <c r="L179" s="93"/>
      <c r="M179" s="171"/>
    </row>
    <row r="180" spans="1:13" ht="15" customHeight="1" x14ac:dyDescent="0.35">
      <c r="A180" s="170">
        <v>176</v>
      </c>
      <c r="B180" s="137" t="str">
        <f t="shared" si="2"/>
        <v/>
      </c>
      <c r="C180" s="92"/>
      <c r="D180" s="138" t="str">
        <f>IF($C180="","",_xlfn.XLOOKUP($C180,StrategiesSolutions[S&amp;S ID],StrategiesSolutions[Risk ID],""))</f>
        <v/>
      </c>
      <c r="E180" s="92"/>
      <c r="F180" s="93"/>
      <c r="G180" s="93"/>
      <c r="H180" s="94"/>
      <c r="I180" s="93"/>
      <c r="J180" s="93"/>
      <c r="K180" s="93"/>
      <c r="L180" s="93"/>
      <c r="M180" s="171"/>
    </row>
    <row r="181" spans="1:13" ht="15" customHeight="1" x14ac:dyDescent="0.35">
      <c r="A181" s="170">
        <v>177</v>
      </c>
      <c r="B181" s="137" t="str">
        <f t="shared" si="2"/>
        <v/>
      </c>
      <c r="C181" s="92"/>
      <c r="D181" s="138" t="str">
        <f>IF($C181="","",_xlfn.XLOOKUP($C181,StrategiesSolutions[S&amp;S ID],StrategiesSolutions[Risk ID],""))</f>
        <v/>
      </c>
      <c r="E181" s="92"/>
      <c r="F181" s="93"/>
      <c r="G181" s="93"/>
      <c r="H181" s="94"/>
      <c r="I181" s="93"/>
      <c r="J181" s="93"/>
      <c r="K181" s="93"/>
      <c r="L181" s="93"/>
      <c r="M181" s="171"/>
    </row>
    <row r="182" spans="1:13" ht="15" customHeight="1" x14ac:dyDescent="0.35">
      <c r="A182" s="170">
        <v>178</v>
      </c>
      <c r="B182" s="137" t="str">
        <f t="shared" si="2"/>
        <v/>
      </c>
      <c r="C182" s="92"/>
      <c r="D182" s="138" t="str">
        <f>IF($C182="","",_xlfn.XLOOKUP($C182,StrategiesSolutions[S&amp;S ID],StrategiesSolutions[Risk ID],""))</f>
        <v/>
      </c>
      <c r="E182" s="92"/>
      <c r="F182" s="93"/>
      <c r="G182" s="93"/>
      <c r="H182" s="94"/>
      <c r="I182" s="93"/>
      <c r="J182" s="93"/>
      <c r="K182" s="93"/>
      <c r="L182" s="93"/>
      <c r="M182" s="171"/>
    </row>
    <row r="183" spans="1:13" ht="15" customHeight="1" x14ac:dyDescent="0.35">
      <c r="A183" s="170">
        <v>179</v>
      </c>
      <c r="B183" s="137" t="str">
        <f t="shared" si="2"/>
        <v/>
      </c>
      <c r="C183" s="92"/>
      <c r="D183" s="138" t="str">
        <f>IF($C183="","",_xlfn.XLOOKUP($C183,StrategiesSolutions[S&amp;S ID],StrategiesSolutions[Risk ID],""))</f>
        <v/>
      </c>
      <c r="E183" s="92"/>
      <c r="F183" s="93"/>
      <c r="G183" s="93"/>
      <c r="H183" s="94"/>
      <c r="I183" s="93"/>
      <c r="J183" s="93"/>
      <c r="K183" s="93"/>
      <c r="L183" s="93"/>
      <c r="M183" s="171"/>
    </row>
    <row r="184" spans="1:13" ht="15" customHeight="1" x14ac:dyDescent="0.35">
      <c r="A184" s="170">
        <v>180</v>
      </c>
      <c r="B184" s="137" t="str">
        <f t="shared" si="2"/>
        <v/>
      </c>
      <c r="C184" s="92"/>
      <c r="D184" s="138" t="str">
        <f>IF($C184="","",_xlfn.XLOOKUP($C184,StrategiesSolutions[S&amp;S ID],StrategiesSolutions[Risk ID],""))</f>
        <v/>
      </c>
      <c r="E184" s="92"/>
      <c r="F184" s="93"/>
      <c r="G184" s="93"/>
      <c r="H184" s="94"/>
      <c r="I184" s="93"/>
      <c r="J184" s="93"/>
      <c r="K184" s="93"/>
      <c r="L184" s="93"/>
      <c r="M184" s="171"/>
    </row>
    <row r="185" spans="1:13" ht="15" customHeight="1" x14ac:dyDescent="0.35">
      <c r="A185" s="170">
        <v>181</v>
      </c>
      <c r="B185" s="137" t="str">
        <f t="shared" si="2"/>
        <v/>
      </c>
      <c r="C185" s="92"/>
      <c r="D185" s="138" t="str">
        <f>IF($C185="","",_xlfn.XLOOKUP($C185,StrategiesSolutions[S&amp;S ID],StrategiesSolutions[Risk ID],""))</f>
        <v/>
      </c>
      <c r="E185" s="92"/>
      <c r="F185" s="93"/>
      <c r="G185" s="93"/>
      <c r="H185" s="94"/>
      <c r="I185" s="93"/>
      <c r="J185" s="93"/>
      <c r="K185" s="93"/>
      <c r="L185" s="93"/>
      <c r="M185" s="171"/>
    </row>
    <row r="186" spans="1:13" ht="15" customHeight="1" x14ac:dyDescent="0.35">
      <c r="A186" s="170">
        <v>182</v>
      </c>
      <c r="B186" s="137" t="str">
        <f t="shared" si="2"/>
        <v/>
      </c>
      <c r="C186" s="92"/>
      <c r="D186" s="138" t="str">
        <f>IF($C186="","",_xlfn.XLOOKUP($C186,StrategiesSolutions[S&amp;S ID],StrategiesSolutions[Risk ID],""))</f>
        <v/>
      </c>
      <c r="E186" s="92"/>
      <c r="F186" s="93"/>
      <c r="G186" s="93"/>
      <c r="H186" s="94"/>
      <c r="I186" s="93"/>
      <c r="J186" s="93"/>
      <c r="K186" s="93"/>
      <c r="L186" s="93"/>
      <c r="M186" s="171"/>
    </row>
    <row r="187" spans="1:13" ht="15" customHeight="1" x14ac:dyDescent="0.35">
      <c r="A187" s="170">
        <v>183</v>
      </c>
      <c r="B187" s="137" t="str">
        <f t="shared" si="2"/>
        <v/>
      </c>
      <c r="C187" s="92"/>
      <c r="D187" s="138" t="str">
        <f>IF($C187="","",_xlfn.XLOOKUP($C187,StrategiesSolutions[S&amp;S ID],StrategiesSolutions[Risk ID],""))</f>
        <v/>
      </c>
      <c r="E187" s="92"/>
      <c r="F187" s="93"/>
      <c r="G187" s="93"/>
      <c r="H187" s="94"/>
      <c r="I187" s="93"/>
      <c r="J187" s="93"/>
      <c r="K187" s="93"/>
      <c r="L187" s="93"/>
      <c r="M187" s="171"/>
    </row>
    <row r="188" spans="1:13" ht="15" customHeight="1" x14ac:dyDescent="0.35">
      <c r="A188" s="170">
        <v>184</v>
      </c>
      <c r="B188" s="137" t="str">
        <f t="shared" si="2"/>
        <v/>
      </c>
      <c r="C188" s="92"/>
      <c r="D188" s="138" t="str">
        <f>IF($C188="","",_xlfn.XLOOKUP($C188,StrategiesSolutions[S&amp;S ID],StrategiesSolutions[Risk ID],""))</f>
        <v/>
      </c>
      <c r="E188" s="92"/>
      <c r="F188" s="93"/>
      <c r="G188" s="93"/>
      <c r="H188" s="94"/>
      <c r="I188" s="93"/>
      <c r="J188" s="93"/>
      <c r="K188" s="93"/>
      <c r="L188" s="93"/>
      <c r="M188" s="171"/>
    </row>
    <row r="189" spans="1:13" ht="15" customHeight="1" x14ac:dyDescent="0.35">
      <c r="A189" s="170">
        <v>185</v>
      </c>
      <c r="B189" s="137" t="str">
        <f t="shared" si="2"/>
        <v/>
      </c>
      <c r="C189" s="92"/>
      <c r="D189" s="138" t="str">
        <f>IF($C189="","",_xlfn.XLOOKUP($C189,StrategiesSolutions[S&amp;S ID],StrategiesSolutions[Risk ID],""))</f>
        <v/>
      </c>
      <c r="E189" s="92"/>
      <c r="F189" s="93"/>
      <c r="G189" s="93"/>
      <c r="H189" s="94"/>
      <c r="I189" s="93"/>
      <c r="J189" s="93"/>
      <c r="K189" s="93"/>
      <c r="L189" s="93"/>
      <c r="M189" s="171"/>
    </row>
    <row r="190" spans="1:13" ht="15" customHeight="1" x14ac:dyDescent="0.35">
      <c r="A190" s="170">
        <v>186</v>
      </c>
      <c r="B190" s="137" t="str">
        <f t="shared" si="2"/>
        <v/>
      </c>
      <c r="C190" s="92"/>
      <c r="D190" s="138" t="str">
        <f>IF($C190="","",_xlfn.XLOOKUP($C190,StrategiesSolutions[S&amp;S ID],StrategiesSolutions[Risk ID],""))</f>
        <v/>
      </c>
      <c r="E190" s="92"/>
      <c r="F190" s="93"/>
      <c r="G190" s="93"/>
      <c r="H190" s="94"/>
      <c r="I190" s="93"/>
      <c r="J190" s="93"/>
      <c r="K190" s="93"/>
      <c r="L190" s="93"/>
      <c r="M190" s="171"/>
    </row>
    <row r="191" spans="1:13" ht="15" customHeight="1" x14ac:dyDescent="0.35">
      <c r="A191" s="170">
        <v>187</v>
      </c>
      <c r="B191" s="137" t="str">
        <f t="shared" si="2"/>
        <v/>
      </c>
      <c r="C191" s="92"/>
      <c r="D191" s="138" t="str">
        <f>IF($C191="","",_xlfn.XLOOKUP($C191,StrategiesSolutions[S&amp;S ID],StrategiesSolutions[Risk ID],""))</f>
        <v/>
      </c>
      <c r="E191" s="92"/>
      <c r="F191" s="93"/>
      <c r="G191" s="93"/>
      <c r="H191" s="94"/>
      <c r="I191" s="93"/>
      <c r="J191" s="93"/>
      <c r="K191" s="93"/>
      <c r="L191" s="93"/>
      <c r="M191" s="171"/>
    </row>
    <row r="192" spans="1:13" ht="15" customHeight="1" x14ac:dyDescent="0.35">
      <c r="A192" s="170">
        <v>188</v>
      </c>
      <c r="B192" s="137" t="str">
        <f t="shared" si="2"/>
        <v/>
      </c>
      <c r="C192" s="92"/>
      <c r="D192" s="138" t="str">
        <f>IF($C192="","",_xlfn.XLOOKUP($C192,StrategiesSolutions[S&amp;S ID],StrategiesSolutions[Risk ID],""))</f>
        <v/>
      </c>
      <c r="E192" s="92"/>
      <c r="F192" s="93"/>
      <c r="G192" s="93"/>
      <c r="H192" s="94"/>
      <c r="I192" s="93"/>
      <c r="J192" s="93"/>
      <c r="K192" s="93"/>
      <c r="L192" s="93"/>
      <c r="M192" s="171"/>
    </row>
    <row r="193" spans="1:13" ht="15" customHeight="1" x14ac:dyDescent="0.35">
      <c r="A193" s="170">
        <v>189</v>
      </c>
      <c r="B193" s="137" t="str">
        <f t="shared" si="2"/>
        <v/>
      </c>
      <c r="C193" s="92"/>
      <c r="D193" s="138" t="str">
        <f>IF($C193="","",_xlfn.XLOOKUP($C193,StrategiesSolutions[S&amp;S ID],StrategiesSolutions[Risk ID],""))</f>
        <v/>
      </c>
      <c r="E193" s="92"/>
      <c r="F193" s="93"/>
      <c r="G193" s="93"/>
      <c r="H193" s="94"/>
      <c r="I193" s="93"/>
      <c r="J193" s="93"/>
      <c r="K193" s="93"/>
      <c r="L193" s="93"/>
      <c r="M193" s="171"/>
    </row>
    <row r="194" spans="1:13" ht="15" customHeight="1" x14ac:dyDescent="0.35">
      <c r="A194" s="170">
        <v>190</v>
      </c>
      <c r="B194" s="137" t="str">
        <f t="shared" si="2"/>
        <v/>
      </c>
      <c r="C194" s="92"/>
      <c r="D194" s="138" t="str">
        <f>IF($C194="","",_xlfn.XLOOKUP($C194,StrategiesSolutions[S&amp;S ID],StrategiesSolutions[Risk ID],""))</f>
        <v/>
      </c>
      <c r="E194" s="92"/>
      <c r="F194" s="93"/>
      <c r="G194" s="93"/>
      <c r="H194" s="94"/>
      <c r="I194" s="93"/>
      <c r="J194" s="93"/>
      <c r="K194" s="93"/>
      <c r="L194" s="93"/>
      <c r="M194" s="171"/>
    </row>
    <row r="195" spans="1:13" ht="15" customHeight="1" x14ac:dyDescent="0.35">
      <c r="A195" s="170">
        <v>191</v>
      </c>
      <c r="B195" s="137" t="str">
        <f t="shared" si="2"/>
        <v/>
      </c>
      <c r="C195" s="92"/>
      <c r="D195" s="138" t="str">
        <f>IF($C195="","",_xlfn.XLOOKUP($C195,StrategiesSolutions[S&amp;S ID],StrategiesSolutions[Risk ID],""))</f>
        <v/>
      </c>
      <c r="E195" s="92"/>
      <c r="F195" s="93"/>
      <c r="G195" s="93"/>
      <c r="H195" s="94"/>
      <c r="I195" s="93"/>
      <c r="J195" s="93"/>
      <c r="K195" s="93"/>
      <c r="L195" s="93"/>
      <c r="M195" s="171"/>
    </row>
    <row r="196" spans="1:13" ht="15" customHeight="1" x14ac:dyDescent="0.35">
      <c r="A196" s="170">
        <v>192</v>
      </c>
      <c r="B196" s="137" t="str">
        <f t="shared" si="2"/>
        <v/>
      </c>
      <c r="C196" s="92"/>
      <c r="D196" s="138" t="str">
        <f>IF($C196="","",_xlfn.XLOOKUP($C196,StrategiesSolutions[S&amp;S ID],StrategiesSolutions[Risk ID],""))</f>
        <v/>
      </c>
      <c r="E196" s="92"/>
      <c r="F196" s="93"/>
      <c r="G196" s="93"/>
      <c r="H196" s="94"/>
      <c r="I196" s="93"/>
      <c r="J196" s="93"/>
      <c r="K196" s="93"/>
      <c r="L196" s="93"/>
      <c r="M196" s="171"/>
    </row>
    <row r="197" spans="1:13" ht="15" customHeight="1" x14ac:dyDescent="0.35">
      <c r="A197" s="170">
        <v>193</v>
      </c>
      <c r="B197" s="137" t="str">
        <f t="shared" ref="B197:B260" si="3">IF($F197="","","REQ-"&amp;TEXT($A197,"000"))</f>
        <v/>
      </c>
      <c r="C197" s="92"/>
      <c r="D197" s="138" t="str">
        <f>IF($C197="","",_xlfn.XLOOKUP($C197,StrategiesSolutions[S&amp;S ID],StrategiesSolutions[Risk ID],""))</f>
        <v/>
      </c>
      <c r="E197" s="92"/>
      <c r="F197" s="93"/>
      <c r="G197" s="93"/>
      <c r="H197" s="94"/>
      <c r="I197" s="93"/>
      <c r="J197" s="93"/>
      <c r="K197" s="93"/>
      <c r="L197" s="93"/>
      <c r="M197" s="171"/>
    </row>
    <row r="198" spans="1:13" ht="15" customHeight="1" x14ac:dyDescent="0.35">
      <c r="A198" s="170">
        <v>194</v>
      </c>
      <c r="B198" s="137" t="str">
        <f t="shared" si="3"/>
        <v/>
      </c>
      <c r="C198" s="92"/>
      <c r="D198" s="138" t="str">
        <f>IF($C198="","",_xlfn.XLOOKUP($C198,StrategiesSolutions[S&amp;S ID],StrategiesSolutions[Risk ID],""))</f>
        <v/>
      </c>
      <c r="E198" s="92"/>
      <c r="F198" s="93"/>
      <c r="G198" s="93"/>
      <c r="H198" s="94"/>
      <c r="I198" s="93"/>
      <c r="J198" s="93"/>
      <c r="K198" s="93"/>
      <c r="L198" s="93"/>
      <c r="M198" s="171"/>
    </row>
    <row r="199" spans="1:13" ht="15" customHeight="1" x14ac:dyDescent="0.35">
      <c r="A199" s="170">
        <v>195</v>
      </c>
      <c r="B199" s="137" t="str">
        <f t="shared" si="3"/>
        <v/>
      </c>
      <c r="C199" s="92"/>
      <c r="D199" s="138" t="str">
        <f>IF($C199="","",_xlfn.XLOOKUP($C199,StrategiesSolutions[S&amp;S ID],StrategiesSolutions[Risk ID],""))</f>
        <v/>
      </c>
      <c r="E199" s="92"/>
      <c r="F199" s="93"/>
      <c r="G199" s="93"/>
      <c r="H199" s="94"/>
      <c r="I199" s="93"/>
      <c r="J199" s="93"/>
      <c r="K199" s="93"/>
      <c r="L199" s="93"/>
      <c r="M199" s="171"/>
    </row>
    <row r="200" spans="1:13" ht="15" customHeight="1" x14ac:dyDescent="0.35">
      <c r="A200" s="170">
        <v>196</v>
      </c>
      <c r="B200" s="137" t="str">
        <f t="shared" si="3"/>
        <v/>
      </c>
      <c r="C200" s="92"/>
      <c r="D200" s="138" t="str">
        <f>IF($C200="","",_xlfn.XLOOKUP($C200,StrategiesSolutions[S&amp;S ID],StrategiesSolutions[Risk ID],""))</f>
        <v/>
      </c>
      <c r="E200" s="92"/>
      <c r="F200" s="93"/>
      <c r="G200" s="93"/>
      <c r="H200" s="94"/>
      <c r="I200" s="93"/>
      <c r="J200" s="93"/>
      <c r="K200" s="93"/>
      <c r="L200" s="93"/>
      <c r="M200" s="171"/>
    </row>
    <row r="201" spans="1:13" ht="15" customHeight="1" x14ac:dyDescent="0.35">
      <c r="A201" s="170">
        <v>197</v>
      </c>
      <c r="B201" s="137" t="str">
        <f t="shared" si="3"/>
        <v/>
      </c>
      <c r="C201" s="92"/>
      <c r="D201" s="138" t="str">
        <f>IF($C201="","",_xlfn.XLOOKUP($C201,StrategiesSolutions[S&amp;S ID],StrategiesSolutions[Risk ID],""))</f>
        <v/>
      </c>
      <c r="E201" s="92"/>
      <c r="F201" s="93"/>
      <c r="G201" s="93"/>
      <c r="H201" s="94"/>
      <c r="I201" s="93"/>
      <c r="J201" s="93"/>
      <c r="K201" s="93"/>
      <c r="L201" s="93"/>
      <c r="M201" s="171"/>
    </row>
    <row r="202" spans="1:13" ht="15" customHeight="1" x14ac:dyDescent="0.35">
      <c r="A202" s="170">
        <v>198</v>
      </c>
      <c r="B202" s="137" t="str">
        <f t="shared" si="3"/>
        <v/>
      </c>
      <c r="C202" s="92"/>
      <c r="D202" s="138" t="str">
        <f>IF($C202="","",_xlfn.XLOOKUP($C202,StrategiesSolutions[S&amp;S ID],StrategiesSolutions[Risk ID],""))</f>
        <v/>
      </c>
      <c r="E202" s="92"/>
      <c r="F202" s="93"/>
      <c r="G202" s="93"/>
      <c r="H202" s="94"/>
      <c r="I202" s="93"/>
      <c r="J202" s="93"/>
      <c r="K202" s="93"/>
      <c r="L202" s="93"/>
      <c r="M202" s="171"/>
    </row>
    <row r="203" spans="1:13" ht="15" customHeight="1" x14ac:dyDescent="0.35">
      <c r="A203" s="170">
        <v>199</v>
      </c>
      <c r="B203" s="137" t="str">
        <f t="shared" si="3"/>
        <v/>
      </c>
      <c r="C203" s="92"/>
      <c r="D203" s="138" t="str">
        <f>IF($C203="","",_xlfn.XLOOKUP($C203,StrategiesSolutions[S&amp;S ID],StrategiesSolutions[Risk ID],""))</f>
        <v/>
      </c>
      <c r="E203" s="92"/>
      <c r="F203" s="93"/>
      <c r="G203" s="93"/>
      <c r="H203" s="94"/>
      <c r="I203" s="93"/>
      <c r="J203" s="93"/>
      <c r="K203" s="93"/>
      <c r="L203" s="93"/>
      <c r="M203" s="171"/>
    </row>
    <row r="204" spans="1:13" ht="15" customHeight="1" x14ac:dyDescent="0.35">
      <c r="A204" s="170">
        <v>200</v>
      </c>
      <c r="B204" s="137" t="str">
        <f t="shared" si="3"/>
        <v/>
      </c>
      <c r="C204" s="92"/>
      <c r="D204" s="138" t="str">
        <f>IF($C204="","",_xlfn.XLOOKUP($C204,StrategiesSolutions[S&amp;S ID],StrategiesSolutions[Risk ID],""))</f>
        <v/>
      </c>
      <c r="E204" s="92"/>
      <c r="F204" s="93"/>
      <c r="G204" s="93"/>
      <c r="H204" s="94"/>
      <c r="I204" s="93"/>
      <c r="J204" s="93"/>
      <c r="K204" s="93"/>
      <c r="L204" s="93"/>
      <c r="M204" s="171"/>
    </row>
    <row r="205" spans="1:13" ht="15" customHeight="1" x14ac:dyDescent="0.35">
      <c r="A205" s="170">
        <v>201</v>
      </c>
      <c r="B205" s="137" t="str">
        <f t="shared" si="3"/>
        <v/>
      </c>
      <c r="C205" s="92"/>
      <c r="D205" s="138" t="str">
        <f>IF($C205="","",_xlfn.XLOOKUP($C205,StrategiesSolutions[S&amp;S ID],StrategiesSolutions[Risk ID],""))</f>
        <v/>
      </c>
      <c r="E205" s="92"/>
      <c r="F205" s="93"/>
      <c r="G205" s="93"/>
      <c r="H205" s="94"/>
      <c r="I205" s="93"/>
      <c r="J205" s="93"/>
      <c r="K205" s="93"/>
      <c r="L205" s="93"/>
      <c r="M205" s="171"/>
    </row>
    <row r="206" spans="1:13" ht="15" customHeight="1" x14ac:dyDescent="0.35">
      <c r="A206" s="170">
        <v>202</v>
      </c>
      <c r="B206" s="137" t="str">
        <f t="shared" si="3"/>
        <v/>
      </c>
      <c r="C206" s="92"/>
      <c r="D206" s="138" t="str">
        <f>IF($C206="","",_xlfn.XLOOKUP($C206,StrategiesSolutions[S&amp;S ID],StrategiesSolutions[Risk ID],""))</f>
        <v/>
      </c>
      <c r="E206" s="92"/>
      <c r="F206" s="93"/>
      <c r="G206" s="93"/>
      <c r="H206" s="94"/>
      <c r="I206" s="93"/>
      <c r="J206" s="93"/>
      <c r="K206" s="93"/>
      <c r="L206" s="93"/>
      <c r="M206" s="171"/>
    </row>
    <row r="207" spans="1:13" ht="15" customHeight="1" x14ac:dyDescent="0.35">
      <c r="A207" s="170">
        <v>203</v>
      </c>
      <c r="B207" s="137" t="str">
        <f t="shared" si="3"/>
        <v/>
      </c>
      <c r="C207" s="92"/>
      <c r="D207" s="138" t="str">
        <f>IF($C207="","",_xlfn.XLOOKUP($C207,StrategiesSolutions[S&amp;S ID],StrategiesSolutions[Risk ID],""))</f>
        <v/>
      </c>
      <c r="E207" s="92"/>
      <c r="F207" s="93"/>
      <c r="G207" s="93"/>
      <c r="H207" s="94"/>
      <c r="I207" s="93"/>
      <c r="J207" s="93"/>
      <c r="K207" s="93"/>
      <c r="L207" s="93"/>
      <c r="M207" s="171"/>
    </row>
    <row r="208" spans="1:13" ht="15" customHeight="1" x14ac:dyDescent="0.35">
      <c r="A208" s="170">
        <v>204</v>
      </c>
      <c r="B208" s="137" t="str">
        <f t="shared" si="3"/>
        <v/>
      </c>
      <c r="C208" s="92"/>
      <c r="D208" s="138" t="str">
        <f>IF($C208="","",_xlfn.XLOOKUP($C208,StrategiesSolutions[S&amp;S ID],StrategiesSolutions[Risk ID],""))</f>
        <v/>
      </c>
      <c r="E208" s="92"/>
      <c r="F208" s="93"/>
      <c r="G208" s="93"/>
      <c r="H208" s="94"/>
      <c r="I208" s="93"/>
      <c r="J208" s="93"/>
      <c r="K208" s="93"/>
      <c r="L208" s="93"/>
      <c r="M208" s="171"/>
    </row>
    <row r="209" spans="1:13" ht="15" customHeight="1" x14ac:dyDescent="0.35">
      <c r="A209" s="170">
        <v>205</v>
      </c>
      <c r="B209" s="137" t="str">
        <f t="shared" si="3"/>
        <v/>
      </c>
      <c r="C209" s="92"/>
      <c r="D209" s="138" t="str">
        <f>IF($C209="","",_xlfn.XLOOKUP($C209,StrategiesSolutions[S&amp;S ID],StrategiesSolutions[Risk ID],""))</f>
        <v/>
      </c>
      <c r="E209" s="92"/>
      <c r="F209" s="93"/>
      <c r="G209" s="93"/>
      <c r="H209" s="94"/>
      <c r="I209" s="93"/>
      <c r="J209" s="93"/>
      <c r="K209" s="93"/>
      <c r="L209" s="93"/>
      <c r="M209" s="171"/>
    </row>
    <row r="210" spans="1:13" ht="15" customHeight="1" x14ac:dyDescent="0.35">
      <c r="A210" s="170">
        <v>206</v>
      </c>
      <c r="B210" s="137" t="str">
        <f t="shared" si="3"/>
        <v/>
      </c>
      <c r="C210" s="92"/>
      <c r="D210" s="138" t="str">
        <f>IF($C210="","",_xlfn.XLOOKUP($C210,StrategiesSolutions[S&amp;S ID],StrategiesSolutions[Risk ID],""))</f>
        <v/>
      </c>
      <c r="E210" s="92"/>
      <c r="F210" s="93"/>
      <c r="G210" s="93"/>
      <c r="H210" s="94"/>
      <c r="I210" s="93"/>
      <c r="J210" s="93"/>
      <c r="K210" s="93"/>
      <c r="L210" s="93"/>
      <c r="M210" s="171"/>
    </row>
    <row r="211" spans="1:13" ht="15" customHeight="1" x14ac:dyDescent="0.35">
      <c r="A211" s="170">
        <v>207</v>
      </c>
      <c r="B211" s="137" t="str">
        <f t="shared" si="3"/>
        <v/>
      </c>
      <c r="C211" s="92"/>
      <c r="D211" s="138" t="str">
        <f>IF($C211="","",_xlfn.XLOOKUP($C211,StrategiesSolutions[S&amp;S ID],StrategiesSolutions[Risk ID],""))</f>
        <v/>
      </c>
      <c r="E211" s="92"/>
      <c r="F211" s="93"/>
      <c r="G211" s="93"/>
      <c r="H211" s="94"/>
      <c r="I211" s="93"/>
      <c r="J211" s="93"/>
      <c r="K211" s="93"/>
      <c r="L211" s="93"/>
      <c r="M211" s="171"/>
    </row>
    <row r="212" spans="1:13" ht="15" customHeight="1" x14ac:dyDescent="0.35">
      <c r="A212" s="170">
        <v>208</v>
      </c>
      <c r="B212" s="137" t="str">
        <f t="shared" si="3"/>
        <v/>
      </c>
      <c r="C212" s="92"/>
      <c r="D212" s="138" t="str">
        <f>IF($C212="","",_xlfn.XLOOKUP($C212,StrategiesSolutions[S&amp;S ID],StrategiesSolutions[Risk ID],""))</f>
        <v/>
      </c>
      <c r="E212" s="92"/>
      <c r="F212" s="93"/>
      <c r="G212" s="93"/>
      <c r="H212" s="94"/>
      <c r="I212" s="93"/>
      <c r="J212" s="93"/>
      <c r="K212" s="93"/>
      <c r="L212" s="93"/>
      <c r="M212" s="171"/>
    </row>
    <row r="213" spans="1:13" ht="15" customHeight="1" x14ac:dyDescent="0.35">
      <c r="A213" s="170">
        <v>209</v>
      </c>
      <c r="B213" s="137" t="str">
        <f t="shared" si="3"/>
        <v/>
      </c>
      <c r="C213" s="92"/>
      <c r="D213" s="138" t="str">
        <f>IF($C213="","",_xlfn.XLOOKUP($C213,StrategiesSolutions[S&amp;S ID],StrategiesSolutions[Risk ID],""))</f>
        <v/>
      </c>
      <c r="E213" s="92"/>
      <c r="F213" s="93"/>
      <c r="G213" s="93"/>
      <c r="H213" s="94"/>
      <c r="I213" s="93"/>
      <c r="J213" s="93"/>
      <c r="K213" s="93"/>
      <c r="L213" s="93"/>
      <c r="M213" s="171"/>
    </row>
    <row r="214" spans="1:13" ht="15" customHeight="1" x14ac:dyDescent="0.35">
      <c r="A214" s="170">
        <v>210</v>
      </c>
      <c r="B214" s="137" t="str">
        <f t="shared" si="3"/>
        <v/>
      </c>
      <c r="C214" s="92"/>
      <c r="D214" s="138" t="str">
        <f>IF($C214="","",_xlfn.XLOOKUP($C214,StrategiesSolutions[S&amp;S ID],StrategiesSolutions[Risk ID],""))</f>
        <v/>
      </c>
      <c r="E214" s="92"/>
      <c r="F214" s="93"/>
      <c r="G214" s="93"/>
      <c r="H214" s="94"/>
      <c r="I214" s="93"/>
      <c r="J214" s="93"/>
      <c r="K214" s="93"/>
      <c r="L214" s="93"/>
      <c r="M214" s="171"/>
    </row>
    <row r="215" spans="1:13" ht="15" customHeight="1" x14ac:dyDescent="0.35">
      <c r="A215" s="170">
        <v>211</v>
      </c>
      <c r="B215" s="137" t="str">
        <f t="shared" si="3"/>
        <v/>
      </c>
      <c r="C215" s="92"/>
      <c r="D215" s="138" t="str">
        <f>IF($C215="","",_xlfn.XLOOKUP($C215,StrategiesSolutions[S&amp;S ID],StrategiesSolutions[Risk ID],""))</f>
        <v/>
      </c>
      <c r="E215" s="92"/>
      <c r="F215" s="93"/>
      <c r="G215" s="93"/>
      <c r="H215" s="94"/>
      <c r="I215" s="93"/>
      <c r="J215" s="93"/>
      <c r="K215" s="93"/>
      <c r="L215" s="93"/>
      <c r="M215" s="171"/>
    </row>
    <row r="216" spans="1:13" ht="15" customHeight="1" x14ac:dyDescent="0.35">
      <c r="A216" s="170">
        <v>212</v>
      </c>
      <c r="B216" s="137" t="str">
        <f t="shared" si="3"/>
        <v/>
      </c>
      <c r="C216" s="92"/>
      <c r="D216" s="138" t="str">
        <f>IF($C216="","",_xlfn.XLOOKUP($C216,StrategiesSolutions[S&amp;S ID],StrategiesSolutions[Risk ID],""))</f>
        <v/>
      </c>
      <c r="E216" s="92"/>
      <c r="F216" s="93"/>
      <c r="G216" s="93"/>
      <c r="H216" s="94"/>
      <c r="I216" s="93"/>
      <c r="J216" s="93"/>
      <c r="K216" s="93"/>
      <c r="L216" s="93"/>
      <c r="M216" s="171"/>
    </row>
    <row r="217" spans="1:13" ht="15" customHeight="1" x14ac:dyDescent="0.35">
      <c r="A217" s="170">
        <v>213</v>
      </c>
      <c r="B217" s="137" t="str">
        <f t="shared" si="3"/>
        <v/>
      </c>
      <c r="C217" s="92"/>
      <c r="D217" s="138" t="str">
        <f>IF($C217="","",_xlfn.XLOOKUP($C217,StrategiesSolutions[S&amp;S ID],StrategiesSolutions[Risk ID],""))</f>
        <v/>
      </c>
      <c r="E217" s="92"/>
      <c r="F217" s="93"/>
      <c r="G217" s="93"/>
      <c r="H217" s="94"/>
      <c r="I217" s="93"/>
      <c r="J217" s="93"/>
      <c r="K217" s="93"/>
      <c r="L217" s="93"/>
      <c r="M217" s="171"/>
    </row>
    <row r="218" spans="1:13" ht="15" customHeight="1" x14ac:dyDescent="0.35">
      <c r="A218" s="170">
        <v>214</v>
      </c>
      <c r="B218" s="137" t="str">
        <f t="shared" si="3"/>
        <v/>
      </c>
      <c r="C218" s="92"/>
      <c r="D218" s="138" t="str">
        <f>IF($C218="","",_xlfn.XLOOKUP($C218,StrategiesSolutions[S&amp;S ID],StrategiesSolutions[Risk ID],""))</f>
        <v/>
      </c>
      <c r="E218" s="92"/>
      <c r="F218" s="93"/>
      <c r="G218" s="93"/>
      <c r="H218" s="94"/>
      <c r="I218" s="93"/>
      <c r="J218" s="93"/>
      <c r="K218" s="93"/>
      <c r="L218" s="93"/>
      <c r="M218" s="171"/>
    </row>
    <row r="219" spans="1:13" ht="15" customHeight="1" x14ac:dyDescent="0.35">
      <c r="A219" s="170">
        <v>215</v>
      </c>
      <c r="B219" s="137" t="str">
        <f t="shared" si="3"/>
        <v/>
      </c>
      <c r="C219" s="92"/>
      <c r="D219" s="138" t="str">
        <f>IF($C219="","",_xlfn.XLOOKUP($C219,StrategiesSolutions[S&amp;S ID],StrategiesSolutions[Risk ID],""))</f>
        <v/>
      </c>
      <c r="E219" s="92"/>
      <c r="F219" s="93"/>
      <c r="G219" s="93"/>
      <c r="H219" s="94"/>
      <c r="I219" s="93"/>
      <c r="J219" s="93"/>
      <c r="K219" s="93"/>
      <c r="L219" s="93"/>
      <c r="M219" s="171"/>
    </row>
    <row r="220" spans="1:13" ht="15" customHeight="1" x14ac:dyDescent="0.35">
      <c r="A220" s="170">
        <v>216</v>
      </c>
      <c r="B220" s="137" t="str">
        <f t="shared" si="3"/>
        <v/>
      </c>
      <c r="C220" s="92"/>
      <c r="D220" s="138" t="str">
        <f>IF($C220="","",_xlfn.XLOOKUP($C220,StrategiesSolutions[S&amp;S ID],StrategiesSolutions[Risk ID],""))</f>
        <v/>
      </c>
      <c r="E220" s="92"/>
      <c r="F220" s="93"/>
      <c r="G220" s="93"/>
      <c r="H220" s="94"/>
      <c r="I220" s="93"/>
      <c r="J220" s="93"/>
      <c r="K220" s="93"/>
      <c r="L220" s="93"/>
      <c r="M220" s="171"/>
    </row>
    <row r="221" spans="1:13" ht="15" customHeight="1" x14ac:dyDescent="0.35">
      <c r="A221" s="170">
        <v>217</v>
      </c>
      <c r="B221" s="137" t="str">
        <f t="shared" si="3"/>
        <v/>
      </c>
      <c r="C221" s="92"/>
      <c r="D221" s="138" t="str">
        <f>IF($C221="","",_xlfn.XLOOKUP($C221,StrategiesSolutions[S&amp;S ID],StrategiesSolutions[Risk ID],""))</f>
        <v/>
      </c>
      <c r="E221" s="92"/>
      <c r="F221" s="93"/>
      <c r="G221" s="93"/>
      <c r="H221" s="94"/>
      <c r="I221" s="93"/>
      <c r="J221" s="93"/>
      <c r="K221" s="93"/>
      <c r="L221" s="93"/>
      <c r="M221" s="171"/>
    </row>
    <row r="222" spans="1:13" ht="15" customHeight="1" x14ac:dyDescent="0.35">
      <c r="A222" s="170">
        <v>218</v>
      </c>
      <c r="B222" s="137" t="str">
        <f t="shared" si="3"/>
        <v/>
      </c>
      <c r="C222" s="92"/>
      <c r="D222" s="138" t="str">
        <f>IF($C222="","",_xlfn.XLOOKUP($C222,StrategiesSolutions[S&amp;S ID],StrategiesSolutions[Risk ID],""))</f>
        <v/>
      </c>
      <c r="E222" s="92"/>
      <c r="F222" s="93"/>
      <c r="G222" s="93"/>
      <c r="H222" s="94"/>
      <c r="I222" s="93"/>
      <c r="J222" s="93"/>
      <c r="K222" s="93"/>
      <c r="L222" s="93"/>
      <c r="M222" s="171"/>
    </row>
    <row r="223" spans="1:13" ht="15" customHeight="1" x14ac:dyDescent="0.35">
      <c r="A223" s="170">
        <v>219</v>
      </c>
      <c r="B223" s="137" t="str">
        <f t="shared" si="3"/>
        <v/>
      </c>
      <c r="C223" s="92"/>
      <c r="D223" s="138" t="str">
        <f>IF($C223="","",_xlfn.XLOOKUP($C223,StrategiesSolutions[S&amp;S ID],StrategiesSolutions[Risk ID],""))</f>
        <v/>
      </c>
      <c r="E223" s="92"/>
      <c r="F223" s="93"/>
      <c r="G223" s="93"/>
      <c r="H223" s="94"/>
      <c r="I223" s="93"/>
      <c r="J223" s="93"/>
      <c r="K223" s="93"/>
      <c r="L223" s="93"/>
      <c r="M223" s="171"/>
    </row>
    <row r="224" spans="1:13" ht="15" customHeight="1" x14ac:dyDescent="0.35">
      <c r="A224" s="170">
        <v>220</v>
      </c>
      <c r="B224" s="137" t="str">
        <f t="shared" si="3"/>
        <v/>
      </c>
      <c r="C224" s="92"/>
      <c r="D224" s="138" t="str">
        <f>IF($C224="","",_xlfn.XLOOKUP($C224,StrategiesSolutions[S&amp;S ID],StrategiesSolutions[Risk ID],""))</f>
        <v/>
      </c>
      <c r="E224" s="92"/>
      <c r="F224" s="93"/>
      <c r="G224" s="93"/>
      <c r="H224" s="94"/>
      <c r="I224" s="93"/>
      <c r="J224" s="93"/>
      <c r="K224" s="93"/>
      <c r="L224" s="93"/>
      <c r="M224" s="171"/>
    </row>
    <row r="225" spans="1:13" ht="15" customHeight="1" x14ac:dyDescent="0.35">
      <c r="A225" s="170">
        <v>221</v>
      </c>
      <c r="B225" s="137" t="str">
        <f t="shared" si="3"/>
        <v/>
      </c>
      <c r="C225" s="92"/>
      <c r="D225" s="138" t="str">
        <f>IF($C225="","",_xlfn.XLOOKUP($C225,StrategiesSolutions[S&amp;S ID],StrategiesSolutions[Risk ID],""))</f>
        <v/>
      </c>
      <c r="E225" s="92"/>
      <c r="F225" s="93"/>
      <c r="G225" s="93"/>
      <c r="H225" s="94"/>
      <c r="I225" s="93"/>
      <c r="J225" s="93"/>
      <c r="K225" s="93"/>
      <c r="L225" s="93"/>
      <c r="M225" s="171"/>
    </row>
    <row r="226" spans="1:13" ht="15" customHeight="1" x14ac:dyDescent="0.35">
      <c r="A226" s="170">
        <v>222</v>
      </c>
      <c r="B226" s="137" t="str">
        <f t="shared" si="3"/>
        <v/>
      </c>
      <c r="C226" s="92"/>
      <c r="D226" s="138" t="str">
        <f>IF($C226="","",_xlfn.XLOOKUP($C226,StrategiesSolutions[S&amp;S ID],StrategiesSolutions[Risk ID],""))</f>
        <v/>
      </c>
      <c r="E226" s="92"/>
      <c r="F226" s="93"/>
      <c r="G226" s="93"/>
      <c r="H226" s="94"/>
      <c r="I226" s="93"/>
      <c r="J226" s="93"/>
      <c r="K226" s="93"/>
      <c r="L226" s="93"/>
      <c r="M226" s="171"/>
    </row>
    <row r="227" spans="1:13" ht="15" customHeight="1" x14ac:dyDescent="0.35">
      <c r="A227" s="170">
        <v>223</v>
      </c>
      <c r="B227" s="137" t="str">
        <f t="shared" si="3"/>
        <v/>
      </c>
      <c r="C227" s="92"/>
      <c r="D227" s="138" t="str">
        <f>IF($C227="","",_xlfn.XLOOKUP($C227,StrategiesSolutions[S&amp;S ID],StrategiesSolutions[Risk ID],""))</f>
        <v/>
      </c>
      <c r="E227" s="92"/>
      <c r="F227" s="93"/>
      <c r="G227" s="93"/>
      <c r="H227" s="94"/>
      <c r="I227" s="93"/>
      <c r="J227" s="93"/>
      <c r="K227" s="93"/>
      <c r="L227" s="93"/>
      <c r="M227" s="171"/>
    </row>
    <row r="228" spans="1:13" ht="15" customHeight="1" x14ac:dyDescent="0.35">
      <c r="A228" s="170">
        <v>224</v>
      </c>
      <c r="B228" s="137" t="str">
        <f t="shared" si="3"/>
        <v/>
      </c>
      <c r="C228" s="92"/>
      <c r="D228" s="138" t="str">
        <f>IF($C228="","",_xlfn.XLOOKUP($C228,StrategiesSolutions[S&amp;S ID],StrategiesSolutions[Risk ID],""))</f>
        <v/>
      </c>
      <c r="E228" s="92"/>
      <c r="F228" s="93"/>
      <c r="G228" s="93"/>
      <c r="H228" s="94"/>
      <c r="I228" s="93"/>
      <c r="J228" s="93"/>
      <c r="K228" s="93"/>
      <c r="L228" s="93"/>
      <c r="M228" s="171"/>
    </row>
    <row r="229" spans="1:13" ht="15" customHeight="1" x14ac:dyDescent="0.35">
      <c r="A229" s="170">
        <v>225</v>
      </c>
      <c r="B229" s="137" t="str">
        <f t="shared" si="3"/>
        <v/>
      </c>
      <c r="C229" s="92"/>
      <c r="D229" s="138" t="str">
        <f>IF($C229="","",_xlfn.XLOOKUP($C229,StrategiesSolutions[S&amp;S ID],StrategiesSolutions[Risk ID],""))</f>
        <v/>
      </c>
      <c r="E229" s="92"/>
      <c r="F229" s="93"/>
      <c r="G229" s="93"/>
      <c r="H229" s="94"/>
      <c r="I229" s="93"/>
      <c r="J229" s="93"/>
      <c r="K229" s="93"/>
      <c r="L229" s="93"/>
      <c r="M229" s="171"/>
    </row>
    <row r="230" spans="1:13" ht="15" customHeight="1" x14ac:dyDescent="0.35">
      <c r="A230" s="170">
        <v>226</v>
      </c>
      <c r="B230" s="137" t="str">
        <f t="shared" si="3"/>
        <v/>
      </c>
      <c r="C230" s="92"/>
      <c r="D230" s="138" t="str">
        <f>IF($C230="","",_xlfn.XLOOKUP($C230,StrategiesSolutions[S&amp;S ID],StrategiesSolutions[Risk ID],""))</f>
        <v/>
      </c>
      <c r="E230" s="92"/>
      <c r="F230" s="93"/>
      <c r="G230" s="93"/>
      <c r="H230" s="94"/>
      <c r="I230" s="93"/>
      <c r="J230" s="93"/>
      <c r="K230" s="93"/>
      <c r="L230" s="93"/>
      <c r="M230" s="171"/>
    </row>
    <row r="231" spans="1:13" ht="15" customHeight="1" x14ac:dyDescent="0.35">
      <c r="A231" s="170">
        <v>227</v>
      </c>
      <c r="B231" s="137" t="str">
        <f t="shared" si="3"/>
        <v/>
      </c>
      <c r="C231" s="92"/>
      <c r="D231" s="138" t="str">
        <f>IF($C231="","",_xlfn.XLOOKUP($C231,StrategiesSolutions[S&amp;S ID],StrategiesSolutions[Risk ID],""))</f>
        <v/>
      </c>
      <c r="E231" s="92"/>
      <c r="F231" s="93"/>
      <c r="G231" s="93"/>
      <c r="H231" s="94"/>
      <c r="I231" s="93"/>
      <c r="J231" s="93"/>
      <c r="K231" s="93"/>
      <c r="L231" s="93"/>
      <c r="M231" s="171"/>
    </row>
    <row r="232" spans="1:13" ht="15" customHeight="1" x14ac:dyDescent="0.35">
      <c r="A232" s="170">
        <v>228</v>
      </c>
      <c r="B232" s="137" t="str">
        <f t="shared" si="3"/>
        <v/>
      </c>
      <c r="C232" s="92"/>
      <c r="D232" s="138" t="str">
        <f>IF($C232="","",_xlfn.XLOOKUP($C232,StrategiesSolutions[S&amp;S ID],StrategiesSolutions[Risk ID],""))</f>
        <v/>
      </c>
      <c r="E232" s="92"/>
      <c r="F232" s="93"/>
      <c r="G232" s="93"/>
      <c r="H232" s="94"/>
      <c r="I232" s="93"/>
      <c r="J232" s="93"/>
      <c r="K232" s="93"/>
      <c r="L232" s="93"/>
      <c r="M232" s="171"/>
    </row>
    <row r="233" spans="1:13" ht="15" customHeight="1" x14ac:dyDescent="0.35">
      <c r="A233" s="170">
        <v>229</v>
      </c>
      <c r="B233" s="137" t="str">
        <f t="shared" si="3"/>
        <v/>
      </c>
      <c r="C233" s="92"/>
      <c r="D233" s="138" t="str">
        <f>IF($C233="","",_xlfn.XLOOKUP($C233,StrategiesSolutions[S&amp;S ID],StrategiesSolutions[Risk ID],""))</f>
        <v/>
      </c>
      <c r="E233" s="92"/>
      <c r="F233" s="93"/>
      <c r="G233" s="93"/>
      <c r="H233" s="94"/>
      <c r="I233" s="93"/>
      <c r="J233" s="93"/>
      <c r="K233" s="93"/>
      <c r="L233" s="93"/>
      <c r="M233" s="171"/>
    </row>
    <row r="234" spans="1:13" ht="15" customHeight="1" x14ac:dyDescent="0.35">
      <c r="A234" s="170">
        <v>230</v>
      </c>
      <c r="B234" s="137" t="str">
        <f t="shared" si="3"/>
        <v/>
      </c>
      <c r="C234" s="92"/>
      <c r="D234" s="138" t="str">
        <f>IF($C234="","",_xlfn.XLOOKUP($C234,StrategiesSolutions[S&amp;S ID],StrategiesSolutions[Risk ID],""))</f>
        <v/>
      </c>
      <c r="E234" s="92"/>
      <c r="F234" s="93"/>
      <c r="G234" s="93"/>
      <c r="H234" s="94"/>
      <c r="I234" s="93"/>
      <c r="J234" s="93"/>
      <c r="K234" s="93"/>
      <c r="L234" s="93"/>
      <c r="M234" s="171"/>
    </row>
    <row r="235" spans="1:13" ht="15" customHeight="1" x14ac:dyDescent="0.35">
      <c r="A235" s="170">
        <v>231</v>
      </c>
      <c r="B235" s="137" t="str">
        <f t="shared" si="3"/>
        <v/>
      </c>
      <c r="C235" s="92"/>
      <c r="D235" s="138" t="str">
        <f>IF($C235="","",_xlfn.XLOOKUP($C235,StrategiesSolutions[S&amp;S ID],StrategiesSolutions[Risk ID],""))</f>
        <v/>
      </c>
      <c r="E235" s="92"/>
      <c r="F235" s="93"/>
      <c r="G235" s="93"/>
      <c r="H235" s="94"/>
      <c r="I235" s="93"/>
      <c r="J235" s="93"/>
      <c r="K235" s="93"/>
      <c r="L235" s="93"/>
      <c r="M235" s="171"/>
    </row>
    <row r="236" spans="1:13" ht="15" customHeight="1" x14ac:dyDescent="0.35">
      <c r="A236" s="170">
        <v>232</v>
      </c>
      <c r="B236" s="137" t="str">
        <f t="shared" si="3"/>
        <v/>
      </c>
      <c r="C236" s="92"/>
      <c r="D236" s="138" t="str">
        <f>IF($C236="","",_xlfn.XLOOKUP($C236,StrategiesSolutions[S&amp;S ID],StrategiesSolutions[Risk ID],""))</f>
        <v/>
      </c>
      <c r="E236" s="92"/>
      <c r="F236" s="93"/>
      <c r="G236" s="93"/>
      <c r="H236" s="94"/>
      <c r="I236" s="93"/>
      <c r="J236" s="93"/>
      <c r="K236" s="93"/>
      <c r="L236" s="93"/>
      <c r="M236" s="171"/>
    </row>
    <row r="237" spans="1:13" ht="15" customHeight="1" x14ac:dyDescent="0.35">
      <c r="A237" s="170">
        <v>233</v>
      </c>
      <c r="B237" s="137" t="str">
        <f t="shared" si="3"/>
        <v/>
      </c>
      <c r="C237" s="92"/>
      <c r="D237" s="138" t="str">
        <f>IF($C237="","",_xlfn.XLOOKUP($C237,StrategiesSolutions[S&amp;S ID],StrategiesSolutions[Risk ID],""))</f>
        <v/>
      </c>
      <c r="E237" s="92"/>
      <c r="F237" s="93"/>
      <c r="G237" s="93"/>
      <c r="H237" s="94"/>
      <c r="I237" s="93"/>
      <c r="J237" s="93"/>
      <c r="K237" s="93"/>
      <c r="L237" s="93"/>
      <c r="M237" s="171"/>
    </row>
    <row r="238" spans="1:13" ht="15" customHeight="1" x14ac:dyDescent="0.35">
      <c r="A238" s="170">
        <v>234</v>
      </c>
      <c r="B238" s="137" t="str">
        <f t="shared" si="3"/>
        <v/>
      </c>
      <c r="C238" s="92"/>
      <c r="D238" s="138" t="str">
        <f>IF($C238="","",_xlfn.XLOOKUP($C238,StrategiesSolutions[S&amp;S ID],StrategiesSolutions[Risk ID],""))</f>
        <v/>
      </c>
      <c r="E238" s="92"/>
      <c r="F238" s="93"/>
      <c r="G238" s="93"/>
      <c r="H238" s="94"/>
      <c r="I238" s="93"/>
      <c r="J238" s="93"/>
      <c r="K238" s="93"/>
      <c r="L238" s="93"/>
      <c r="M238" s="171"/>
    </row>
    <row r="239" spans="1:13" ht="15" customHeight="1" x14ac:dyDescent="0.35">
      <c r="A239" s="170">
        <v>235</v>
      </c>
      <c r="B239" s="137" t="str">
        <f t="shared" si="3"/>
        <v/>
      </c>
      <c r="C239" s="92"/>
      <c r="D239" s="138" t="str">
        <f>IF($C239="","",_xlfn.XLOOKUP($C239,StrategiesSolutions[S&amp;S ID],StrategiesSolutions[Risk ID],""))</f>
        <v/>
      </c>
      <c r="E239" s="92"/>
      <c r="F239" s="93"/>
      <c r="G239" s="93"/>
      <c r="H239" s="94"/>
      <c r="I239" s="93"/>
      <c r="J239" s="93"/>
      <c r="K239" s="93"/>
      <c r="L239" s="93"/>
      <c r="M239" s="171"/>
    </row>
    <row r="240" spans="1:13" ht="15" customHeight="1" x14ac:dyDescent="0.35">
      <c r="A240" s="170">
        <v>236</v>
      </c>
      <c r="B240" s="137" t="str">
        <f t="shared" si="3"/>
        <v/>
      </c>
      <c r="C240" s="92"/>
      <c r="D240" s="138" t="str">
        <f>IF($C240="","",_xlfn.XLOOKUP($C240,StrategiesSolutions[S&amp;S ID],StrategiesSolutions[Risk ID],""))</f>
        <v/>
      </c>
      <c r="E240" s="92"/>
      <c r="F240" s="93"/>
      <c r="G240" s="93"/>
      <c r="H240" s="94"/>
      <c r="I240" s="93"/>
      <c r="J240" s="93"/>
      <c r="K240" s="93"/>
      <c r="L240" s="93"/>
      <c r="M240" s="171"/>
    </row>
    <row r="241" spans="1:13" ht="15" customHeight="1" x14ac:dyDescent="0.35">
      <c r="A241" s="170">
        <v>237</v>
      </c>
      <c r="B241" s="137" t="str">
        <f t="shared" si="3"/>
        <v/>
      </c>
      <c r="C241" s="92"/>
      <c r="D241" s="138" t="str">
        <f>IF($C241="","",_xlfn.XLOOKUP($C241,StrategiesSolutions[S&amp;S ID],StrategiesSolutions[Risk ID],""))</f>
        <v/>
      </c>
      <c r="E241" s="92"/>
      <c r="F241" s="93"/>
      <c r="G241" s="93"/>
      <c r="H241" s="94"/>
      <c r="I241" s="93"/>
      <c r="J241" s="93"/>
      <c r="K241" s="93"/>
      <c r="L241" s="93"/>
      <c r="M241" s="171"/>
    </row>
    <row r="242" spans="1:13" ht="15" customHeight="1" x14ac:dyDescent="0.35">
      <c r="A242" s="170">
        <v>238</v>
      </c>
      <c r="B242" s="137" t="str">
        <f t="shared" si="3"/>
        <v/>
      </c>
      <c r="C242" s="92"/>
      <c r="D242" s="138" t="str">
        <f>IF($C242="","",_xlfn.XLOOKUP($C242,StrategiesSolutions[S&amp;S ID],StrategiesSolutions[Risk ID],""))</f>
        <v/>
      </c>
      <c r="E242" s="92"/>
      <c r="F242" s="93"/>
      <c r="G242" s="93"/>
      <c r="H242" s="94"/>
      <c r="I242" s="93"/>
      <c r="J242" s="93"/>
      <c r="K242" s="93"/>
      <c r="L242" s="93"/>
      <c r="M242" s="171"/>
    </row>
    <row r="243" spans="1:13" ht="15" customHeight="1" x14ac:dyDescent="0.35">
      <c r="A243" s="170">
        <v>239</v>
      </c>
      <c r="B243" s="137" t="str">
        <f t="shared" si="3"/>
        <v/>
      </c>
      <c r="C243" s="92"/>
      <c r="D243" s="138" t="str">
        <f>IF($C243="","",_xlfn.XLOOKUP($C243,StrategiesSolutions[S&amp;S ID],StrategiesSolutions[Risk ID],""))</f>
        <v/>
      </c>
      <c r="E243" s="92"/>
      <c r="F243" s="93"/>
      <c r="G243" s="93"/>
      <c r="H243" s="94"/>
      <c r="I243" s="93"/>
      <c r="J243" s="93"/>
      <c r="K243" s="93"/>
      <c r="L243" s="93"/>
      <c r="M243" s="171"/>
    </row>
    <row r="244" spans="1:13" ht="15" customHeight="1" x14ac:dyDescent="0.35">
      <c r="A244" s="170">
        <v>240</v>
      </c>
      <c r="B244" s="137" t="str">
        <f t="shared" si="3"/>
        <v/>
      </c>
      <c r="C244" s="92"/>
      <c r="D244" s="138" t="str">
        <f>IF($C244="","",_xlfn.XLOOKUP($C244,StrategiesSolutions[S&amp;S ID],StrategiesSolutions[Risk ID],""))</f>
        <v/>
      </c>
      <c r="E244" s="92"/>
      <c r="F244" s="93"/>
      <c r="G244" s="93"/>
      <c r="H244" s="94"/>
      <c r="I244" s="93"/>
      <c r="J244" s="93"/>
      <c r="K244" s="93"/>
      <c r="L244" s="93"/>
      <c r="M244" s="171"/>
    </row>
    <row r="245" spans="1:13" ht="15" customHeight="1" x14ac:dyDescent="0.35">
      <c r="A245" s="170">
        <v>241</v>
      </c>
      <c r="B245" s="137" t="str">
        <f t="shared" si="3"/>
        <v/>
      </c>
      <c r="C245" s="92"/>
      <c r="D245" s="138" t="str">
        <f>IF($C245="","",_xlfn.XLOOKUP($C245,StrategiesSolutions[S&amp;S ID],StrategiesSolutions[Risk ID],""))</f>
        <v/>
      </c>
      <c r="E245" s="92"/>
      <c r="F245" s="93"/>
      <c r="G245" s="93"/>
      <c r="H245" s="94"/>
      <c r="I245" s="93"/>
      <c r="J245" s="93"/>
      <c r="K245" s="93"/>
      <c r="L245" s="93"/>
      <c r="M245" s="171"/>
    </row>
    <row r="246" spans="1:13" ht="15" customHeight="1" x14ac:dyDescent="0.35">
      <c r="A246" s="170">
        <v>242</v>
      </c>
      <c r="B246" s="137" t="str">
        <f t="shared" si="3"/>
        <v/>
      </c>
      <c r="C246" s="92"/>
      <c r="D246" s="138" t="str">
        <f>IF($C246="","",_xlfn.XLOOKUP($C246,StrategiesSolutions[S&amp;S ID],StrategiesSolutions[Risk ID],""))</f>
        <v/>
      </c>
      <c r="E246" s="92"/>
      <c r="F246" s="93"/>
      <c r="G246" s="93"/>
      <c r="H246" s="94"/>
      <c r="I246" s="93"/>
      <c r="J246" s="93"/>
      <c r="K246" s="93"/>
      <c r="L246" s="93"/>
      <c r="M246" s="171"/>
    </row>
    <row r="247" spans="1:13" ht="15" customHeight="1" x14ac:dyDescent="0.35">
      <c r="A247" s="170">
        <v>243</v>
      </c>
      <c r="B247" s="137" t="str">
        <f t="shared" si="3"/>
        <v/>
      </c>
      <c r="C247" s="92"/>
      <c r="D247" s="138" t="str">
        <f>IF($C247="","",_xlfn.XLOOKUP($C247,StrategiesSolutions[S&amp;S ID],StrategiesSolutions[Risk ID],""))</f>
        <v/>
      </c>
      <c r="E247" s="92"/>
      <c r="F247" s="93"/>
      <c r="G247" s="93"/>
      <c r="H247" s="94"/>
      <c r="I247" s="93"/>
      <c r="J247" s="93"/>
      <c r="K247" s="93"/>
      <c r="L247" s="93"/>
      <c r="M247" s="171"/>
    </row>
    <row r="248" spans="1:13" ht="15" customHeight="1" x14ac:dyDescent="0.35">
      <c r="A248" s="170">
        <v>244</v>
      </c>
      <c r="B248" s="137" t="str">
        <f t="shared" si="3"/>
        <v/>
      </c>
      <c r="C248" s="92"/>
      <c r="D248" s="138" t="str">
        <f>IF($C248="","",_xlfn.XLOOKUP($C248,StrategiesSolutions[S&amp;S ID],StrategiesSolutions[Risk ID],""))</f>
        <v/>
      </c>
      <c r="E248" s="92"/>
      <c r="F248" s="93"/>
      <c r="G248" s="93"/>
      <c r="H248" s="94"/>
      <c r="I248" s="93"/>
      <c r="J248" s="93"/>
      <c r="K248" s="93"/>
      <c r="L248" s="93"/>
      <c r="M248" s="171"/>
    </row>
    <row r="249" spans="1:13" ht="15" customHeight="1" x14ac:dyDescent="0.35">
      <c r="A249" s="170">
        <v>245</v>
      </c>
      <c r="B249" s="137" t="str">
        <f t="shared" si="3"/>
        <v/>
      </c>
      <c r="C249" s="92"/>
      <c r="D249" s="138" t="str">
        <f>IF($C249="","",_xlfn.XLOOKUP($C249,StrategiesSolutions[S&amp;S ID],StrategiesSolutions[Risk ID],""))</f>
        <v/>
      </c>
      <c r="E249" s="92"/>
      <c r="F249" s="93"/>
      <c r="G249" s="93"/>
      <c r="H249" s="94"/>
      <c r="I249" s="93"/>
      <c r="J249" s="93"/>
      <c r="K249" s="93"/>
      <c r="L249" s="93"/>
      <c r="M249" s="171"/>
    </row>
    <row r="250" spans="1:13" ht="15" customHeight="1" x14ac:dyDescent="0.35">
      <c r="A250" s="170">
        <v>246</v>
      </c>
      <c r="B250" s="137" t="str">
        <f t="shared" si="3"/>
        <v/>
      </c>
      <c r="C250" s="92"/>
      <c r="D250" s="138" t="str">
        <f>IF($C250="","",_xlfn.XLOOKUP($C250,StrategiesSolutions[S&amp;S ID],StrategiesSolutions[Risk ID],""))</f>
        <v/>
      </c>
      <c r="E250" s="92"/>
      <c r="F250" s="93"/>
      <c r="G250" s="93"/>
      <c r="H250" s="94"/>
      <c r="I250" s="93"/>
      <c r="J250" s="93"/>
      <c r="K250" s="93"/>
      <c r="L250" s="93"/>
      <c r="M250" s="171"/>
    </row>
    <row r="251" spans="1:13" ht="15" customHeight="1" x14ac:dyDescent="0.35">
      <c r="A251" s="170">
        <v>247</v>
      </c>
      <c r="B251" s="137" t="str">
        <f t="shared" si="3"/>
        <v/>
      </c>
      <c r="C251" s="92"/>
      <c r="D251" s="138" t="str">
        <f>IF($C251="","",_xlfn.XLOOKUP($C251,StrategiesSolutions[S&amp;S ID],StrategiesSolutions[Risk ID],""))</f>
        <v/>
      </c>
      <c r="E251" s="92"/>
      <c r="F251" s="93"/>
      <c r="G251" s="93"/>
      <c r="H251" s="94"/>
      <c r="I251" s="93"/>
      <c r="J251" s="93"/>
      <c r="K251" s="93"/>
      <c r="L251" s="93"/>
      <c r="M251" s="171"/>
    </row>
    <row r="252" spans="1:13" ht="15" customHeight="1" x14ac:dyDescent="0.35">
      <c r="A252" s="170">
        <v>248</v>
      </c>
      <c r="B252" s="137" t="str">
        <f t="shared" si="3"/>
        <v/>
      </c>
      <c r="C252" s="92"/>
      <c r="D252" s="138" t="str">
        <f>IF($C252="","",_xlfn.XLOOKUP($C252,StrategiesSolutions[S&amp;S ID],StrategiesSolutions[Risk ID],""))</f>
        <v/>
      </c>
      <c r="E252" s="92"/>
      <c r="F252" s="93"/>
      <c r="G252" s="93"/>
      <c r="H252" s="94"/>
      <c r="I252" s="93"/>
      <c r="J252" s="93"/>
      <c r="K252" s="93"/>
      <c r="L252" s="93"/>
      <c r="M252" s="171"/>
    </row>
    <row r="253" spans="1:13" ht="15" customHeight="1" x14ac:dyDescent="0.35">
      <c r="A253" s="170">
        <v>249</v>
      </c>
      <c r="B253" s="137" t="str">
        <f t="shared" si="3"/>
        <v/>
      </c>
      <c r="C253" s="92"/>
      <c r="D253" s="138" t="str">
        <f>IF($C253="","",_xlfn.XLOOKUP($C253,StrategiesSolutions[S&amp;S ID],StrategiesSolutions[Risk ID],""))</f>
        <v/>
      </c>
      <c r="E253" s="92"/>
      <c r="F253" s="93"/>
      <c r="G253" s="93"/>
      <c r="H253" s="94"/>
      <c r="I253" s="93"/>
      <c r="J253" s="93"/>
      <c r="K253" s="93"/>
      <c r="L253" s="93"/>
      <c r="M253" s="171"/>
    </row>
    <row r="254" spans="1:13" ht="15" customHeight="1" x14ac:dyDescent="0.35">
      <c r="A254" s="170">
        <v>250</v>
      </c>
      <c r="B254" s="137" t="str">
        <f t="shared" si="3"/>
        <v/>
      </c>
      <c r="C254" s="92"/>
      <c r="D254" s="138" t="str">
        <f>IF($C254="","",_xlfn.XLOOKUP($C254,StrategiesSolutions[S&amp;S ID],StrategiesSolutions[Risk ID],""))</f>
        <v/>
      </c>
      <c r="E254" s="92"/>
      <c r="F254" s="93"/>
      <c r="G254" s="93"/>
      <c r="H254" s="94"/>
      <c r="I254" s="93"/>
      <c r="J254" s="93"/>
      <c r="K254" s="93"/>
      <c r="L254" s="93"/>
      <c r="M254" s="171"/>
    </row>
    <row r="255" spans="1:13" ht="15" customHeight="1" x14ac:dyDescent="0.35">
      <c r="A255" s="170">
        <v>251</v>
      </c>
      <c r="B255" s="137" t="str">
        <f t="shared" si="3"/>
        <v/>
      </c>
      <c r="C255" s="92"/>
      <c r="D255" s="138" t="str">
        <f>IF($C255="","",_xlfn.XLOOKUP($C255,StrategiesSolutions[S&amp;S ID],StrategiesSolutions[Risk ID],""))</f>
        <v/>
      </c>
      <c r="E255" s="92"/>
      <c r="F255" s="93"/>
      <c r="G255" s="93"/>
      <c r="H255" s="94"/>
      <c r="I255" s="93"/>
      <c r="J255" s="93"/>
      <c r="K255" s="93"/>
      <c r="L255" s="93"/>
      <c r="M255" s="171"/>
    </row>
    <row r="256" spans="1:13" ht="15" customHeight="1" x14ac:dyDescent="0.35">
      <c r="A256" s="170">
        <v>252</v>
      </c>
      <c r="B256" s="137" t="str">
        <f t="shared" si="3"/>
        <v/>
      </c>
      <c r="C256" s="92"/>
      <c r="D256" s="138" t="str">
        <f>IF($C256="","",_xlfn.XLOOKUP($C256,StrategiesSolutions[S&amp;S ID],StrategiesSolutions[Risk ID],""))</f>
        <v/>
      </c>
      <c r="E256" s="92"/>
      <c r="F256" s="93"/>
      <c r="G256" s="93"/>
      <c r="H256" s="94"/>
      <c r="I256" s="93"/>
      <c r="J256" s="93"/>
      <c r="K256" s="93"/>
      <c r="L256" s="93"/>
      <c r="M256" s="171"/>
    </row>
    <row r="257" spans="1:13" ht="15" customHeight="1" x14ac:dyDescent="0.35">
      <c r="A257" s="170">
        <v>253</v>
      </c>
      <c r="B257" s="137" t="str">
        <f t="shared" si="3"/>
        <v/>
      </c>
      <c r="C257" s="92"/>
      <c r="D257" s="138" t="str">
        <f>IF($C257="","",_xlfn.XLOOKUP($C257,StrategiesSolutions[S&amp;S ID],StrategiesSolutions[Risk ID],""))</f>
        <v/>
      </c>
      <c r="E257" s="92"/>
      <c r="F257" s="93"/>
      <c r="G257" s="93"/>
      <c r="H257" s="94"/>
      <c r="I257" s="93"/>
      <c r="J257" s="93"/>
      <c r="K257" s="93"/>
      <c r="L257" s="93"/>
      <c r="M257" s="171"/>
    </row>
    <row r="258" spans="1:13" ht="15" customHeight="1" x14ac:dyDescent="0.35">
      <c r="A258" s="170">
        <v>254</v>
      </c>
      <c r="B258" s="137" t="str">
        <f t="shared" si="3"/>
        <v/>
      </c>
      <c r="C258" s="92"/>
      <c r="D258" s="138" t="str">
        <f>IF($C258="","",_xlfn.XLOOKUP($C258,StrategiesSolutions[S&amp;S ID],StrategiesSolutions[Risk ID],""))</f>
        <v/>
      </c>
      <c r="E258" s="92"/>
      <c r="F258" s="93"/>
      <c r="G258" s="93"/>
      <c r="H258" s="94"/>
      <c r="I258" s="93"/>
      <c r="J258" s="93"/>
      <c r="K258" s="93"/>
      <c r="L258" s="93"/>
      <c r="M258" s="171"/>
    </row>
    <row r="259" spans="1:13" ht="15" customHeight="1" x14ac:dyDescent="0.35">
      <c r="A259" s="170">
        <v>255</v>
      </c>
      <c r="B259" s="137" t="str">
        <f t="shared" si="3"/>
        <v/>
      </c>
      <c r="C259" s="92"/>
      <c r="D259" s="138" t="str">
        <f>IF($C259="","",_xlfn.XLOOKUP($C259,StrategiesSolutions[S&amp;S ID],StrategiesSolutions[Risk ID],""))</f>
        <v/>
      </c>
      <c r="E259" s="92"/>
      <c r="F259" s="93"/>
      <c r="G259" s="93"/>
      <c r="H259" s="94"/>
      <c r="I259" s="93"/>
      <c r="J259" s="93"/>
      <c r="K259" s="93"/>
      <c r="L259" s="93"/>
      <c r="M259" s="171"/>
    </row>
    <row r="260" spans="1:13" ht="15" customHeight="1" x14ac:dyDescent="0.35">
      <c r="A260" s="170">
        <v>256</v>
      </c>
      <c r="B260" s="137" t="str">
        <f t="shared" si="3"/>
        <v/>
      </c>
      <c r="C260" s="92"/>
      <c r="D260" s="138" t="str">
        <f>IF($C260="","",_xlfn.XLOOKUP($C260,StrategiesSolutions[S&amp;S ID],StrategiesSolutions[Risk ID],""))</f>
        <v/>
      </c>
      <c r="E260" s="92"/>
      <c r="F260" s="93"/>
      <c r="G260" s="93"/>
      <c r="H260" s="94"/>
      <c r="I260" s="93"/>
      <c r="J260" s="93"/>
      <c r="K260" s="93"/>
      <c r="L260" s="93"/>
      <c r="M260" s="171"/>
    </row>
    <row r="261" spans="1:13" ht="15" customHeight="1" x14ac:dyDescent="0.35">
      <c r="A261" s="170">
        <v>257</v>
      </c>
      <c r="B261" s="137" t="str">
        <f t="shared" ref="B261:B304" si="4">IF($F261="","","REQ-"&amp;TEXT($A261,"000"))</f>
        <v/>
      </c>
      <c r="C261" s="92"/>
      <c r="D261" s="138" t="str">
        <f>IF($C261="","",_xlfn.XLOOKUP($C261,StrategiesSolutions[S&amp;S ID],StrategiesSolutions[Risk ID],""))</f>
        <v/>
      </c>
      <c r="E261" s="92"/>
      <c r="F261" s="93"/>
      <c r="G261" s="93"/>
      <c r="H261" s="94"/>
      <c r="I261" s="93"/>
      <c r="J261" s="93"/>
      <c r="K261" s="93"/>
      <c r="L261" s="93"/>
      <c r="M261" s="171"/>
    </row>
    <row r="262" spans="1:13" ht="15" customHeight="1" x14ac:dyDescent="0.35">
      <c r="A262" s="170">
        <v>258</v>
      </c>
      <c r="B262" s="137" t="str">
        <f t="shared" si="4"/>
        <v/>
      </c>
      <c r="C262" s="92"/>
      <c r="D262" s="138" t="str">
        <f>IF($C262="","",_xlfn.XLOOKUP($C262,StrategiesSolutions[S&amp;S ID],StrategiesSolutions[Risk ID],""))</f>
        <v/>
      </c>
      <c r="E262" s="92"/>
      <c r="F262" s="93"/>
      <c r="G262" s="93"/>
      <c r="H262" s="94"/>
      <c r="I262" s="93"/>
      <c r="J262" s="93"/>
      <c r="K262" s="93"/>
      <c r="L262" s="93"/>
      <c r="M262" s="171"/>
    </row>
    <row r="263" spans="1:13" ht="15" customHeight="1" x14ac:dyDescent="0.35">
      <c r="A263" s="170">
        <v>259</v>
      </c>
      <c r="B263" s="137" t="str">
        <f t="shared" si="4"/>
        <v/>
      </c>
      <c r="C263" s="92"/>
      <c r="D263" s="138" t="str">
        <f>IF($C263="","",_xlfn.XLOOKUP($C263,StrategiesSolutions[S&amp;S ID],StrategiesSolutions[Risk ID],""))</f>
        <v/>
      </c>
      <c r="E263" s="92"/>
      <c r="F263" s="93"/>
      <c r="G263" s="93"/>
      <c r="H263" s="94"/>
      <c r="I263" s="93"/>
      <c r="J263" s="93"/>
      <c r="K263" s="93"/>
      <c r="L263" s="93"/>
      <c r="M263" s="171"/>
    </row>
    <row r="264" spans="1:13" ht="15" customHeight="1" x14ac:dyDescent="0.35">
      <c r="A264" s="170">
        <v>260</v>
      </c>
      <c r="B264" s="137" t="str">
        <f t="shared" si="4"/>
        <v/>
      </c>
      <c r="C264" s="92"/>
      <c r="D264" s="138" t="str">
        <f>IF($C264="","",_xlfn.XLOOKUP($C264,StrategiesSolutions[S&amp;S ID],StrategiesSolutions[Risk ID],""))</f>
        <v/>
      </c>
      <c r="E264" s="92"/>
      <c r="F264" s="93"/>
      <c r="G264" s="93"/>
      <c r="H264" s="94"/>
      <c r="I264" s="93"/>
      <c r="J264" s="93"/>
      <c r="K264" s="93"/>
      <c r="L264" s="93"/>
      <c r="M264" s="171"/>
    </row>
    <row r="265" spans="1:13" ht="15" customHeight="1" x14ac:dyDescent="0.35">
      <c r="A265" s="170">
        <v>261</v>
      </c>
      <c r="B265" s="137" t="str">
        <f t="shared" si="4"/>
        <v/>
      </c>
      <c r="C265" s="92"/>
      <c r="D265" s="138" t="str">
        <f>IF($C265="","",_xlfn.XLOOKUP($C265,StrategiesSolutions[S&amp;S ID],StrategiesSolutions[Risk ID],""))</f>
        <v/>
      </c>
      <c r="E265" s="92"/>
      <c r="F265" s="93"/>
      <c r="G265" s="93"/>
      <c r="H265" s="94"/>
      <c r="I265" s="93"/>
      <c r="J265" s="93"/>
      <c r="K265" s="93"/>
      <c r="L265" s="93"/>
      <c r="M265" s="171"/>
    </row>
    <row r="266" spans="1:13" ht="15" customHeight="1" x14ac:dyDescent="0.35">
      <c r="A266" s="170">
        <v>262</v>
      </c>
      <c r="B266" s="137" t="str">
        <f t="shared" si="4"/>
        <v/>
      </c>
      <c r="C266" s="92"/>
      <c r="D266" s="138" t="str">
        <f>IF($C266="","",_xlfn.XLOOKUP($C266,StrategiesSolutions[S&amp;S ID],StrategiesSolutions[Risk ID],""))</f>
        <v/>
      </c>
      <c r="E266" s="92"/>
      <c r="F266" s="93"/>
      <c r="G266" s="93"/>
      <c r="H266" s="94"/>
      <c r="I266" s="93"/>
      <c r="J266" s="93"/>
      <c r="K266" s="93"/>
      <c r="L266" s="93"/>
      <c r="M266" s="171"/>
    </row>
    <row r="267" spans="1:13" ht="15" customHeight="1" x14ac:dyDescent="0.35">
      <c r="A267" s="170">
        <v>263</v>
      </c>
      <c r="B267" s="137" t="str">
        <f t="shared" si="4"/>
        <v/>
      </c>
      <c r="C267" s="92"/>
      <c r="D267" s="138" t="str">
        <f>IF($C267="","",_xlfn.XLOOKUP($C267,StrategiesSolutions[S&amp;S ID],StrategiesSolutions[Risk ID],""))</f>
        <v/>
      </c>
      <c r="E267" s="92"/>
      <c r="F267" s="93"/>
      <c r="G267" s="93"/>
      <c r="H267" s="94"/>
      <c r="I267" s="93"/>
      <c r="J267" s="93"/>
      <c r="K267" s="93"/>
      <c r="L267" s="93"/>
      <c r="M267" s="171"/>
    </row>
    <row r="268" spans="1:13" ht="15" customHeight="1" x14ac:dyDescent="0.35">
      <c r="A268" s="170">
        <v>264</v>
      </c>
      <c r="B268" s="137" t="str">
        <f t="shared" si="4"/>
        <v/>
      </c>
      <c r="C268" s="92"/>
      <c r="D268" s="138" t="str">
        <f>IF($C268="","",_xlfn.XLOOKUP($C268,StrategiesSolutions[S&amp;S ID],StrategiesSolutions[Risk ID],""))</f>
        <v/>
      </c>
      <c r="E268" s="92"/>
      <c r="F268" s="93"/>
      <c r="G268" s="93"/>
      <c r="H268" s="94"/>
      <c r="I268" s="93"/>
      <c r="J268" s="93"/>
      <c r="K268" s="93"/>
      <c r="L268" s="93"/>
      <c r="M268" s="171"/>
    </row>
    <row r="269" spans="1:13" ht="15" customHeight="1" x14ac:dyDescent="0.35">
      <c r="A269" s="170">
        <v>265</v>
      </c>
      <c r="B269" s="137" t="str">
        <f t="shared" si="4"/>
        <v/>
      </c>
      <c r="C269" s="92"/>
      <c r="D269" s="138" t="str">
        <f>IF($C269="","",_xlfn.XLOOKUP($C269,StrategiesSolutions[S&amp;S ID],StrategiesSolutions[Risk ID],""))</f>
        <v/>
      </c>
      <c r="E269" s="92"/>
      <c r="F269" s="93"/>
      <c r="G269" s="93"/>
      <c r="H269" s="94"/>
      <c r="I269" s="93"/>
      <c r="J269" s="93"/>
      <c r="K269" s="93"/>
      <c r="L269" s="93"/>
      <c r="M269" s="171"/>
    </row>
    <row r="270" spans="1:13" ht="15" customHeight="1" x14ac:dyDescent="0.35">
      <c r="A270" s="170">
        <v>266</v>
      </c>
      <c r="B270" s="137" t="str">
        <f t="shared" si="4"/>
        <v/>
      </c>
      <c r="C270" s="92"/>
      <c r="D270" s="138" t="str">
        <f>IF($C270="","",_xlfn.XLOOKUP($C270,StrategiesSolutions[S&amp;S ID],StrategiesSolutions[Risk ID],""))</f>
        <v/>
      </c>
      <c r="E270" s="92"/>
      <c r="F270" s="93"/>
      <c r="G270" s="93"/>
      <c r="H270" s="94"/>
      <c r="I270" s="93"/>
      <c r="J270" s="93"/>
      <c r="K270" s="93"/>
      <c r="L270" s="93"/>
      <c r="M270" s="171"/>
    </row>
    <row r="271" spans="1:13" ht="15" customHeight="1" x14ac:dyDescent="0.35">
      <c r="A271" s="170">
        <v>267</v>
      </c>
      <c r="B271" s="137" t="str">
        <f t="shared" si="4"/>
        <v/>
      </c>
      <c r="C271" s="92"/>
      <c r="D271" s="138" t="str">
        <f>IF($C271="","",_xlfn.XLOOKUP($C271,StrategiesSolutions[S&amp;S ID],StrategiesSolutions[Risk ID],""))</f>
        <v/>
      </c>
      <c r="E271" s="92"/>
      <c r="F271" s="93"/>
      <c r="G271" s="93"/>
      <c r="H271" s="94"/>
      <c r="I271" s="93"/>
      <c r="J271" s="93"/>
      <c r="K271" s="93"/>
      <c r="L271" s="93"/>
      <c r="M271" s="171"/>
    </row>
    <row r="272" spans="1:13" ht="15" customHeight="1" x14ac:dyDescent="0.35">
      <c r="A272" s="170">
        <v>268</v>
      </c>
      <c r="B272" s="137" t="str">
        <f t="shared" si="4"/>
        <v/>
      </c>
      <c r="C272" s="92"/>
      <c r="D272" s="138" t="str">
        <f>IF($C272="","",_xlfn.XLOOKUP($C272,StrategiesSolutions[S&amp;S ID],StrategiesSolutions[Risk ID],""))</f>
        <v/>
      </c>
      <c r="E272" s="92"/>
      <c r="F272" s="93"/>
      <c r="G272" s="93"/>
      <c r="H272" s="94"/>
      <c r="I272" s="93"/>
      <c r="J272" s="93"/>
      <c r="K272" s="93"/>
      <c r="L272" s="93"/>
      <c r="M272" s="171"/>
    </row>
    <row r="273" spans="1:13" ht="15" customHeight="1" x14ac:dyDescent="0.35">
      <c r="A273" s="170">
        <v>269</v>
      </c>
      <c r="B273" s="137" t="str">
        <f t="shared" si="4"/>
        <v/>
      </c>
      <c r="C273" s="92"/>
      <c r="D273" s="138" t="str">
        <f>IF($C273="","",_xlfn.XLOOKUP($C273,StrategiesSolutions[S&amp;S ID],StrategiesSolutions[Risk ID],""))</f>
        <v/>
      </c>
      <c r="E273" s="92"/>
      <c r="F273" s="93"/>
      <c r="G273" s="93"/>
      <c r="H273" s="94"/>
      <c r="I273" s="93"/>
      <c r="J273" s="93"/>
      <c r="K273" s="93"/>
      <c r="L273" s="93"/>
      <c r="M273" s="171"/>
    </row>
    <row r="274" spans="1:13" ht="15" customHeight="1" x14ac:dyDescent="0.35">
      <c r="A274" s="170">
        <v>270</v>
      </c>
      <c r="B274" s="137" t="str">
        <f t="shared" si="4"/>
        <v/>
      </c>
      <c r="C274" s="92"/>
      <c r="D274" s="138" t="str">
        <f>IF($C274="","",_xlfn.XLOOKUP($C274,StrategiesSolutions[S&amp;S ID],StrategiesSolutions[Risk ID],""))</f>
        <v/>
      </c>
      <c r="E274" s="92"/>
      <c r="F274" s="93"/>
      <c r="G274" s="93"/>
      <c r="H274" s="94"/>
      <c r="I274" s="93"/>
      <c r="J274" s="93"/>
      <c r="K274" s="93"/>
      <c r="L274" s="93"/>
      <c r="M274" s="171"/>
    </row>
    <row r="275" spans="1:13" ht="15" customHeight="1" x14ac:dyDescent="0.35">
      <c r="A275" s="170">
        <v>271</v>
      </c>
      <c r="B275" s="137" t="str">
        <f t="shared" si="4"/>
        <v/>
      </c>
      <c r="C275" s="92"/>
      <c r="D275" s="138" t="str">
        <f>IF($C275="","",_xlfn.XLOOKUP($C275,StrategiesSolutions[S&amp;S ID],StrategiesSolutions[Risk ID],""))</f>
        <v/>
      </c>
      <c r="E275" s="92"/>
      <c r="F275" s="93"/>
      <c r="G275" s="93"/>
      <c r="H275" s="94"/>
      <c r="I275" s="93"/>
      <c r="J275" s="93"/>
      <c r="K275" s="93"/>
      <c r="L275" s="93"/>
      <c r="M275" s="171"/>
    </row>
    <row r="276" spans="1:13" ht="15" customHeight="1" x14ac:dyDescent="0.35">
      <c r="A276" s="170">
        <v>272</v>
      </c>
      <c r="B276" s="137" t="str">
        <f t="shared" si="4"/>
        <v/>
      </c>
      <c r="C276" s="92"/>
      <c r="D276" s="138" t="str">
        <f>IF($C276="","",_xlfn.XLOOKUP($C276,StrategiesSolutions[S&amp;S ID],StrategiesSolutions[Risk ID],""))</f>
        <v/>
      </c>
      <c r="E276" s="92"/>
      <c r="F276" s="93"/>
      <c r="G276" s="93"/>
      <c r="H276" s="94"/>
      <c r="I276" s="93"/>
      <c r="J276" s="93"/>
      <c r="K276" s="93"/>
      <c r="L276" s="93"/>
      <c r="M276" s="171"/>
    </row>
    <row r="277" spans="1:13" ht="15" customHeight="1" x14ac:dyDescent="0.35">
      <c r="A277" s="170">
        <v>273</v>
      </c>
      <c r="B277" s="137" t="str">
        <f t="shared" si="4"/>
        <v/>
      </c>
      <c r="C277" s="92"/>
      <c r="D277" s="138" t="str">
        <f>IF($C277="","",_xlfn.XLOOKUP($C277,StrategiesSolutions[S&amp;S ID],StrategiesSolutions[Risk ID],""))</f>
        <v/>
      </c>
      <c r="E277" s="92"/>
      <c r="F277" s="93"/>
      <c r="G277" s="93"/>
      <c r="H277" s="94"/>
      <c r="I277" s="93"/>
      <c r="J277" s="93"/>
      <c r="K277" s="93"/>
      <c r="L277" s="93"/>
      <c r="M277" s="171"/>
    </row>
    <row r="278" spans="1:13" ht="15" customHeight="1" x14ac:dyDescent="0.35">
      <c r="A278" s="170">
        <v>274</v>
      </c>
      <c r="B278" s="137" t="str">
        <f t="shared" si="4"/>
        <v/>
      </c>
      <c r="C278" s="92"/>
      <c r="D278" s="138" t="str">
        <f>IF($C278="","",_xlfn.XLOOKUP($C278,StrategiesSolutions[S&amp;S ID],StrategiesSolutions[Risk ID],""))</f>
        <v/>
      </c>
      <c r="E278" s="92"/>
      <c r="F278" s="93"/>
      <c r="G278" s="93"/>
      <c r="H278" s="94"/>
      <c r="I278" s="93"/>
      <c r="J278" s="93"/>
      <c r="K278" s="93"/>
      <c r="L278" s="93"/>
      <c r="M278" s="171"/>
    </row>
    <row r="279" spans="1:13" ht="15" customHeight="1" x14ac:dyDescent="0.35">
      <c r="A279" s="170">
        <v>275</v>
      </c>
      <c r="B279" s="137" t="str">
        <f t="shared" si="4"/>
        <v/>
      </c>
      <c r="C279" s="92"/>
      <c r="D279" s="138" t="str">
        <f>IF($C279="","",_xlfn.XLOOKUP($C279,StrategiesSolutions[S&amp;S ID],StrategiesSolutions[Risk ID],""))</f>
        <v/>
      </c>
      <c r="E279" s="92"/>
      <c r="F279" s="93"/>
      <c r="G279" s="93"/>
      <c r="H279" s="94"/>
      <c r="I279" s="93"/>
      <c r="J279" s="93"/>
      <c r="K279" s="93"/>
      <c r="L279" s="93"/>
      <c r="M279" s="171"/>
    </row>
    <row r="280" spans="1:13" ht="15" customHeight="1" x14ac:dyDescent="0.35">
      <c r="A280" s="170">
        <v>276</v>
      </c>
      <c r="B280" s="137" t="str">
        <f t="shared" si="4"/>
        <v/>
      </c>
      <c r="C280" s="92"/>
      <c r="D280" s="138" t="str">
        <f>IF($C280="","",_xlfn.XLOOKUP($C280,StrategiesSolutions[S&amp;S ID],StrategiesSolutions[Risk ID],""))</f>
        <v/>
      </c>
      <c r="E280" s="92"/>
      <c r="F280" s="93"/>
      <c r="G280" s="93"/>
      <c r="H280" s="94"/>
      <c r="I280" s="93"/>
      <c r="J280" s="93"/>
      <c r="K280" s="93"/>
      <c r="L280" s="93"/>
      <c r="M280" s="171"/>
    </row>
    <row r="281" spans="1:13" ht="15" customHeight="1" x14ac:dyDescent="0.35">
      <c r="A281" s="170">
        <v>277</v>
      </c>
      <c r="B281" s="137" t="str">
        <f t="shared" si="4"/>
        <v/>
      </c>
      <c r="C281" s="92"/>
      <c r="D281" s="138" t="str">
        <f>IF($C281="","",_xlfn.XLOOKUP($C281,StrategiesSolutions[S&amp;S ID],StrategiesSolutions[Risk ID],""))</f>
        <v/>
      </c>
      <c r="E281" s="92"/>
      <c r="F281" s="93"/>
      <c r="G281" s="93"/>
      <c r="H281" s="94"/>
      <c r="I281" s="93"/>
      <c r="J281" s="93"/>
      <c r="K281" s="93"/>
      <c r="L281" s="93"/>
      <c r="M281" s="171"/>
    </row>
    <row r="282" spans="1:13" ht="15" customHeight="1" x14ac:dyDescent="0.35">
      <c r="A282" s="170">
        <v>278</v>
      </c>
      <c r="B282" s="137" t="str">
        <f t="shared" si="4"/>
        <v/>
      </c>
      <c r="C282" s="92"/>
      <c r="D282" s="138" t="str">
        <f>IF($C282="","",_xlfn.XLOOKUP($C282,StrategiesSolutions[S&amp;S ID],StrategiesSolutions[Risk ID],""))</f>
        <v/>
      </c>
      <c r="E282" s="92"/>
      <c r="F282" s="93"/>
      <c r="G282" s="93"/>
      <c r="H282" s="94"/>
      <c r="I282" s="93"/>
      <c r="J282" s="93"/>
      <c r="K282" s="93"/>
      <c r="L282" s="93"/>
      <c r="M282" s="171"/>
    </row>
    <row r="283" spans="1:13" ht="15" customHeight="1" x14ac:dyDescent="0.35">
      <c r="A283" s="170">
        <v>279</v>
      </c>
      <c r="B283" s="137" t="str">
        <f t="shared" si="4"/>
        <v/>
      </c>
      <c r="C283" s="92"/>
      <c r="D283" s="138" t="str">
        <f>IF($C283="","",_xlfn.XLOOKUP($C283,StrategiesSolutions[S&amp;S ID],StrategiesSolutions[Risk ID],""))</f>
        <v/>
      </c>
      <c r="E283" s="92"/>
      <c r="F283" s="93"/>
      <c r="G283" s="93"/>
      <c r="H283" s="94"/>
      <c r="I283" s="93"/>
      <c r="J283" s="93"/>
      <c r="K283" s="93"/>
      <c r="L283" s="93"/>
      <c r="M283" s="171"/>
    </row>
    <row r="284" spans="1:13" ht="15" customHeight="1" x14ac:dyDescent="0.35">
      <c r="A284" s="170">
        <v>280</v>
      </c>
      <c r="B284" s="137" t="str">
        <f t="shared" si="4"/>
        <v/>
      </c>
      <c r="C284" s="92"/>
      <c r="D284" s="138" t="str">
        <f>IF($C284="","",_xlfn.XLOOKUP($C284,StrategiesSolutions[S&amp;S ID],StrategiesSolutions[Risk ID],""))</f>
        <v/>
      </c>
      <c r="E284" s="92"/>
      <c r="F284" s="93"/>
      <c r="G284" s="93"/>
      <c r="H284" s="94"/>
      <c r="I284" s="93"/>
      <c r="J284" s="93"/>
      <c r="K284" s="93"/>
      <c r="L284" s="93"/>
      <c r="M284" s="171"/>
    </row>
    <row r="285" spans="1:13" ht="15" customHeight="1" x14ac:dyDescent="0.35">
      <c r="A285" s="170">
        <v>281</v>
      </c>
      <c r="B285" s="137" t="str">
        <f t="shared" si="4"/>
        <v/>
      </c>
      <c r="C285" s="92"/>
      <c r="D285" s="138" t="str">
        <f>IF($C285="","",_xlfn.XLOOKUP($C285,StrategiesSolutions[S&amp;S ID],StrategiesSolutions[Risk ID],""))</f>
        <v/>
      </c>
      <c r="E285" s="92"/>
      <c r="F285" s="93"/>
      <c r="G285" s="93"/>
      <c r="H285" s="94"/>
      <c r="I285" s="93"/>
      <c r="J285" s="93"/>
      <c r="K285" s="93"/>
      <c r="L285" s="93"/>
      <c r="M285" s="171"/>
    </row>
    <row r="286" spans="1:13" ht="15" customHeight="1" x14ac:dyDescent="0.35">
      <c r="A286" s="170">
        <v>282</v>
      </c>
      <c r="B286" s="137" t="str">
        <f t="shared" si="4"/>
        <v/>
      </c>
      <c r="C286" s="92"/>
      <c r="D286" s="138" t="str">
        <f>IF($C286="","",_xlfn.XLOOKUP($C286,StrategiesSolutions[S&amp;S ID],StrategiesSolutions[Risk ID],""))</f>
        <v/>
      </c>
      <c r="E286" s="92"/>
      <c r="F286" s="93"/>
      <c r="G286" s="93"/>
      <c r="H286" s="94"/>
      <c r="I286" s="93"/>
      <c r="J286" s="93"/>
      <c r="K286" s="93"/>
      <c r="L286" s="93"/>
      <c r="M286" s="171"/>
    </row>
    <row r="287" spans="1:13" ht="15" customHeight="1" x14ac:dyDescent="0.35">
      <c r="A287" s="170">
        <v>283</v>
      </c>
      <c r="B287" s="137" t="str">
        <f t="shared" si="4"/>
        <v/>
      </c>
      <c r="C287" s="92"/>
      <c r="D287" s="138" t="str">
        <f>IF($C287="","",_xlfn.XLOOKUP($C287,StrategiesSolutions[S&amp;S ID],StrategiesSolutions[Risk ID],""))</f>
        <v/>
      </c>
      <c r="E287" s="92"/>
      <c r="F287" s="93"/>
      <c r="G287" s="93"/>
      <c r="H287" s="94"/>
      <c r="I287" s="93"/>
      <c r="J287" s="93"/>
      <c r="K287" s="93"/>
      <c r="L287" s="93"/>
      <c r="M287" s="171"/>
    </row>
    <row r="288" spans="1:13" ht="15" customHeight="1" x14ac:dyDescent="0.35">
      <c r="A288" s="170">
        <v>284</v>
      </c>
      <c r="B288" s="137" t="str">
        <f t="shared" si="4"/>
        <v/>
      </c>
      <c r="C288" s="92"/>
      <c r="D288" s="138" t="str">
        <f>IF($C288="","",_xlfn.XLOOKUP($C288,StrategiesSolutions[S&amp;S ID],StrategiesSolutions[Risk ID],""))</f>
        <v/>
      </c>
      <c r="E288" s="92"/>
      <c r="F288" s="93"/>
      <c r="G288" s="93"/>
      <c r="H288" s="94"/>
      <c r="I288" s="93"/>
      <c r="J288" s="93"/>
      <c r="K288" s="93"/>
      <c r="L288" s="93"/>
      <c r="M288" s="171"/>
    </row>
    <row r="289" spans="1:13" ht="15" customHeight="1" x14ac:dyDescent="0.35">
      <c r="A289" s="170">
        <v>285</v>
      </c>
      <c r="B289" s="137" t="str">
        <f t="shared" si="4"/>
        <v/>
      </c>
      <c r="C289" s="92"/>
      <c r="D289" s="138" t="str">
        <f>IF($C289="","",_xlfn.XLOOKUP($C289,StrategiesSolutions[S&amp;S ID],StrategiesSolutions[Risk ID],""))</f>
        <v/>
      </c>
      <c r="E289" s="92"/>
      <c r="F289" s="93"/>
      <c r="G289" s="93"/>
      <c r="H289" s="94"/>
      <c r="I289" s="93"/>
      <c r="J289" s="93"/>
      <c r="K289" s="93"/>
      <c r="L289" s="93"/>
      <c r="M289" s="171"/>
    </row>
    <row r="290" spans="1:13" ht="15" customHeight="1" x14ac:dyDescent="0.35">
      <c r="A290" s="170">
        <v>286</v>
      </c>
      <c r="B290" s="137" t="str">
        <f t="shared" si="4"/>
        <v/>
      </c>
      <c r="C290" s="92"/>
      <c r="D290" s="138" t="str">
        <f>IF($C290="","",_xlfn.XLOOKUP($C290,StrategiesSolutions[S&amp;S ID],StrategiesSolutions[Risk ID],""))</f>
        <v/>
      </c>
      <c r="E290" s="92"/>
      <c r="F290" s="93"/>
      <c r="G290" s="93"/>
      <c r="H290" s="94"/>
      <c r="I290" s="93"/>
      <c r="J290" s="93"/>
      <c r="K290" s="93"/>
      <c r="L290" s="93"/>
      <c r="M290" s="171"/>
    </row>
    <row r="291" spans="1:13" ht="15" customHeight="1" x14ac:dyDescent="0.35">
      <c r="A291" s="170">
        <v>287</v>
      </c>
      <c r="B291" s="137" t="str">
        <f t="shared" si="4"/>
        <v/>
      </c>
      <c r="C291" s="92"/>
      <c r="D291" s="138" t="str">
        <f>IF($C291="","",_xlfn.XLOOKUP($C291,StrategiesSolutions[S&amp;S ID],StrategiesSolutions[Risk ID],""))</f>
        <v/>
      </c>
      <c r="E291" s="92"/>
      <c r="F291" s="93"/>
      <c r="G291" s="93"/>
      <c r="H291" s="94"/>
      <c r="I291" s="93"/>
      <c r="J291" s="93"/>
      <c r="K291" s="93"/>
      <c r="L291" s="93"/>
      <c r="M291" s="171"/>
    </row>
    <row r="292" spans="1:13" ht="15" customHeight="1" x14ac:dyDescent="0.35">
      <c r="A292" s="170">
        <v>288</v>
      </c>
      <c r="B292" s="137" t="str">
        <f t="shared" si="4"/>
        <v/>
      </c>
      <c r="C292" s="92"/>
      <c r="D292" s="138" t="str">
        <f>IF($C292="","",_xlfn.XLOOKUP($C292,StrategiesSolutions[S&amp;S ID],StrategiesSolutions[Risk ID],""))</f>
        <v/>
      </c>
      <c r="E292" s="92"/>
      <c r="F292" s="93"/>
      <c r="G292" s="93"/>
      <c r="H292" s="94"/>
      <c r="I292" s="93"/>
      <c r="J292" s="93"/>
      <c r="K292" s="93"/>
      <c r="L292" s="93"/>
      <c r="M292" s="171"/>
    </row>
    <row r="293" spans="1:13" ht="15" customHeight="1" x14ac:dyDescent="0.35">
      <c r="A293" s="170">
        <v>289</v>
      </c>
      <c r="B293" s="137" t="str">
        <f t="shared" si="4"/>
        <v/>
      </c>
      <c r="C293" s="92"/>
      <c r="D293" s="138" t="str">
        <f>IF($C293="","",_xlfn.XLOOKUP($C293,StrategiesSolutions[S&amp;S ID],StrategiesSolutions[Risk ID],""))</f>
        <v/>
      </c>
      <c r="E293" s="92"/>
      <c r="F293" s="93"/>
      <c r="G293" s="93"/>
      <c r="H293" s="94"/>
      <c r="I293" s="93"/>
      <c r="J293" s="93"/>
      <c r="K293" s="93"/>
      <c r="L293" s="93"/>
      <c r="M293" s="171"/>
    </row>
    <row r="294" spans="1:13" ht="15" customHeight="1" x14ac:dyDescent="0.35">
      <c r="A294" s="170">
        <v>290</v>
      </c>
      <c r="B294" s="137" t="str">
        <f t="shared" si="4"/>
        <v/>
      </c>
      <c r="C294" s="92"/>
      <c r="D294" s="138" t="str">
        <f>IF($C294="","",_xlfn.XLOOKUP($C294,StrategiesSolutions[S&amp;S ID],StrategiesSolutions[Risk ID],""))</f>
        <v/>
      </c>
      <c r="E294" s="92"/>
      <c r="F294" s="93"/>
      <c r="G294" s="93"/>
      <c r="H294" s="94"/>
      <c r="I294" s="93"/>
      <c r="J294" s="93"/>
      <c r="K294" s="93"/>
      <c r="L294" s="93"/>
      <c r="M294" s="171"/>
    </row>
    <row r="295" spans="1:13" ht="15" customHeight="1" x14ac:dyDescent="0.35">
      <c r="A295" s="170">
        <v>291</v>
      </c>
      <c r="B295" s="137" t="str">
        <f t="shared" si="4"/>
        <v/>
      </c>
      <c r="C295" s="92"/>
      <c r="D295" s="138" t="str">
        <f>IF($C295="","",_xlfn.XLOOKUP($C295,StrategiesSolutions[S&amp;S ID],StrategiesSolutions[Risk ID],""))</f>
        <v/>
      </c>
      <c r="E295" s="92"/>
      <c r="F295" s="93"/>
      <c r="G295" s="93"/>
      <c r="H295" s="94"/>
      <c r="I295" s="93"/>
      <c r="J295" s="93"/>
      <c r="K295" s="93"/>
      <c r="L295" s="93"/>
      <c r="M295" s="171"/>
    </row>
    <row r="296" spans="1:13" ht="15" customHeight="1" x14ac:dyDescent="0.35">
      <c r="A296" s="170">
        <v>292</v>
      </c>
      <c r="B296" s="137" t="str">
        <f t="shared" si="4"/>
        <v/>
      </c>
      <c r="C296" s="92"/>
      <c r="D296" s="138" t="str">
        <f>IF($C296="","",_xlfn.XLOOKUP($C296,StrategiesSolutions[S&amp;S ID],StrategiesSolutions[Risk ID],""))</f>
        <v/>
      </c>
      <c r="E296" s="92"/>
      <c r="F296" s="93"/>
      <c r="G296" s="93"/>
      <c r="H296" s="94"/>
      <c r="I296" s="93"/>
      <c r="J296" s="93"/>
      <c r="K296" s="93"/>
      <c r="L296" s="93"/>
      <c r="M296" s="171"/>
    </row>
    <row r="297" spans="1:13" ht="15" customHeight="1" x14ac:dyDescent="0.35">
      <c r="A297" s="170">
        <v>293</v>
      </c>
      <c r="B297" s="137" t="str">
        <f t="shared" si="4"/>
        <v/>
      </c>
      <c r="C297" s="92"/>
      <c r="D297" s="138" t="str">
        <f>IF($C297="","",_xlfn.XLOOKUP($C297,StrategiesSolutions[S&amp;S ID],StrategiesSolutions[Risk ID],""))</f>
        <v/>
      </c>
      <c r="E297" s="92"/>
      <c r="F297" s="93"/>
      <c r="G297" s="93"/>
      <c r="H297" s="94"/>
      <c r="I297" s="93"/>
      <c r="J297" s="93"/>
      <c r="K297" s="93"/>
      <c r="L297" s="93"/>
      <c r="M297" s="171"/>
    </row>
    <row r="298" spans="1:13" ht="15" customHeight="1" x14ac:dyDescent="0.35">
      <c r="A298" s="170">
        <v>294</v>
      </c>
      <c r="B298" s="137" t="str">
        <f t="shared" si="4"/>
        <v/>
      </c>
      <c r="C298" s="92"/>
      <c r="D298" s="138" t="str">
        <f>IF($C298="","",_xlfn.XLOOKUP($C298,StrategiesSolutions[S&amp;S ID],StrategiesSolutions[Risk ID],""))</f>
        <v/>
      </c>
      <c r="E298" s="92"/>
      <c r="F298" s="93"/>
      <c r="G298" s="93"/>
      <c r="H298" s="94"/>
      <c r="I298" s="93"/>
      <c r="J298" s="93"/>
      <c r="K298" s="93"/>
      <c r="L298" s="93"/>
      <c r="M298" s="171"/>
    </row>
    <row r="299" spans="1:13" ht="15" customHeight="1" x14ac:dyDescent="0.35">
      <c r="A299" s="170">
        <v>295</v>
      </c>
      <c r="B299" s="137" t="str">
        <f t="shared" si="4"/>
        <v/>
      </c>
      <c r="C299" s="92"/>
      <c r="D299" s="138" t="str">
        <f>IF($C299="","",_xlfn.XLOOKUP($C299,StrategiesSolutions[S&amp;S ID],StrategiesSolutions[Risk ID],""))</f>
        <v/>
      </c>
      <c r="E299" s="92"/>
      <c r="F299" s="93"/>
      <c r="G299" s="93"/>
      <c r="H299" s="94"/>
      <c r="I299" s="93"/>
      <c r="J299" s="93"/>
      <c r="K299" s="93"/>
      <c r="L299" s="93"/>
      <c r="M299" s="171"/>
    </row>
    <row r="300" spans="1:13" ht="15" customHeight="1" x14ac:dyDescent="0.35">
      <c r="A300" s="170">
        <v>296</v>
      </c>
      <c r="B300" s="137" t="str">
        <f t="shared" si="4"/>
        <v/>
      </c>
      <c r="C300" s="92"/>
      <c r="D300" s="138" t="str">
        <f>IF($C300="","",_xlfn.XLOOKUP($C300,StrategiesSolutions[S&amp;S ID],StrategiesSolutions[Risk ID],""))</f>
        <v/>
      </c>
      <c r="E300" s="92"/>
      <c r="F300" s="93"/>
      <c r="G300" s="93"/>
      <c r="H300" s="94"/>
      <c r="I300" s="93"/>
      <c r="J300" s="93"/>
      <c r="K300" s="93"/>
      <c r="L300" s="93"/>
      <c r="M300" s="171"/>
    </row>
    <row r="301" spans="1:13" ht="15" customHeight="1" x14ac:dyDescent="0.35">
      <c r="A301" s="170">
        <v>297</v>
      </c>
      <c r="B301" s="137" t="str">
        <f t="shared" si="4"/>
        <v/>
      </c>
      <c r="C301" s="92"/>
      <c r="D301" s="138" t="str">
        <f>IF($C301="","",_xlfn.XLOOKUP($C301,StrategiesSolutions[S&amp;S ID],StrategiesSolutions[Risk ID],""))</f>
        <v/>
      </c>
      <c r="E301" s="92"/>
      <c r="F301" s="93"/>
      <c r="G301" s="93"/>
      <c r="H301" s="94"/>
      <c r="I301" s="93"/>
      <c r="J301" s="93"/>
      <c r="K301" s="93"/>
      <c r="L301" s="93"/>
      <c r="M301" s="171"/>
    </row>
    <row r="302" spans="1:13" ht="15" customHeight="1" x14ac:dyDescent="0.35">
      <c r="A302" s="170">
        <v>298</v>
      </c>
      <c r="B302" s="137" t="str">
        <f t="shared" si="4"/>
        <v/>
      </c>
      <c r="C302" s="92"/>
      <c r="D302" s="138" t="str">
        <f>IF($C302="","",_xlfn.XLOOKUP($C302,StrategiesSolutions[S&amp;S ID],StrategiesSolutions[Risk ID],""))</f>
        <v/>
      </c>
      <c r="E302" s="92"/>
      <c r="F302" s="93"/>
      <c r="G302" s="93"/>
      <c r="H302" s="94"/>
      <c r="I302" s="93"/>
      <c r="J302" s="93"/>
      <c r="K302" s="93"/>
      <c r="L302" s="93"/>
      <c r="M302" s="171"/>
    </row>
    <row r="303" spans="1:13" ht="15" customHeight="1" x14ac:dyDescent="0.35">
      <c r="A303" s="170">
        <v>299</v>
      </c>
      <c r="B303" s="137" t="str">
        <f t="shared" si="4"/>
        <v/>
      </c>
      <c r="C303" s="92"/>
      <c r="D303" s="138" t="str">
        <f>IF($C303="","",_xlfn.XLOOKUP($C303,StrategiesSolutions[S&amp;S ID],StrategiesSolutions[Risk ID],""))</f>
        <v/>
      </c>
      <c r="E303" s="92"/>
      <c r="F303" s="93"/>
      <c r="G303" s="93"/>
      <c r="H303" s="94"/>
      <c r="I303" s="93"/>
      <c r="J303" s="93"/>
      <c r="K303" s="93"/>
      <c r="L303" s="93"/>
      <c r="M303" s="171"/>
    </row>
    <row r="304" spans="1:13" ht="15" customHeight="1" x14ac:dyDescent="0.35">
      <c r="A304" s="176">
        <v>300</v>
      </c>
      <c r="B304" s="177" t="str">
        <f t="shared" si="4"/>
        <v/>
      </c>
      <c r="C304" s="178"/>
      <c r="D304" s="179" t="str">
        <f>IF($C304="","",_xlfn.XLOOKUP($C304,StrategiesSolutions[S&amp;S ID],StrategiesSolutions[Risk ID],""))</f>
        <v/>
      </c>
      <c r="E304" s="178"/>
      <c r="F304" s="180"/>
      <c r="G304" s="180"/>
      <c r="H304" s="181"/>
      <c r="I304" s="180"/>
      <c r="J304" s="180"/>
      <c r="K304" s="180"/>
      <c r="L304" s="180"/>
      <c r="M304" s="182"/>
    </row>
  </sheetData>
  <sheetProtection selectLockedCells="1"/>
  <mergeCells count="2">
    <mergeCell ref="A1:M1"/>
    <mergeCell ref="A2:M2"/>
  </mergeCells>
  <dataValidations count="3">
    <dataValidation type="list" allowBlank="1" sqref="C5:C304" xr:uid="{00000000-0002-0000-0D00-000000000000}">
      <formula1>SSIDs</formula1>
      <formula2>0</formula2>
    </dataValidation>
    <dataValidation type="list" allowBlank="1" sqref="E5:E304" xr:uid="{00000000-0002-0000-0D00-000001000000}">
      <formula1>lstReqCat</formula1>
      <formula2>0</formula2>
    </dataValidation>
    <dataValidation type="list" allowBlank="1" showInputMessage="1" showErrorMessage="1" errorTitle="Invalid readiness status" error="Select Ready or In Progress." promptTitle="Requirement readiness" prompt="Select Ready when available and verified; otherwise select In Progress." sqref="M5:M304" xr:uid="{20CB0B26-D0AE-4FB0-AA97-6562154E1F42}">
      <formula1>"Ready,In Progress"</formula1>
    </dataValidation>
  </dataValidations>
  <pageMargins left="0.75" right="0.75" top="1" bottom="1" header="0.511811023622047" footer="0.51180555555555596"/>
  <pageSetup paperSize="9" orientation="portrait" horizontalDpi="300" verticalDpi="300"/>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92882"/>
  </sheetPr>
  <dimension ref="A1:U204"/>
  <sheetViews>
    <sheetView showGridLines="0" zoomScale="55" zoomScaleNormal="55" workbookViewId="0">
      <pane ySplit="4" topLeftCell="A5" activePane="bottomLeft" state="frozen"/>
      <selection pane="bottomLeft" sqref="A1:XFD1048576"/>
    </sheetView>
  </sheetViews>
  <sheetFormatPr defaultColWidth="8.54296875" defaultRowHeight="14.5" x14ac:dyDescent="0.35"/>
  <cols>
    <col min="1" max="1" width="12" bestFit="1" customWidth="1"/>
    <col min="2" max="2" width="14.26953125" bestFit="1" customWidth="1"/>
    <col min="3" max="3" width="27.90625" bestFit="1" customWidth="1"/>
    <col min="4" max="4" width="24" bestFit="1" customWidth="1"/>
    <col min="5" max="5" width="37.36328125" bestFit="1" customWidth="1"/>
    <col min="6" max="6" width="30.81640625" bestFit="1" customWidth="1"/>
    <col min="7" max="8" width="21.36328125" bestFit="1" customWidth="1"/>
    <col min="9" max="10" width="24.90625" bestFit="1" customWidth="1"/>
    <col min="11" max="11" width="19.7265625" bestFit="1" customWidth="1"/>
    <col min="12" max="12" width="24.90625" bestFit="1" customWidth="1"/>
    <col min="13" max="13" width="20.453125" bestFit="1" customWidth="1"/>
    <col min="14" max="14" width="21.36328125" bestFit="1" customWidth="1"/>
    <col min="15" max="15" width="14.7265625" bestFit="1" customWidth="1"/>
    <col min="16" max="16" width="21.6328125" bestFit="1" customWidth="1"/>
    <col min="17" max="17" width="20.7265625" bestFit="1" customWidth="1"/>
    <col min="18" max="18" width="23.1796875" bestFit="1" customWidth="1"/>
    <col min="19" max="20" width="23.7265625" bestFit="1" customWidth="1"/>
    <col min="21" max="21" width="17.7265625" bestFit="1" customWidth="1"/>
  </cols>
  <sheetData>
    <row r="1" spans="1:21" ht="18" customHeight="1" x14ac:dyDescent="0.35">
      <c r="A1" s="317"/>
      <c r="B1" s="315"/>
      <c r="C1" s="315"/>
      <c r="D1" s="315"/>
      <c r="E1" s="315"/>
      <c r="F1" s="315"/>
      <c r="G1" s="315"/>
      <c r="H1" s="315"/>
      <c r="I1" s="315"/>
      <c r="J1" s="315"/>
      <c r="K1" s="315"/>
      <c r="L1" s="315"/>
      <c r="M1" s="315"/>
      <c r="N1" s="315"/>
      <c r="O1" s="315"/>
      <c r="P1" s="315"/>
      <c r="Q1" s="315"/>
      <c r="R1" s="315"/>
    </row>
    <row r="2" spans="1:21" x14ac:dyDescent="0.35">
      <c r="A2" s="318" t="s">
        <v>660</v>
      </c>
      <c r="B2" s="315"/>
      <c r="C2" s="315"/>
      <c r="D2" s="315"/>
      <c r="E2" s="315"/>
      <c r="F2" s="315"/>
      <c r="G2" s="315"/>
      <c r="H2" s="315"/>
      <c r="I2" s="315"/>
      <c r="J2" s="315"/>
      <c r="K2" s="315"/>
      <c r="L2" s="315"/>
      <c r="M2" s="315"/>
      <c r="N2" s="315"/>
      <c r="O2" s="315"/>
      <c r="P2" s="315"/>
      <c r="Q2" s="315"/>
      <c r="R2" s="315"/>
    </row>
    <row r="3" spans="1:21" x14ac:dyDescent="0.35">
      <c r="F3" s="77"/>
    </row>
    <row r="4" spans="1:21" ht="21" customHeight="1" x14ac:dyDescent="0.35">
      <c r="A4" s="183" t="s">
        <v>237</v>
      </c>
      <c r="B4" s="184" t="s">
        <v>661</v>
      </c>
      <c r="C4" s="184" t="s">
        <v>692</v>
      </c>
      <c r="D4" s="184" t="s">
        <v>706</v>
      </c>
      <c r="E4" s="184" t="s">
        <v>714</v>
      </c>
      <c r="F4" s="184" t="s">
        <v>720</v>
      </c>
      <c r="G4" s="184" t="s">
        <v>367</v>
      </c>
      <c r="H4" s="184" t="s">
        <v>368</v>
      </c>
      <c r="I4" s="184" t="s">
        <v>662</v>
      </c>
      <c r="J4" s="184" t="s">
        <v>663</v>
      </c>
      <c r="K4" s="184" t="s">
        <v>664</v>
      </c>
      <c r="L4" s="184" t="s">
        <v>665</v>
      </c>
      <c r="M4" s="184" t="s">
        <v>666</v>
      </c>
      <c r="N4" s="184" t="s">
        <v>768</v>
      </c>
      <c r="O4" s="184" t="s">
        <v>667</v>
      </c>
      <c r="P4" s="184" t="s">
        <v>668</v>
      </c>
      <c r="Q4" s="184" t="s">
        <v>351</v>
      </c>
      <c r="R4" s="184" t="s">
        <v>669</v>
      </c>
      <c r="S4" s="184" t="s">
        <v>670</v>
      </c>
      <c r="T4" s="185" t="s">
        <v>671</v>
      </c>
    </row>
    <row r="5" spans="1:21" ht="21" customHeight="1" x14ac:dyDescent="0.35">
      <c r="A5" s="270">
        <f>ROW()-4</f>
        <v>1</v>
      </c>
      <c r="B5" s="272" t="str">
        <f>IF(AND(ITDRRegister[[#This Row],[Dependency category]]="",ITDRRegister[[#This Row],[Dependency area]]=""),"","DR-"&amp;TEXT($A5,"000"))</f>
        <v/>
      </c>
      <c r="C5" s="37"/>
      <c r="D5" s="35"/>
      <c r="E5" s="38"/>
      <c r="F5" s="34"/>
      <c r="G5" s="1"/>
      <c r="H5" s="1"/>
      <c r="I5" s="1"/>
      <c r="J5" s="1"/>
      <c r="K5" s="141"/>
      <c r="L5" s="34"/>
      <c r="M5" s="133"/>
      <c r="N5" s="133"/>
      <c r="O5" s="142"/>
      <c r="P5" s="273" t="str">
        <f>IF($M5="","",EDATE($M5,12))</f>
        <v/>
      </c>
      <c r="Q5" s="274" t="str">
        <f ca="1">IF($E5="","",IF($K5="None (gap)","GAP - no DR",IF(OR($S5="Not Assessed",$T5="Not Assessed"),"Recovery Targets Incomplete",IF($M5="","Not Tested",IF(AND($P5&lt;&gt;"",$P5&lt;TODAY()),"Test Overdue",IF($O5="","Not Tested",IF($O5&lt;&gt;"Pass","Retest Required",IF(OR($S5&lt;&gt;"RTO Complied",$T5&lt;&gt;"RPO Complied"),"Recovery Not Compliant","Tested &amp; Current"))))))))</f>
        <v/>
      </c>
      <c r="R5" s="34"/>
      <c r="S5" s="274" t="str">
        <f>IF($E5="","",IF(OR(NOT(ISNUMBER($G5)),NOT(ISNUMBER($I5))),"Not Assessed",IF($I5&lt;=$G5,"RTO Complied","RTO Not Complied")))</f>
        <v/>
      </c>
      <c r="T5" s="277" t="str">
        <f>IF($E5="","",IF(OR(NOT(ISNUMBER($H5)),NOT(ISNUMBER($J5))),"Not Assessed",IF($J5&lt;=$H5,"RPO Complied","RPO Not Complied")))</f>
        <v/>
      </c>
    </row>
    <row r="6" spans="1:21" ht="21" customHeight="1" x14ac:dyDescent="0.35">
      <c r="A6" s="270">
        <f t="shared" ref="A6:A69" si="0">ROW()-4</f>
        <v>2</v>
      </c>
      <c r="B6" s="272" t="str">
        <f>IF(AND(ITDRRegister[[#This Row],[Dependency category]]="",ITDRRegister[[#This Row],[Dependency area]]=""),"","DR-"&amp;TEXT($A6,"000"))</f>
        <v/>
      </c>
      <c r="C6" s="37"/>
      <c r="D6" s="35"/>
      <c r="E6" s="38"/>
      <c r="F6" s="34"/>
      <c r="G6" s="1"/>
      <c r="H6" s="1"/>
      <c r="I6" s="1"/>
      <c r="J6" s="1"/>
      <c r="K6" s="141"/>
      <c r="L6" s="34"/>
      <c r="M6" s="133"/>
      <c r="N6" s="133"/>
      <c r="O6" s="142"/>
      <c r="P6" s="273" t="str">
        <f t="shared" ref="P6:P69" si="1">IF($M6="","",EDATE($M6,12))</f>
        <v/>
      </c>
      <c r="Q6" s="274" t="str">
        <f t="shared" ref="Q6:Q69" ca="1" si="2">IF($E6="","",IF($K6="None (gap)","GAP - no DR",IF(OR($S6="Not Assessed",$T6="Not Assessed"),"Recovery Targets Incomplete",IF($M6="","Not Tested",IF(AND($P6&lt;&gt;"",$P6&lt;TODAY()),"Test Overdue",IF($O6="","Not Tested",IF($O6&lt;&gt;"Pass","Retest Required",IF(OR($S6&lt;&gt;"RTO Complied",$T6&lt;&gt;"RPO Complied"),"Recovery Not Compliant","Tested &amp; Current"))))))))</f>
        <v/>
      </c>
      <c r="R6" s="34"/>
      <c r="S6" s="274" t="str">
        <f t="shared" ref="S6:S69" si="3">IF($E6="","",IF(OR(NOT(ISNUMBER($G6)),NOT(ISNUMBER($I6))),"Not Assessed",IF($I6&lt;=$G6,"RTO Complied","RTO Not Complied")))</f>
        <v/>
      </c>
      <c r="T6" s="277" t="str">
        <f t="shared" ref="T6:T69" si="4">IF($E6="","",IF(OR(NOT(ISNUMBER($H6)),NOT(ISNUMBER($J6))),"Not Assessed",IF($J6&lt;=$H6,"RPO Complied","RPO Not Complied")))</f>
        <v/>
      </c>
    </row>
    <row r="7" spans="1:21" ht="21" customHeight="1" x14ac:dyDescent="0.35">
      <c r="A7" s="270">
        <f t="shared" si="0"/>
        <v>3</v>
      </c>
      <c r="B7" s="272" t="str">
        <f>IF(AND(ITDRRegister[[#This Row],[Dependency category]]="",ITDRRegister[[#This Row],[Dependency area]]=""),"","DR-"&amp;TEXT($A7,"000"))</f>
        <v/>
      </c>
      <c r="C7" s="37"/>
      <c r="D7" s="35"/>
      <c r="E7" s="38"/>
      <c r="F7" s="34"/>
      <c r="G7" s="1"/>
      <c r="H7" s="1"/>
      <c r="I7" s="1"/>
      <c r="J7" s="1"/>
      <c r="K7" s="141"/>
      <c r="L7" s="34"/>
      <c r="M7" s="133"/>
      <c r="N7" s="133"/>
      <c r="O7" s="142"/>
      <c r="P7" s="273" t="str">
        <f t="shared" si="1"/>
        <v/>
      </c>
      <c r="Q7" s="274" t="str">
        <f t="shared" ca="1" si="2"/>
        <v/>
      </c>
      <c r="R7" s="34"/>
      <c r="S7" s="274" t="str">
        <f t="shared" si="3"/>
        <v/>
      </c>
      <c r="T7" s="277" t="str">
        <f t="shared" si="4"/>
        <v/>
      </c>
    </row>
    <row r="8" spans="1:21" ht="21" customHeight="1" x14ac:dyDescent="0.35">
      <c r="A8" s="270">
        <f t="shared" si="0"/>
        <v>4</v>
      </c>
      <c r="B8" s="272" t="str">
        <f>IF(AND(ITDRRegister[[#This Row],[Dependency category]]="",ITDRRegister[[#This Row],[Dependency area]]=""),"","DR-"&amp;TEXT($A8,"000"))</f>
        <v/>
      </c>
      <c r="C8" s="37"/>
      <c r="D8" s="35"/>
      <c r="E8" s="38"/>
      <c r="F8" s="34"/>
      <c r="G8" s="1"/>
      <c r="H8" s="1"/>
      <c r="I8" s="1"/>
      <c r="J8" s="1"/>
      <c r="K8" s="141"/>
      <c r="L8" s="34"/>
      <c r="M8" s="133"/>
      <c r="N8" s="133"/>
      <c r="O8" s="142"/>
      <c r="P8" s="273" t="str">
        <f t="shared" si="1"/>
        <v/>
      </c>
      <c r="Q8" s="274" t="str">
        <f t="shared" ca="1" si="2"/>
        <v/>
      </c>
      <c r="R8" s="34"/>
      <c r="S8" s="274" t="str">
        <f t="shared" si="3"/>
        <v/>
      </c>
      <c r="T8" s="277" t="str">
        <f t="shared" si="4"/>
        <v/>
      </c>
    </row>
    <row r="9" spans="1:21" ht="20.25" customHeight="1" x14ac:dyDescent="0.35">
      <c r="A9" s="270">
        <f t="shared" si="0"/>
        <v>5</v>
      </c>
      <c r="B9" s="272" t="str">
        <f>IF(AND(ITDRRegister[[#This Row],[Dependency category]]="",ITDRRegister[[#This Row],[Dependency area]]=""),"","DR-"&amp;TEXT($A9,"000"))</f>
        <v/>
      </c>
      <c r="C9" s="37"/>
      <c r="D9" s="35"/>
      <c r="E9" s="38"/>
      <c r="F9" s="34"/>
      <c r="G9" s="1"/>
      <c r="H9" s="1"/>
      <c r="I9" s="1"/>
      <c r="J9" s="1"/>
      <c r="K9" s="141"/>
      <c r="L9" s="34"/>
      <c r="M9" s="133"/>
      <c r="N9" s="133"/>
      <c r="O9" s="142"/>
      <c r="P9" s="273" t="str">
        <f t="shared" si="1"/>
        <v/>
      </c>
      <c r="Q9" s="274" t="str">
        <f t="shared" ca="1" si="2"/>
        <v/>
      </c>
      <c r="R9" s="34"/>
      <c r="S9" s="274" t="str">
        <f t="shared" si="3"/>
        <v/>
      </c>
      <c r="T9" s="277" t="str">
        <f t="shared" si="4"/>
        <v/>
      </c>
    </row>
    <row r="10" spans="1:21" ht="21" customHeight="1" x14ac:dyDescent="0.35">
      <c r="A10" s="270">
        <f t="shared" si="0"/>
        <v>6</v>
      </c>
      <c r="B10" s="272" t="str">
        <f>IF(AND(ITDRRegister[[#This Row],[Dependency category]]="",ITDRRegister[[#This Row],[Dependency area]]=""),"","DR-"&amp;TEXT($A10,"000"))</f>
        <v/>
      </c>
      <c r="C10" s="37"/>
      <c r="D10" s="35"/>
      <c r="E10" s="38"/>
      <c r="F10" s="34"/>
      <c r="G10" s="1"/>
      <c r="H10" s="1"/>
      <c r="I10" s="1"/>
      <c r="J10" s="1"/>
      <c r="K10" s="141"/>
      <c r="L10" s="34"/>
      <c r="M10" s="133"/>
      <c r="N10" s="133"/>
      <c r="O10" s="142"/>
      <c r="P10" s="273" t="str">
        <f t="shared" si="1"/>
        <v/>
      </c>
      <c r="Q10" s="274" t="str">
        <f t="shared" ca="1" si="2"/>
        <v/>
      </c>
      <c r="R10" s="34"/>
      <c r="S10" s="274" t="str">
        <f t="shared" si="3"/>
        <v/>
      </c>
      <c r="T10" s="277" t="str">
        <f t="shared" si="4"/>
        <v/>
      </c>
      <c r="U10" s="77"/>
    </row>
    <row r="11" spans="1:21" ht="20.25" customHeight="1" x14ac:dyDescent="0.35">
      <c r="A11" s="270">
        <f t="shared" si="0"/>
        <v>7</v>
      </c>
      <c r="B11" s="272" t="str">
        <f>IF(AND(ITDRRegister[[#This Row],[Dependency category]]="",ITDRRegister[[#This Row],[Dependency area]]=""),"","DR-"&amp;TEXT($A11,"000"))</f>
        <v/>
      </c>
      <c r="C11" s="37"/>
      <c r="D11" s="35"/>
      <c r="E11" s="38"/>
      <c r="F11" s="34"/>
      <c r="G11" s="1"/>
      <c r="H11" s="1"/>
      <c r="I11" s="1"/>
      <c r="J11" s="1"/>
      <c r="K11" s="141"/>
      <c r="L11" s="34"/>
      <c r="M11" s="133"/>
      <c r="N11" s="133"/>
      <c r="O11" s="142"/>
      <c r="P11" s="273" t="str">
        <f t="shared" si="1"/>
        <v/>
      </c>
      <c r="Q11" s="274" t="str">
        <f t="shared" ca="1" si="2"/>
        <v/>
      </c>
      <c r="R11" s="34"/>
      <c r="S11" s="274" t="str">
        <f t="shared" si="3"/>
        <v/>
      </c>
      <c r="T11" s="277" t="str">
        <f t="shared" si="4"/>
        <v/>
      </c>
    </row>
    <row r="12" spans="1:21" ht="21" customHeight="1" x14ac:dyDescent="0.35">
      <c r="A12" s="270">
        <f t="shared" si="0"/>
        <v>8</v>
      </c>
      <c r="B12" s="272" t="str">
        <f>IF(AND(ITDRRegister[[#This Row],[Dependency category]]="",ITDRRegister[[#This Row],[Dependency area]]=""),"","DR-"&amp;TEXT($A12,"000"))</f>
        <v/>
      </c>
      <c r="C12" s="37"/>
      <c r="D12" s="35"/>
      <c r="E12" s="38"/>
      <c r="F12" s="34"/>
      <c r="G12" s="1"/>
      <c r="H12" s="1"/>
      <c r="I12" s="1"/>
      <c r="J12" s="1"/>
      <c r="K12" s="141"/>
      <c r="L12" s="34"/>
      <c r="M12" s="133"/>
      <c r="N12" s="133"/>
      <c r="O12" s="142"/>
      <c r="P12" s="273" t="str">
        <f t="shared" si="1"/>
        <v/>
      </c>
      <c r="Q12" s="274" t="str">
        <f t="shared" ca="1" si="2"/>
        <v/>
      </c>
      <c r="R12" s="34"/>
      <c r="S12" s="274" t="str">
        <f t="shared" si="3"/>
        <v/>
      </c>
      <c r="T12" s="277" t="str">
        <f t="shared" si="4"/>
        <v/>
      </c>
    </row>
    <row r="13" spans="1:21" ht="20.25" customHeight="1" x14ac:dyDescent="0.35">
      <c r="A13" s="270">
        <f t="shared" si="0"/>
        <v>9</v>
      </c>
      <c r="B13" s="272" t="str">
        <f>IF(AND(ITDRRegister[[#This Row],[Dependency category]]="",ITDRRegister[[#This Row],[Dependency area]]=""),"","DR-"&amp;TEXT($A13,"000"))</f>
        <v/>
      </c>
      <c r="C13" s="37"/>
      <c r="D13" s="35"/>
      <c r="E13" s="38"/>
      <c r="F13" s="34"/>
      <c r="G13" s="1"/>
      <c r="H13" s="1"/>
      <c r="I13" s="1"/>
      <c r="J13" s="1"/>
      <c r="K13" s="141"/>
      <c r="L13" s="34"/>
      <c r="M13" s="133"/>
      <c r="N13" s="133"/>
      <c r="O13" s="142"/>
      <c r="P13" s="273" t="str">
        <f t="shared" si="1"/>
        <v/>
      </c>
      <c r="Q13" s="274" t="str">
        <f t="shared" ca="1" si="2"/>
        <v/>
      </c>
      <c r="R13" s="34"/>
      <c r="S13" s="274" t="str">
        <f t="shared" si="3"/>
        <v/>
      </c>
      <c r="T13" s="277" t="str">
        <f t="shared" si="4"/>
        <v/>
      </c>
    </row>
    <row r="14" spans="1:21" ht="20.25" customHeight="1" x14ac:dyDescent="0.35">
      <c r="A14" s="270">
        <f t="shared" si="0"/>
        <v>10</v>
      </c>
      <c r="B14" s="272" t="str">
        <f>IF(AND(ITDRRegister[[#This Row],[Dependency category]]="",ITDRRegister[[#This Row],[Dependency area]]=""),"","DR-"&amp;TEXT($A14,"000"))</f>
        <v/>
      </c>
      <c r="C14" s="37"/>
      <c r="D14" s="35"/>
      <c r="E14" s="38"/>
      <c r="F14" s="34"/>
      <c r="G14" s="1"/>
      <c r="H14" s="1"/>
      <c r="I14" s="1"/>
      <c r="J14" s="1"/>
      <c r="K14" s="141"/>
      <c r="L14" s="34"/>
      <c r="M14" s="133"/>
      <c r="N14" s="133"/>
      <c r="O14" s="142"/>
      <c r="P14" s="273" t="str">
        <f t="shared" si="1"/>
        <v/>
      </c>
      <c r="Q14" s="274" t="str">
        <f t="shared" ca="1" si="2"/>
        <v/>
      </c>
      <c r="R14" s="34"/>
      <c r="S14" s="274" t="str">
        <f t="shared" si="3"/>
        <v/>
      </c>
      <c r="T14" s="277" t="str">
        <f t="shared" si="4"/>
        <v/>
      </c>
    </row>
    <row r="15" spans="1:21" ht="21" customHeight="1" x14ac:dyDescent="0.35">
      <c r="A15" s="270">
        <f t="shared" si="0"/>
        <v>11</v>
      </c>
      <c r="B15" s="272" t="str">
        <f>IF(AND(ITDRRegister[[#This Row],[Dependency category]]="",ITDRRegister[[#This Row],[Dependency area]]=""),"","DR-"&amp;TEXT($A15,"000"))</f>
        <v/>
      </c>
      <c r="C15" s="37"/>
      <c r="D15" s="35"/>
      <c r="E15" s="38"/>
      <c r="F15" s="34"/>
      <c r="G15" s="1"/>
      <c r="H15" s="1"/>
      <c r="I15" s="1"/>
      <c r="J15" s="1"/>
      <c r="K15" s="141"/>
      <c r="L15" s="34"/>
      <c r="M15" s="133"/>
      <c r="N15" s="133"/>
      <c r="O15" s="142"/>
      <c r="P15" s="273" t="str">
        <f t="shared" si="1"/>
        <v/>
      </c>
      <c r="Q15" s="274" t="str">
        <f t="shared" ca="1" si="2"/>
        <v/>
      </c>
      <c r="R15" s="34"/>
      <c r="S15" s="274" t="str">
        <f t="shared" si="3"/>
        <v/>
      </c>
      <c r="T15" s="277" t="str">
        <f t="shared" si="4"/>
        <v/>
      </c>
    </row>
    <row r="16" spans="1:21" ht="20.25" customHeight="1" x14ac:dyDescent="0.35">
      <c r="A16" s="270">
        <f t="shared" si="0"/>
        <v>12</v>
      </c>
      <c r="B16" s="272" t="str">
        <f>IF(AND(ITDRRegister[[#This Row],[Dependency category]]="",ITDRRegister[[#This Row],[Dependency area]]=""),"","DR-"&amp;TEXT($A16,"000"))</f>
        <v/>
      </c>
      <c r="C16" s="37"/>
      <c r="D16" s="35"/>
      <c r="E16" s="38"/>
      <c r="F16" s="34"/>
      <c r="G16" s="1"/>
      <c r="H16" s="1"/>
      <c r="I16" s="1"/>
      <c r="J16" s="1"/>
      <c r="K16" s="141"/>
      <c r="L16" s="34"/>
      <c r="M16" s="133"/>
      <c r="N16" s="133"/>
      <c r="O16" s="142"/>
      <c r="P16" s="273" t="str">
        <f t="shared" si="1"/>
        <v/>
      </c>
      <c r="Q16" s="274" t="str">
        <f t="shared" ca="1" si="2"/>
        <v/>
      </c>
      <c r="R16" s="34"/>
      <c r="S16" s="274" t="str">
        <f t="shared" si="3"/>
        <v/>
      </c>
      <c r="T16" s="277" t="str">
        <f t="shared" si="4"/>
        <v/>
      </c>
    </row>
    <row r="17" spans="1:20" x14ac:dyDescent="0.35">
      <c r="A17" s="270">
        <f t="shared" si="0"/>
        <v>13</v>
      </c>
      <c r="B17" s="272" t="str">
        <f>IF(AND(ITDRRegister[[#This Row],[Dependency category]]="",ITDRRegister[[#This Row],[Dependency area]]=""),"","DR-"&amp;TEXT($A17,"000"))</f>
        <v/>
      </c>
      <c r="C17" s="37"/>
      <c r="D17" s="35"/>
      <c r="E17" s="38"/>
      <c r="F17" s="34"/>
      <c r="G17" s="1"/>
      <c r="H17" s="1"/>
      <c r="I17" s="1"/>
      <c r="J17" s="1"/>
      <c r="K17" s="141"/>
      <c r="L17" s="34"/>
      <c r="M17" s="133"/>
      <c r="N17" s="133"/>
      <c r="O17" s="142"/>
      <c r="P17" s="273" t="str">
        <f t="shared" si="1"/>
        <v/>
      </c>
      <c r="Q17" s="274" t="str">
        <f t="shared" ca="1" si="2"/>
        <v/>
      </c>
      <c r="R17" s="34"/>
      <c r="S17" s="274" t="str">
        <f t="shared" si="3"/>
        <v/>
      </c>
      <c r="T17" s="277" t="str">
        <f t="shared" si="4"/>
        <v/>
      </c>
    </row>
    <row r="18" spans="1:20" ht="20.25" customHeight="1" x14ac:dyDescent="0.35">
      <c r="A18" s="270">
        <f t="shared" si="0"/>
        <v>14</v>
      </c>
      <c r="B18" s="272" t="str">
        <f>IF(AND(ITDRRegister[[#This Row],[Dependency category]]="",ITDRRegister[[#This Row],[Dependency area]]=""),"","DR-"&amp;TEXT($A18,"000"))</f>
        <v/>
      </c>
      <c r="C18" s="37"/>
      <c r="D18" s="35"/>
      <c r="E18" s="38"/>
      <c r="F18" s="34"/>
      <c r="G18" s="1"/>
      <c r="H18" s="1"/>
      <c r="I18" s="1"/>
      <c r="J18" s="1"/>
      <c r="K18" s="141"/>
      <c r="L18" s="34"/>
      <c r="M18" s="133"/>
      <c r="N18" s="133"/>
      <c r="O18" s="142"/>
      <c r="P18" s="273" t="str">
        <f t="shared" si="1"/>
        <v/>
      </c>
      <c r="Q18" s="274" t="str">
        <f t="shared" ca="1" si="2"/>
        <v/>
      </c>
      <c r="R18" s="34"/>
      <c r="S18" s="274" t="str">
        <f t="shared" si="3"/>
        <v/>
      </c>
      <c r="T18" s="277" t="str">
        <f t="shared" si="4"/>
        <v/>
      </c>
    </row>
    <row r="19" spans="1:20" x14ac:dyDescent="0.35">
      <c r="A19" s="270">
        <f t="shared" si="0"/>
        <v>15</v>
      </c>
      <c r="B19" s="272" t="str">
        <f>IF(AND(ITDRRegister[[#This Row],[Dependency category]]="",ITDRRegister[[#This Row],[Dependency area]]=""),"","DR-"&amp;TEXT($A19,"000"))</f>
        <v/>
      </c>
      <c r="C19" s="37"/>
      <c r="D19" s="35"/>
      <c r="E19" s="38"/>
      <c r="F19" s="34"/>
      <c r="G19" s="1"/>
      <c r="H19" s="1"/>
      <c r="I19" s="1"/>
      <c r="J19" s="1"/>
      <c r="K19" s="141"/>
      <c r="L19" s="34"/>
      <c r="M19" s="133"/>
      <c r="N19" s="133"/>
      <c r="O19" s="142"/>
      <c r="P19" s="273" t="str">
        <f t="shared" si="1"/>
        <v/>
      </c>
      <c r="Q19" s="274" t="str">
        <f t="shared" ca="1" si="2"/>
        <v/>
      </c>
      <c r="R19" s="34"/>
      <c r="S19" s="274" t="str">
        <f t="shared" si="3"/>
        <v/>
      </c>
      <c r="T19" s="277" t="str">
        <f t="shared" si="4"/>
        <v/>
      </c>
    </row>
    <row r="20" spans="1:20" ht="20.25" customHeight="1" x14ac:dyDescent="0.35">
      <c r="A20" s="270">
        <f t="shared" si="0"/>
        <v>16</v>
      </c>
      <c r="B20" s="272" t="str">
        <f>IF(AND(ITDRRegister[[#This Row],[Dependency category]]="",ITDRRegister[[#This Row],[Dependency area]]=""),"","DR-"&amp;TEXT($A20,"000"))</f>
        <v/>
      </c>
      <c r="C20" s="37"/>
      <c r="D20" s="35"/>
      <c r="E20" s="38"/>
      <c r="F20" s="34"/>
      <c r="G20" s="1"/>
      <c r="H20" s="1"/>
      <c r="I20" s="1"/>
      <c r="J20" s="1"/>
      <c r="K20" s="141"/>
      <c r="L20" s="34"/>
      <c r="M20" s="133"/>
      <c r="N20" s="133"/>
      <c r="O20" s="142"/>
      <c r="P20" s="273" t="str">
        <f t="shared" si="1"/>
        <v/>
      </c>
      <c r="Q20" s="274" t="str">
        <f t="shared" ca="1" si="2"/>
        <v/>
      </c>
      <c r="R20" s="34"/>
      <c r="S20" s="274" t="str">
        <f t="shared" si="3"/>
        <v/>
      </c>
      <c r="T20" s="277" t="str">
        <f t="shared" si="4"/>
        <v/>
      </c>
    </row>
    <row r="21" spans="1:20" ht="20.25" customHeight="1" x14ac:dyDescent="0.35">
      <c r="A21" s="270">
        <f t="shared" si="0"/>
        <v>17</v>
      </c>
      <c r="B21" s="272" t="str">
        <f>IF(AND(ITDRRegister[[#This Row],[Dependency category]]="",ITDRRegister[[#This Row],[Dependency area]]=""),"","DR-"&amp;TEXT($A21,"000"))</f>
        <v/>
      </c>
      <c r="C21" s="37"/>
      <c r="D21" s="35"/>
      <c r="E21" s="38"/>
      <c r="F21" s="34"/>
      <c r="G21" s="1"/>
      <c r="H21" s="1"/>
      <c r="I21" s="1"/>
      <c r="J21" s="1"/>
      <c r="K21" s="141"/>
      <c r="L21" s="34"/>
      <c r="M21" s="133"/>
      <c r="N21" s="133"/>
      <c r="O21" s="142"/>
      <c r="P21" s="273" t="str">
        <f t="shared" si="1"/>
        <v/>
      </c>
      <c r="Q21" s="274" t="str">
        <f t="shared" ca="1" si="2"/>
        <v/>
      </c>
      <c r="R21" s="34"/>
      <c r="S21" s="274" t="str">
        <f t="shared" si="3"/>
        <v/>
      </c>
      <c r="T21" s="277" t="str">
        <f t="shared" si="4"/>
        <v/>
      </c>
    </row>
    <row r="22" spans="1:20" x14ac:dyDescent="0.35">
      <c r="A22" s="270">
        <f t="shared" si="0"/>
        <v>18</v>
      </c>
      <c r="B22" s="272" t="str">
        <f>IF(AND(ITDRRegister[[#This Row],[Dependency category]]="",ITDRRegister[[#This Row],[Dependency area]]=""),"","DR-"&amp;TEXT($A22,"000"))</f>
        <v/>
      </c>
      <c r="C22" s="37"/>
      <c r="D22" s="35"/>
      <c r="E22" s="38"/>
      <c r="F22" s="34"/>
      <c r="G22" s="1"/>
      <c r="H22" s="1"/>
      <c r="I22" s="1"/>
      <c r="J22" s="1"/>
      <c r="K22" s="141"/>
      <c r="L22" s="34"/>
      <c r="M22" s="133"/>
      <c r="N22" s="133"/>
      <c r="O22" s="142"/>
      <c r="P22" s="273" t="str">
        <f t="shared" si="1"/>
        <v/>
      </c>
      <c r="Q22" s="274" t="str">
        <f t="shared" ca="1" si="2"/>
        <v/>
      </c>
      <c r="R22" s="34"/>
      <c r="S22" s="274" t="str">
        <f t="shared" si="3"/>
        <v/>
      </c>
      <c r="T22" s="277" t="str">
        <f t="shared" si="4"/>
        <v/>
      </c>
    </row>
    <row r="23" spans="1:20" x14ac:dyDescent="0.35">
      <c r="A23" s="270">
        <f t="shared" si="0"/>
        <v>19</v>
      </c>
      <c r="B23" s="272" t="str">
        <f>IF(AND(ITDRRegister[[#This Row],[Dependency category]]="",ITDRRegister[[#This Row],[Dependency area]]=""),"","DR-"&amp;TEXT($A23,"000"))</f>
        <v/>
      </c>
      <c r="C23" s="37"/>
      <c r="D23" s="35"/>
      <c r="E23" s="38"/>
      <c r="F23" s="34"/>
      <c r="G23" s="1"/>
      <c r="H23" s="1"/>
      <c r="I23" s="1"/>
      <c r="J23" s="1"/>
      <c r="K23" s="141"/>
      <c r="L23" s="34"/>
      <c r="M23" s="133"/>
      <c r="N23" s="133"/>
      <c r="O23" s="142"/>
      <c r="P23" s="273" t="str">
        <f t="shared" si="1"/>
        <v/>
      </c>
      <c r="Q23" s="274" t="str">
        <f t="shared" ca="1" si="2"/>
        <v/>
      </c>
      <c r="R23" s="34"/>
      <c r="S23" s="274" t="str">
        <f t="shared" si="3"/>
        <v/>
      </c>
      <c r="T23" s="277" t="str">
        <f t="shared" si="4"/>
        <v/>
      </c>
    </row>
    <row r="24" spans="1:20" x14ac:dyDescent="0.35">
      <c r="A24" s="270">
        <f t="shared" si="0"/>
        <v>20</v>
      </c>
      <c r="B24" s="272" t="str">
        <f>IF(AND(ITDRRegister[[#This Row],[Dependency category]]="",ITDRRegister[[#This Row],[Dependency area]]=""),"","DR-"&amp;TEXT($A24,"000"))</f>
        <v/>
      </c>
      <c r="C24" s="37"/>
      <c r="D24" s="35"/>
      <c r="E24" s="38"/>
      <c r="F24" s="34"/>
      <c r="G24" s="1"/>
      <c r="H24" s="1"/>
      <c r="I24" s="1"/>
      <c r="J24" s="1"/>
      <c r="K24" s="141"/>
      <c r="L24" s="34"/>
      <c r="M24" s="133"/>
      <c r="N24" s="133"/>
      <c r="O24" s="142"/>
      <c r="P24" s="273" t="str">
        <f t="shared" si="1"/>
        <v/>
      </c>
      <c r="Q24" s="274" t="str">
        <f t="shared" ca="1" si="2"/>
        <v/>
      </c>
      <c r="R24" s="34"/>
      <c r="S24" s="274" t="str">
        <f t="shared" si="3"/>
        <v/>
      </c>
      <c r="T24" s="277" t="str">
        <f t="shared" si="4"/>
        <v/>
      </c>
    </row>
    <row r="25" spans="1:20" x14ac:dyDescent="0.35">
      <c r="A25" s="270">
        <f t="shared" si="0"/>
        <v>21</v>
      </c>
      <c r="B25" s="272" t="str">
        <f>IF(AND(ITDRRegister[[#This Row],[Dependency category]]="",ITDRRegister[[#This Row],[Dependency area]]=""),"","DR-"&amp;TEXT($A25,"000"))</f>
        <v/>
      </c>
      <c r="C25" s="37"/>
      <c r="D25" s="35"/>
      <c r="E25" s="38"/>
      <c r="F25" s="34"/>
      <c r="G25" s="1"/>
      <c r="H25" s="1"/>
      <c r="I25" s="1"/>
      <c r="J25" s="1"/>
      <c r="K25" s="141"/>
      <c r="L25" s="34"/>
      <c r="M25" s="133"/>
      <c r="N25" s="133"/>
      <c r="O25" s="142"/>
      <c r="P25" s="273" t="str">
        <f t="shared" si="1"/>
        <v/>
      </c>
      <c r="Q25" s="274" t="str">
        <f t="shared" ca="1" si="2"/>
        <v/>
      </c>
      <c r="R25" s="34"/>
      <c r="S25" s="274" t="str">
        <f t="shared" si="3"/>
        <v/>
      </c>
      <c r="T25" s="277" t="str">
        <f t="shared" si="4"/>
        <v/>
      </c>
    </row>
    <row r="26" spans="1:20" x14ac:dyDescent="0.35">
      <c r="A26" s="270">
        <f t="shared" si="0"/>
        <v>22</v>
      </c>
      <c r="B26" s="272" t="str">
        <f>IF(AND(ITDRRegister[[#This Row],[Dependency category]]="",ITDRRegister[[#This Row],[Dependency area]]=""),"","DR-"&amp;TEXT($A26,"000"))</f>
        <v/>
      </c>
      <c r="C26" s="37"/>
      <c r="D26" s="35"/>
      <c r="E26" s="38"/>
      <c r="F26" s="34"/>
      <c r="G26" s="1"/>
      <c r="H26" s="1"/>
      <c r="I26" s="1"/>
      <c r="J26" s="1"/>
      <c r="K26" s="141"/>
      <c r="L26" s="34"/>
      <c r="M26" s="133"/>
      <c r="N26" s="133"/>
      <c r="O26" s="142"/>
      <c r="P26" s="273" t="str">
        <f t="shared" si="1"/>
        <v/>
      </c>
      <c r="Q26" s="274" t="str">
        <f t="shared" ca="1" si="2"/>
        <v/>
      </c>
      <c r="R26" s="34"/>
      <c r="S26" s="274" t="str">
        <f t="shared" si="3"/>
        <v/>
      </c>
      <c r="T26" s="277" t="str">
        <f t="shared" si="4"/>
        <v/>
      </c>
    </row>
    <row r="27" spans="1:20" ht="20.25" customHeight="1" x14ac:dyDescent="0.35">
      <c r="A27" s="270">
        <f t="shared" si="0"/>
        <v>23</v>
      </c>
      <c r="B27" s="272" t="str">
        <f>IF(AND(ITDRRegister[[#This Row],[Dependency category]]="",ITDRRegister[[#This Row],[Dependency area]]=""),"","DR-"&amp;TEXT($A27,"000"))</f>
        <v/>
      </c>
      <c r="C27" s="37"/>
      <c r="D27" s="35"/>
      <c r="E27" s="38"/>
      <c r="F27" s="34"/>
      <c r="G27" s="1"/>
      <c r="H27" s="1"/>
      <c r="I27" s="1"/>
      <c r="J27" s="1"/>
      <c r="K27" s="141"/>
      <c r="L27" s="34"/>
      <c r="M27" s="133"/>
      <c r="N27" s="133"/>
      <c r="O27" s="142"/>
      <c r="P27" s="273" t="str">
        <f t="shared" si="1"/>
        <v/>
      </c>
      <c r="Q27" s="274" t="str">
        <f t="shared" ca="1" si="2"/>
        <v/>
      </c>
      <c r="R27" s="34"/>
      <c r="S27" s="274" t="str">
        <f t="shared" si="3"/>
        <v/>
      </c>
      <c r="T27" s="277" t="str">
        <f t="shared" si="4"/>
        <v/>
      </c>
    </row>
    <row r="28" spans="1:20" ht="20.25" customHeight="1" x14ac:dyDescent="0.35">
      <c r="A28" s="270">
        <f t="shared" si="0"/>
        <v>24</v>
      </c>
      <c r="B28" s="272" t="str">
        <f>IF(AND(ITDRRegister[[#This Row],[Dependency category]]="",ITDRRegister[[#This Row],[Dependency area]]=""),"","DR-"&amp;TEXT($A28,"000"))</f>
        <v/>
      </c>
      <c r="C28" s="37"/>
      <c r="D28" s="35"/>
      <c r="E28" s="38"/>
      <c r="F28" s="34"/>
      <c r="G28" s="1"/>
      <c r="H28" s="1"/>
      <c r="I28" s="1"/>
      <c r="J28" s="1"/>
      <c r="K28" s="141"/>
      <c r="L28" s="34"/>
      <c r="M28" s="133"/>
      <c r="N28" s="133"/>
      <c r="O28" s="142"/>
      <c r="P28" s="273" t="str">
        <f t="shared" si="1"/>
        <v/>
      </c>
      <c r="Q28" s="274" t="str">
        <f t="shared" ca="1" si="2"/>
        <v/>
      </c>
      <c r="R28" s="34"/>
      <c r="S28" s="274" t="str">
        <f t="shared" si="3"/>
        <v/>
      </c>
      <c r="T28" s="277" t="str">
        <f t="shared" si="4"/>
        <v/>
      </c>
    </row>
    <row r="29" spans="1:20" x14ac:dyDescent="0.35">
      <c r="A29" s="270">
        <f t="shared" si="0"/>
        <v>25</v>
      </c>
      <c r="B29" s="272" t="str">
        <f>IF(AND(ITDRRegister[[#This Row],[Dependency category]]="",ITDRRegister[[#This Row],[Dependency area]]=""),"","DR-"&amp;TEXT($A29,"000"))</f>
        <v/>
      </c>
      <c r="C29" s="37"/>
      <c r="D29" s="35"/>
      <c r="E29" s="38"/>
      <c r="F29" s="34"/>
      <c r="G29" s="1"/>
      <c r="H29" s="1"/>
      <c r="I29" s="1"/>
      <c r="J29" s="1"/>
      <c r="K29" s="141"/>
      <c r="L29" s="34"/>
      <c r="M29" s="133"/>
      <c r="N29" s="133"/>
      <c r="O29" s="142"/>
      <c r="P29" s="273" t="str">
        <f t="shared" si="1"/>
        <v/>
      </c>
      <c r="Q29" s="274" t="str">
        <f t="shared" ca="1" si="2"/>
        <v/>
      </c>
      <c r="R29" s="34"/>
      <c r="S29" s="274" t="str">
        <f t="shared" si="3"/>
        <v/>
      </c>
      <c r="T29" s="277" t="str">
        <f t="shared" si="4"/>
        <v/>
      </c>
    </row>
    <row r="30" spans="1:20" x14ac:dyDescent="0.35">
      <c r="A30" s="270">
        <f t="shared" si="0"/>
        <v>26</v>
      </c>
      <c r="B30" s="272" t="str">
        <f>IF(AND(ITDRRegister[[#This Row],[Dependency category]]="",ITDRRegister[[#This Row],[Dependency area]]=""),"","DR-"&amp;TEXT($A30,"000"))</f>
        <v/>
      </c>
      <c r="C30" s="37"/>
      <c r="D30" s="35"/>
      <c r="E30" s="38"/>
      <c r="F30" s="34"/>
      <c r="G30" s="1"/>
      <c r="H30" s="1"/>
      <c r="I30" s="1"/>
      <c r="J30" s="1"/>
      <c r="K30" s="141"/>
      <c r="L30" s="34"/>
      <c r="M30" s="133"/>
      <c r="N30" s="133"/>
      <c r="O30" s="142"/>
      <c r="P30" s="273" t="str">
        <f t="shared" si="1"/>
        <v/>
      </c>
      <c r="Q30" s="274" t="str">
        <f t="shared" ca="1" si="2"/>
        <v/>
      </c>
      <c r="R30" s="34"/>
      <c r="S30" s="274" t="str">
        <f t="shared" si="3"/>
        <v/>
      </c>
      <c r="T30" s="277" t="str">
        <f t="shared" si="4"/>
        <v/>
      </c>
    </row>
    <row r="31" spans="1:20" x14ac:dyDescent="0.35">
      <c r="A31" s="270">
        <f t="shared" si="0"/>
        <v>27</v>
      </c>
      <c r="B31" s="272" t="str">
        <f>IF(AND(ITDRRegister[[#This Row],[Dependency category]]="",ITDRRegister[[#This Row],[Dependency area]]=""),"","DR-"&amp;TEXT($A31,"000"))</f>
        <v/>
      </c>
      <c r="C31" s="37"/>
      <c r="D31" s="35"/>
      <c r="E31" s="38"/>
      <c r="F31" s="34"/>
      <c r="G31" s="1"/>
      <c r="H31" s="1"/>
      <c r="I31" s="1"/>
      <c r="J31" s="1"/>
      <c r="K31" s="141"/>
      <c r="L31" s="34"/>
      <c r="M31" s="133"/>
      <c r="N31" s="133"/>
      <c r="O31" s="142"/>
      <c r="P31" s="273" t="str">
        <f t="shared" si="1"/>
        <v/>
      </c>
      <c r="Q31" s="274" t="str">
        <f t="shared" ca="1" si="2"/>
        <v/>
      </c>
      <c r="R31" s="34"/>
      <c r="S31" s="274" t="str">
        <f t="shared" si="3"/>
        <v/>
      </c>
      <c r="T31" s="277" t="str">
        <f t="shared" si="4"/>
        <v/>
      </c>
    </row>
    <row r="32" spans="1:20" x14ac:dyDescent="0.35">
      <c r="A32" s="270">
        <f t="shared" si="0"/>
        <v>28</v>
      </c>
      <c r="B32" s="272" t="str">
        <f>IF(AND(ITDRRegister[[#This Row],[Dependency category]]="",ITDRRegister[[#This Row],[Dependency area]]=""),"","DR-"&amp;TEXT($A32,"000"))</f>
        <v/>
      </c>
      <c r="C32" s="37"/>
      <c r="D32" s="35"/>
      <c r="E32" s="38"/>
      <c r="F32" s="34"/>
      <c r="G32" s="1"/>
      <c r="H32" s="1"/>
      <c r="I32" s="1"/>
      <c r="J32" s="1"/>
      <c r="K32" s="141"/>
      <c r="L32" s="34"/>
      <c r="M32" s="133"/>
      <c r="N32" s="133"/>
      <c r="O32" s="142"/>
      <c r="P32" s="273" t="str">
        <f t="shared" si="1"/>
        <v/>
      </c>
      <c r="Q32" s="274" t="str">
        <f t="shared" ca="1" si="2"/>
        <v/>
      </c>
      <c r="R32" s="34"/>
      <c r="S32" s="274" t="str">
        <f t="shared" si="3"/>
        <v/>
      </c>
      <c r="T32" s="277" t="str">
        <f t="shared" si="4"/>
        <v/>
      </c>
    </row>
    <row r="33" spans="1:20" x14ac:dyDescent="0.35">
      <c r="A33" s="270">
        <f t="shared" si="0"/>
        <v>29</v>
      </c>
      <c r="B33" s="272" t="str">
        <f>IF(AND(ITDRRegister[[#This Row],[Dependency category]]="",ITDRRegister[[#This Row],[Dependency area]]=""),"","DR-"&amp;TEXT($A33,"000"))</f>
        <v/>
      </c>
      <c r="C33" s="37"/>
      <c r="D33" s="35"/>
      <c r="E33" s="38"/>
      <c r="F33" s="34"/>
      <c r="G33" s="1"/>
      <c r="H33" s="1"/>
      <c r="I33" s="1"/>
      <c r="J33" s="1"/>
      <c r="K33" s="141"/>
      <c r="L33" s="34"/>
      <c r="M33" s="133"/>
      <c r="N33" s="133"/>
      <c r="O33" s="142"/>
      <c r="P33" s="273" t="str">
        <f t="shared" si="1"/>
        <v/>
      </c>
      <c r="Q33" s="274" t="str">
        <f t="shared" ca="1" si="2"/>
        <v/>
      </c>
      <c r="R33" s="34"/>
      <c r="S33" s="274" t="str">
        <f t="shared" si="3"/>
        <v/>
      </c>
      <c r="T33" s="277" t="str">
        <f t="shared" si="4"/>
        <v/>
      </c>
    </row>
    <row r="34" spans="1:20" x14ac:dyDescent="0.35">
      <c r="A34" s="270">
        <f t="shared" si="0"/>
        <v>30</v>
      </c>
      <c r="B34" s="272" t="str">
        <f>IF(AND(ITDRRegister[[#This Row],[Dependency category]]="",ITDRRegister[[#This Row],[Dependency area]]=""),"","DR-"&amp;TEXT($A34,"000"))</f>
        <v/>
      </c>
      <c r="C34" s="37"/>
      <c r="D34" s="35"/>
      <c r="E34" s="38"/>
      <c r="F34" s="34"/>
      <c r="G34" s="1"/>
      <c r="H34" s="1"/>
      <c r="I34" s="1"/>
      <c r="J34" s="1"/>
      <c r="K34" s="141"/>
      <c r="L34" s="34"/>
      <c r="M34" s="133"/>
      <c r="N34" s="133"/>
      <c r="O34" s="142"/>
      <c r="P34" s="273" t="str">
        <f t="shared" si="1"/>
        <v/>
      </c>
      <c r="Q34" s="274" t="str">
        <f t="shared" ca="1" si="2"/>
        <v/>
      </c>
      <c r="R34" s="34"/>
      <c r="S34" s="274" t="str">
        <f t="shared" si="3"/>
        <v/>
      </c>
      <c r="T34" s="277" t="str">
        <f t="shared" si="4"/>
        <v/>
      </c>
    </row>
    <row r="35" spans="1:20" x14ac:dyDescent="0.35">
      <c r="A35" s="270">
        <f t="shared" si="0"/>
        <v>31</v>
      </c>
      <c r="B35" s="272" t="str">
        <f>IF(AND(ITDRRegister[[#This Row],[Dependency category]]="",ITDRRegister[[#This Row],[Dependency area]]=""),"","DR-"&amp;TEXT($A35,"000"))</f>
        <v/>
      </c>
      <c r="C35" s="37"/>
      <c r="D35" s="35"/>
      <c r="E35" s="38"/>
      <c r="F35" s="34"/>
      <c r="G35" s="1"/>
      <c r="H35" s="1"/>
      <c r="I35" s="1"/>
      <c r="J35" s="1"/>
      <c r="K35" s="141"/>
      <c r="L35" s="34"/>
      <c r="M35" s="133"/>
      <c r="N35" s="133"/>
      <c r="O35" s="142"/>
      <c r="P35" s="273" t="str">
        <f t="shared" si="1"/>
        <v/>
      </c>
      <c r="Q35" s="274" t="str">
        <f t="shared" ca="1" si="2"/>
        <v/>
      </c>
      <c r="R35" s="34"/>
      <c r="S35" s="274" t="str">
        <f t="shared" si="3"/>
        <v/>
      </c>
      <c r="T35" s="277" t="str">
        <f t="shared" si="4"/>
        <v/>
      </c>
    </row>
    <row r="36" spans="1:20" x14ac:dyDescent="0.35">
      <c r="A36" s="270">
        <f t="shared" si="0"/>
        <v>32</v>
      </c>
      <c r="B36" s="272" t="str">
        <f>IF(AND(ITDRRegister[[#This Row],[Dependency category]]="",ITDRRegister[[#This Row],[Dependency area]]=""),"","DR-"&amp;TEXT($A36,"000"))</f>
        <v/>
      </c>
      <c r="C36" s="37"/>
      <c r="D36" s="35"/>
      <c r="E36" s="38"/>
      <c r="F36" s="34"/>
      <c r="G36" s="1"/>
      <c r="H36" s="1"/>
      <c r="I36" s="1"/>
      <c r="J36" s="1"/>
      <c r="K36" s="141"/>
      <c r="L36" s="34"/>
      <c r="M36" s="133"/>
      <c r="N36" s="133"/>
      <c r="O36" s="142"/>
      <c r="P36" s="273" t="str">
        <f t="shared" si="1"/>
        <v/>
      </c>
      <c r="Q36" s="274" t="str">
        <f t="shared" ca="1" si="2"/>
        <v/>
      </c>
      <c r="R36" s="34"/>
      <c r="S36" s="274" t="str">
        <f t="shared" si="3"/>
        <v/>
      </c>
      <c r="T36" s="277" t="str">
        <f t="shared" si="4"/>
        <v/>
      </c>
    </row>
    <row r="37" spans="1:20" x14ac:dyDescent="0.35">
      <c r="A37" s="270">
        <f t="shared" si="0"/>
        <v>33</v>
      </c>
      <c r="B37" s="272" t="str">
        <f>IF(AND(ITDRRegister[[#This Row],[Dependency category]]="",ITDRRegister[[#This Row],[Dependency area]]=""),"","DR-"&amp;TEXT($A37,"000"))</f>
        <v/>
      </c>
      <c r="C37" s="37"/>
      <c r="D37" s="35"/>
      <c r="E37" s="38"/>
      <c r="F37" s="34"/>
      <c r="G37" s="1"/>
      <c r="H37" s="1"/>
      <c r="I37" s="1"/>
      <c r="J37" s="1"/>
      <c r="K37" s="141"/>
      <c r="L37" s="34"/>
      <c r="M37" s="133"/>
      <c r="N37" s="133"/>
      <c r="O37" s="142"/>
      <c r="P37" s="273" t="str">
        <f t="shared" si="1"/>
        <v/>
      </c>
      <c r="Q37" s="274" t="str">
        <f t="shared" ca="1" si="2"/>
        <v/>
      </c>
      <c r="R37" s="34"/>
      <c r="S37" s="274" t="str">
        <f t="shared" si="3"/>
        <v/>
      </c>
      <c r="T37" s="277" t="str">
        <f t="shared" si="4"/>
        <v/>
      </c>
    </row>
    <row r="38" spans="1:20" x14ac:dyDescent="0.35">
      <c r="A38" s="270">
        <f t="shared" si="0"/>
        <v>34</v>
      </c>
      <c r="B38" s="272" t="str">
        <f>IF(AND(ITDRRegister[[#This Row],[Dependency category]]="",ITDRRegister[[#This Row],[Dependency area]]=""),"","DR-"&amp;TEXT($A38,"000"))</f>
        <v/>
      </c>
      <c r="C38" s="37"/>
      <c r="D38" s="35"/>
      <c r="E38" s="38"/>
      <c r="F38" s="34"/>
      <c r="G38" s="1"/>
      <c r="H38" s="1"/>
      <c r="I38" s="1"/>
      <c r="J38" s="1"/>
      <c r="K38" s="141"/>
      <c r="L38" s="34"/>
      <c r="M38" s="133"/>
      <c r="N38" s="133"/>
      <c r="O38" s="142"/>
      <c r="P38" s="273" t="str">
        <f t="shared" si="1"/>
        <v/>
      </c>
      <c r="Q38" s="274" t="str">
        <f t="shared" ca="1" si="2"/>
        <v/>
      </c>
      <c r="R38" s="34"/>
      <c r="S38" s="274" t="str">
        <f t="shared" si="3"/>
        <v/>
      </c>
      <c r="T38" s="277" t="str">
        <f t="shared" si="4"/>
        <v/>
      </c>
    </row>
    <row r="39" spans="1:20" x14ac:dyDescent="0.35">
      <c r="A39" s="270">
        <f t="shared" si="0"/>
        <v>35</v>
      </c>
      <c r="B39" s="272" t="str">
        <f>IF(AND(ITDRRegister[[#This Row],[Dependency category]]="",ITDRRegister[[#This Row],[Dependency area]]=""),"","DR-"&amp;TEXT($A39,"000"))</f>
        <v/>
      </c>
      <c r="C39" s="37"/>
      <c r="D39" s="35"/>
      <c r="E39" s="38"/>
      <c r="F39" s="34"/>
      <c r="G39" s="1"/>
      <c r="H39" s="1"/>
      <c r="I39" s="1"/>
      <c r="J39" s="1"/>
      <c r="K39" s="141"/>
      <c r="L39" s="34"/>
      <c r="M39" s="133"/>
      <c r="N39" s="133"/>
      <c r="O39" s="142"/>
      <c r="P39" s="273" t="str">
        <f t="shared" si="1"/>
        <v/>
      </c>
      <c r="Q39" s="274" t="str">
        <f t="shared" ca="1" si="2"/>
        <v/>
      </c>
      <c r="R39" s="34"/>
      <c r="S39" s="274" t="str">
        <f t="shared" si="3"/>
        <v/>
      </c>
      <c r="T39" s="277" t="str">
        <f t="shared" si="4"/>
        <v/>
      </c>
    </row>
    <row r="40" spans="1:20" x14ac:dyDescent="0.35">
      <c r="A40" s="270">
        <f t="shared" si="0"/>
        <v>36</v>
      </c>
      <c r="B40" s="272" t="str">
        <f>IF(AND(ITDRRegister[[#This Row],[Dependency category]]="",ITDRRegister[[#This Row],[Dependency area]]=""),"","DR-"&amp;TEXT($A40,"000"))</f>
        <v/>
      </c>
      <c r="C40" s="37"/>
      <c r="D40" s="35"/>
      <c r="E40" s="38"/>
      <c r="F40" s="34"/>
      <c r="G40" s="1"/>
      <c r="H40" s="1"/>
      <c r="I40" s="1"/>
      <c r="J40" s="1"/>
      <c r="K40" s="141"/>
      <c r="L40" s="34"/>
      <c r="M40" s="133"/>
      <c r="N40" s="133"/>
      <c r="O40" s="142"/>
      <c r="P40" s="273" t="str">
        <f t="shared" si="1"/>
        <v/>
      </c>
      <c r="Q40" s="274" t="str">
        <f t="shared" ca="1" si="2"/>
        <v/>
      </c>
      <c r="R40" s="34"/>
      <c r="S40" s="274" t="str">
        <f t="shared" si="3"/>
        <v/>
      </c>
      <c r="T40" s="277" t="str">
        <f t="shared" si="4"/>
        <v/>
      </c>
    </row>
    <row r="41" spans="1:20" x14ac:dyDescent="0.35">
      <c r="A41" s="270">
        <f t="shared" si="0"/>
        <v>37</v>
      </c>
      <c r="B41" s="272" t="str">
        <f>IF(AND(ITDRRegister[[#This Row],[Dependency category]]="",ITDRRegister[[#This Row],[Dependency area]]=""),"","DR-"&amp;TEXT($A41,"000"))</f>
        <v/>
      </c>
      <c r="C41" s="37"/>
      <c r="D41" s="35"/>
      <c r="E41" s="38"/>
      <c r="F41" s="34"/>
      <c r="G41" s="1"/>
      <c r="H41" s="1"/>
      <c r="I41" s="1"/>
      <c r="J41" s="1"/>
      <c r="K41" s="141"/>
      <c r="L41" s="34"/>
      <c r="M41" s="133"/>
      <c r="N41" s="133"/>
      <c r="O41" s="142"/>
      <c r="P41" s="273" t="str">
        <f t="shared" si="1"/>
        <v/>
      </c>
      <c r="Q41" s="274" t="str">
        <f t="shared" ca="1" si="2"/>
        <v/>
      </c>
      <c r="R41" s="34"/>
      <c r="S41" s="274" t="str">
        <f t="shared" si="3"/>
        <v/>
      </c>
      <c r="T41" s="277" t="str">
        <f t="shared" si="4"/>
        <v/>
      </c>
    </row>
    <row r="42" spans="1:20" x14ac:dyDescent="0.35">
      <c r="A42" s="270">
        <f t="shared" si="0"/>
        <v>38</v>
      </c>
      <c r="B42" s="272" t="str">
        <f>IF(AND(ITDRRegister[[#This Row],[Dependency category]]="",ITDRRegister[[#This Row],[Dependency area]]=""),"","DR-"&amp;TEXT($A42,"000"))</f>
        <v/>
      </c>
      <c r="C42" s="37"/>
      <c r="D42" s="35"/>
      <c r="E42" s="38"/>
      <c r="F42" s="34"/>
      <c r="G42" s="1"/>
      <c r="H42" s="1"/>
      <c r="I42" s="1"/>
      <c r="J42" s="1"/>
      <c r="K42" s="141"/>
      <c r="L42" s="34"/>
      <c r="M42" s="133"/>
      <c r="N42" s="133"/>
      <c r="O42" s="142"/>
      <c r="P42" s="273" t="str">
        <f t="shared" si="1"/>
        <v/>
      </c>
      <c r="Q42" s="274" t="str">
        <f t="shared" ca="1" si="2"/>
        <v/>
      </c>
      <c r="R42" s="34"/>
      <c r="S42" s="274" t="str">
        <f t="shared" si="3"/>
        <v/>
      </c>
      <c r="T42" s="277" t="str">
        <f t="shared" si="4"/>
        <v/>
      </c>
    </row>
    <row r="43" spans="1:20" x14ac:dyDescent="0.35">
      <c r="A43" s="270">
        <f t="shared" si="0"/>
        <v>39</v>
      </c>
      <c r="B43" s="272" t="str">
        <f>IF(AND(ITDRRegister[[#This Row],[Dependency category]]="",ITDRRegister[[#This Row],[Dependency area]]=""),"","DR-"&amp;TEXT($A43,"000"))</f>
        <v/>
      </c>
      <c r="C43" s="37"/>
      <c r="D43" s="35"/>
      <c r="E43" s="38"/>
      <c r="F43" s="34"/>
      <c r="G43" s="1"/>
      <c r="H43" s="1"/>
      <c r="I43" s="1"/>
      <c r="J43" s="1"/>
      <c r="K43" s="141"/>
      <c r="L43" s="34"/>
      <c r="M43" s="133"/>
      <c r="N43" s="133"/>
      <c r="O43" s="142"/>
      <c r="P43" s="273" t="str">
        <f t="shared" si="1"/>
        <v/>
      </c>
      <c r="Q43" s="274" t="str">
        <f t="shared" ca="1" si="2"/>
        <v/>
      </c>
      <c r="R43" s="34"/>
      <c r="S43" s="274" t="str">
        <f t="shared" si="3"/>
        <v/>
      </c>
      <c r="T43" s="277" t="str">
        <f t="shared" si="4"/>
        <v/>
      </c>
    </row>
    <row r="44" spans="1:20" x14ac:dyDescent="0.35">
      <c r="A44" s="270">
        <f t="shared" si="0"/>
        <v>40</v>
      </c>
      <c r="B44" s="272" t="str">
        <f>IF(AND(ITDRRegister[[#This Row],[Dependency category]]="",ITDRRegister[[#This Row],[Dependency area]]=""),"","DR-"&amp;TEXT($A44,"000"))</f>
        <v/>
      </c>
      <c r="C44" s="37"/>
      <c r="D44" s="35"/>
      <c r="E44" s="38"/>
      <c r="F44" s="34"/>
      <c r="G44" s="1"/>
      <c r="H44" s="1"/>
      <c r="I44" s="1"/>
      <c r="J44" s="1"/>
      <c r="K44" s="141"/>
      <c r="L44" s="34"/>
      <c r="M44" s="133"/>
      <c r="N44" s="133"/>
      <c r="O44" s="142"/>
      <c r="P44" s="273" t="str">
        <f t="shared" si="1"/>
        <v/>
      </c>
      <c r="Q44" s="274" t="str">
        <f t="shared" ca="1" si="2"/>
        <v/>
      </c>
      <c r="R44" s="34"/>
      <c r="S44" s="274" t="str">
        <f t="shared" si="3"/>
        <v/>
      </c>
      <c r="T44" s="277" t="str">
        <f t="shared" si="4"/>
        <v/>
      </c>
    </row>
    <row r="45" spans="1:20" x14ac:dyDescent="0.35">
      <c r="A45" s="270">
        <f t="shared" si="0"/>
        <v>41</v>
      </c>
      <c r="B45" s="272" t="str">
        <f>IF(AND(ITDRRegister[[#This Row],[Dependency category]]="",ITDRRegister[[#This Row],[Dependency area]]=""),"","DR-"&amp;TEXT($A45,"000"))</f>
        <v/>
      </c>
      <c r="C45" s="37"/>
      <c r="D45" s="35"/>
      <c r="E45" s="38"/>
      <c r="F45" s="34"/>
      <c r="G45" s="1"/>
      <c r="H45" s="1"/>
      <c r="I45" s="1"/>
      <c r="J45" s="1"/>
      <c r="K45" s="141"/>
      <c r="L45" s="34"/>
      <c r="M45" s="133"/>
      <c r="N45" s="133"/>
      <c r="O45" s="142"/>
      <c r="P45" s="273" t="str">
        <f t="shared" si="1"/>
        <v/>
      </c>
      <c r="Q45" s="274" t="str">
        <f t="shared" ca="1" si="2"/>
        <v/>
      </c>
      <c r="R45" s="34"/>
      <c r="S45" s="274" t="str">
        <f t="shared" si="3"/>
        <v/>
      </c>
      <c r="T45" s="277" t="str">
        <f t="shared" si="4"/>
        <v/>
      </c>
    </row>
    <row r="46" spans="1:20" x14ac:dyDescent="0.35">
      <c r="A46" s="270">
        <f t="shared" si="0"/>
        <v>42</v>
      </c>
      <c r="B46" s="272" t="str">
        <f>IF(AND(ITDRRegister[[#This Row],[Dependency category]]="",ITDRRegister[[#This Row],[Dependency area]]=""),"","DR-"&amp;TEXT($A46,"000"))</f>
        <v/>
      </c>
      <c r="C46" s="37"/>
      <c r="D46" s="35"/>
      <c r="E46" s="38"/>
      <c r="F46" s="34"/>
      <c r="G46" s="1"/>
      <c r="H46" s="1"/>
      <c r="I46" s="1"/>
      <c r="J46" s="1"/>
      <c r="K46" s="141"/>
      <c r="L46" s="34"/>
      <c r="M46" s="133"/>
      <c r="N46" s="133"/>
      <c r="O46" s="142"/>
      <c r="P46" s="273" t="str">
        <f t="shared" si="1"/>
        <v/>
      </c>
      <c r="Q46" s="274" t="str">
        <f t="shared" ca="1" si="2"/>
        <v/>
      </c>
      <c r="R46" s="34"/>
      <c r="S46" s="274" t="str">
        <f t="shared" si="3"/>
        <v/>
      </c>
      <c r="T46" s="277" t="str">
        <f t="shared" si="4"/>
        <v/>
      </c>
    </row>
    <row r="47" spans="1:20" x14ac:dyDescent="0.35">
      <c r="A47" s="270">
        <f t="shared" si="0"/>
        <v>43</v>
      </c>
      <c r="B47" s="272" t="str">
        <f>IF(AND(ITDRRegister[[#This Row],[Dependency category]]="",ITDRRegister[[#This Row],[Dependency area]]=""),"","DR-"&amp;TEXT($A47,"000"))</f>
        <v/>
      </c>
      <c r="C47" s="37"/>
      <c r="D47" s="35"/>
      <c r="E47" s="38"/>
      <c r="F47" s="34"/>
      <c r="G47" s="1"/>
      <c r="H47" s="1"/>
      <c r="I47" s="1"/>
      <c r="J47" s="1"/>
      <c r="K47" s="141"/>
      <c r="L47" s="34"/>
      <c r="M47" s="133"/>
      <c r="N47" s="133"/>
      <c r="O47" s="142"/>
      <c r="P47" s="273" t="str">
        <f t="shared" si="1"/>
        <v/>
      </c>
      <c r="Q47" s="274" t="str">
        <f t="shared" ca="1" si="2"/>
        <v/>
      </c>
      <c r="R47" s="34"/>
      <c r="S47" s="274" t="str">
        <f t="shared" si="3"/>
        <v/>
      </c>
      <c r="T47" s="277" t="str">
        <f t="shared" si="4"/>
        <v/>
      </c>
    </row>
    <row r="48" spans="1:20" x14ac:dyDescent="0.35">
      <c r="A48" s="270">
        <f t="shared" si="0"/>
        <v>44</v>
      </c>
      <c r="B48" s="272" t="str">
        <f>IF(AND(ITDRRegister[[#This Row],[Dependency category]]="",ITDRRegister[[#This Row],[Dependency area]]=""),"","DR-"&amp;TEXT($A48,"000"))</f>
        <v/>
      </c>
      <c r="C48" s="37"/>
      <c r="D48" s="35"/>
      <c r="E48" s="38"/>
      <c r="F48" s="34"/>
      <c r="G48" s="1"/>
      <c r="H48" s="1"/>
      <c r="I48" s="1"/>
      <c r="J48" s="1"/>
      <c r="K48" s="141"/>
      <c r="L48" s="34"/>
      <c r="M48" s="133"/>
      <c r="N48" s="133"/>
      <c r="O48" s="142"/>
      <c r="P48" s="273" t="str">
        <f t="shared" si="1"/>
        <v/>
      </c>
      <c r="Q48" s="274" t="str">
        <f t="shared" ca="1" si="2"/>
        <v/>
      </c>
      <c r="R48" s="34"/>
      <c r="S48" s="274" t="str">
        <f t="shared" si="3"/>
        <v/>
      </c>
      <c r="T48" s="277" t="str">
        <f t="shared" si="4"/>
        <v/>
      </c>
    </row>
    <row r="49" spans="1:20" x14ac:dyDescent="0.35">
      <c r="A49" s="270">
        <f t="shared" si="0"/>
        <v>45</v>
      </c>
      <c r="B49" s="272" t="str">
        <f>IF(AND(ITDRRegister[[#This Row],[Dependency category]]="",ITDRRegister[[#This Row],[Dependency area]]=""),"","DR-"&amp;TEXT($A49,"000"))</f>
        <v/>
      </c>
      <c r="C49" s="37"/>
      <c r="D49" s="35"/>
      <c r="E49" s="38"/>
      <c r="F49" s="34"/>
      <c r="G49" s="1"/>
      <c r="H49" s="1"/>
      <c r="I49" s="1"/>
      <c r="J49" s="1"/>
      <c r="K49" s="141"/>
      <c r="L49" s="34"/>
      <c r="M49" s="133"/>
      <c r="N49" s="133"/>
      <c r="O49" s="142"/>
      <c r="P49" s="273" t="str">
        <f t="shared" si="1"/>
        <v/>
      </c>
      <c r="Q49" s="274" t="str">
        <f t="shared" ca="1" si="2"/>
        <v/>
      </c>
      <c r="R49" s="34"/>
      <c r="S49" s="274" t="str">
        <f t="shared" si="3"/>
        <v/>
      </c>
      <c r="T49" s="277" t="str">
        <f t="shared" si="4"/>
        <v/>
      </c>
    </row>
    <row r="50" spans="1:20" x14ac:dyDescent="0.35">
      <c r="A50" s="270">
        <f t="shared" si="0"/>
        <v>46</v>
      </c>
      <c r="B50" s="272" t="str">
        <f>IF(AND(ITDRRegister[[#This Row],[Dependency category]]="",ITDRRegister[[#This Row],[Dependency area]]=""),"","DR-"&amp;TEXT($A50,"000"))</f>
        <v/>
      </c>
      <c r="C50" s="37"/>
      <c r="D50" s="35"/>
      <c r="E50" s="38"/>
      <c r="F50" s="34"/>
      <c r="G50" s="1"/>
      <c r="H50" s="1"/>
      <c r="I50" s="1"/>
      <c r="J50" s="1"/>
      <c r="K50" s="141"/>
      <c r="L50" s="34"/>
      <c r="M50" s="133"/>
      <c r="N50" s="133"/>
      <c r="O50" s="142"/>
      <c r="P50" s="273" t="str">
        <f t="shared" si="1"/>
        <v/>
      </c>
      <c r="Q50" s="274" t="str">
        <f t="shared" ca="1" si="2"/>
        <v/>
      </c>
      <c r="R50" s="34"/>
      <c r="S50" s="274" t="str">
        <f t="shared" si="3"/>
        <v/>
      </c>
      <c r="T50" s="277" t="str">
        <f t="shared" si="4"/>
        <v/>
      </c>
    </row>
    <row r="51" spans="1:20" x14ac:dyDescent="0.35">
      <c r="A51" s="270">
        <f t="shared" si="0"/>
        <v>47</v>
      </c>
      <c r="B51" s="272" t="str">
        <f>IF(AND(ITDRRegister[[#This Row],[Dependency category]]="",ITDRRegister[[#This Row],[Dependency area]]=""),"","DR-"&amp;TEXT($A51,"000"))</f>
        <v/>
      </c>
      <c r="C51" s="37"/>
      <c r="D51" s="35"/>
      <c r="E51" s="38"/>
      <c r="F51" s="34"/>
      <c r="G51" s="1"/>
      <c r="H51" s="1"/>
      <c r="I51" s="1"/>
      <c r="J51" s="1"/>
      <c r="K51" s="141"/>
      <c r="L51" s="34"/>
      <c r="M51" s="133"/>
      <c r="N51" s="133"/>
      <c r="O51" s="142"/>
      <c r="P51" s="273" t="str">
        <f t="shared" si="1"/>
        <v/>
      </c>
      <c r="Q51" s="274" t="str">
        <f t="shared" ca="1" si="2"/>
        <v/>
      </c>
      <c r="R51" s="34"/>
      <c r="S51" s="274" t="str">
        <f t="shared" si="3"/>
        <v/>
      </c>
      <c r="T51" s="277" t="str">
        <f t="shared" si="4"/>
        <v/>
      </c>
    </row>
    <row r="52" spans="1:20" x14ac:dyDescent="0.35">
      <c r="A52" s="270">
        <f t="shared" si="0"/>
        <v>48</v>
      </c>
      <c r="B52" s="272" t="str">
        <f>IF(AND(ITDRRegister[[#This Row],[Dependency category]]="",ITDRRegister[[#This Row],[Dependency area]]=""),"","DR-"&amp;TEXT($A52,"000"))</f>
        <v/>
      </c>
      <c r="C52" s="37"/>
      <c r="D52" s="35"/>
      <c r="E52" s="38"/>
      <c r="F52" s="34"/>
      <c r="G52" s="1"/>
      <c r="H52" s="1"/>
      <c r="I52" s="1"/>
      <c r="J52" s="1"/>
      <c r="K52" s="141"/>
      <c r="L52" s="34"/>
      <c r="M52" s="133"/>
      <c r="N52" s="133"/>
      <c r="O52" s="142"/>
      <c r="P52" s="273" t="str">
        <f t="shared" si="1"/>
        <v/>
      </c>
      <c r="Q52" s="274" t="str">
        <f t="shared" ca="1" si="2"/>
        <v/>
      </c>
      <c r="R52" s="34"/>
      <c r="S52" s="274" t="str">
        <f t="shared" si="3"/>
        <v/>
      </c>
      <c r="T52" s="277" t="str">
        <f t="shared" si="4"/>
        <v/>
      </c>
    </row>
    <row r="53" spans="1:20" x14ac:dyDescent="0.35">
      <c r="A53" s="270">
        <f t="shared" si="0"/>
        <v>49</v>
      </c>
      <c r="B53" s="272" t="str">
        <f>IF(AND(ITDRRegister[[#This Row],[Dependency category]]="",ITDRRegister[[#This Row],[Dependency area]]=""),"","DR-"&amp;TEXT($A53,"000"))</f>
        <v/>
      </c>
      <c r="C53" s="37"/>
      <c r="D53" s="35"/>
      <c r="E53" s="38"/>
      <c r="F53" s="34"/>
      <c r="G53" s="1"/>
      <c r="H53" s="1"/>
      <c r="I53" s="1"/>
      <c r="J53" s="1"/>
      <c r="K53" s="141"/>
      <c r="L53" s="34"/>
      <c r="M53" s="133"/>
      <c r="N53" s="133"/>
      <c r="O53" s="142"/>
      <c r="P53" s="273" t="str">
        <f t="shared" si="1"/>
        <v/>
      </c>
      <c r="Q53" s="274" t="str">
        <f t="shared" ca="1" si="2"/>
        <v/>
      </c>
      <c r="R53" s="34"/>
      <c r="S53" s="274" t="str">
        <f t="shared" si="3"/>
        <v/>
      </c>
      <c r="T53" s="277" t="str">
        <f t="shared" si="4"/>
        <v/>
      </c>
    </row>
    <row r="54" spans="1:20" x14ac:dyDescent="0.35">
      <c r="A54" s="270">
        <f t="shared" si="0"/>
        <v>50</v>
      </c>
      <c r="B54" s="272" t="str">
        <f>IF(AND(ITDRRegister[[#This Row],[Dependency category]]="",ITDRRegister[[#This Row],[Dependency area]]=""),"","DR-"&amp;TEXT($A54,"000"))</f>
        <v/>
      </c>
      <c r="C54" s="37"/>
      <c r="D54" s="35"/>
      <c r="E54" s="38"/>
      <c r="F54" s="34"/>
      <c r="G54" s="1"/>
      <c r="H54" s="1"/>
      <c r="I54" s="1"/>
      <c r="J54" s="1"/>
      <c r="K54" s="141"/>
      <c r="L54" s="34"/>
      <c r="M54" s="133"/>
      <c r="N54" s="133"/>
      <c r="O54" s="142"/>
      <c r="P54" s="273" t="str">
        <f t="shared" si="1"/>
        <v/>
      </c>
      <c r="Q54" s="274" t="str">
        <f t="shared" ca="1" si="2"/>
        <v/>
      </c>
      <c r="R54" s="34"/>
      <c r="S54" s="274" t="str">
        <f t="shared" si="3"/>
        <v/>
      </c>
      <c r="T54" s="277" t="str">
        <f t="shared" si="4"/>
        <v/>
      </c>
    </row>
    <row r="55" spans="1:20" x14ac:dyDescent="0.35">
      <c r="A55" s="270">
        <f t="shared" si="0"/>
        <v>51</v>
      </c>
      <c r="B55" s="272" t="str">
        <f>IF(AND(ITDRRegister[[#This Row],[Dependency category]]="",ITDRRegister[[#This Row],[Dependency area]]=""),"","DR-"&amp;TEXT($A55,"000"))</f>
        <v/>
      </c>
      <c r="C55" s="37"/>
      <c r="D55" s="35"/>
      <c r="E55" s="38"/>
      <c r="F55" s="34"/>
      <c r="G55" s="1"/>
      <c r="H55" s="1"/>
      <c r="I55" s="1"/>
      <c r="J55" s="1"/>
      <c r="K55" s="141"/>
      <c r="L55" s="34"/>
      <c r="M55" s="133"/>
      <c r="N55" s="133"/>
      <c r="O55" s="142"/>
      <c r="P55" s="273" t="str">
        <f t="shared" si="1"/>
        <v/>
      </c>
      <c r="Q55" s="274" t="str">
        <f t="shared" ca="1" si="2"/>
        <v/>
      </c>
      <c r="R55" s="34"/>
      <c r="S55" s="274" t="str">
        <f t="shared" si="3"/>
        <v/>
      </c>
      <c r="T55" s="277" t="str">
        <f t="shared" si="4"/>
        <v/>
      </c>
    </row>
    <row r="56" spans="1:20" x14ac:dyDescent="0.35">
      <c r="A56" s="270">
        <f t="shared" si="0"/>
        <v>52</v>
      </c>
      <c r="B56" s="272" t="str">
        <f>IF(AND(ITDRRegister[[#This Row],[Dependency category]]="",ITDRRegister[[#This Row],[Dependency area]]=""),"","DR-"&amp;TEXT($A56,"000"))</f>
        <v/>
      </c>
      <c r="C56" s="37"/>
      <c r="D56" s="35"/>
      <c r="E56" s="38"/>
      <c r="F56" s="34"/>
      <c r="G56" s="1"/>
      <c r="H56" s="1"/>
      <c r="I56" s="1"/>
      <c r="J56" s="1"/>
      <c r="K56" s="141"/>
      <c r="L56" s="34"/>
      <c r="M56" s="133"/>
      <c r="N56" s="133"/>
      <c r="O56" s="142"/>
      <c r="P56" s="273" t="str">
        <f t="shared" si="1"/>
        <v/>
      </c>
      <c r="Q56" s="274" t="str">
        <f t="shared" ca="1" si="2"/>
        <v/>
      </c>
      <c r="R56" s="34"/>
      <c r="S56" s="274" t="str">
        <f t="shared" si="3"/>
        <v/>
      </c>
      <c r="T56" s="277" t="str">
        <f t="shared" si="4"/>
        <v/>
      </c>
    </row>
    <row r="57" spans="1:20" x14ac:dyDescent="0.35">
      <c r="A57" s="270">
        <f t="shared" si="0"/>
        <v>53</v>
      </c>
      <c r="B57" s="272" t="str">
        <f>IF(AND(ITDRRegister[[#This Row],[Dependency category]]="",ITDRRegister[[#This Row],[Dependency area]]=""),"","DR-"&amp;TEXT($A57,"000"))</f>
        <v/>
      </c>
      <c r="C57" s="37"/>
      <c r="D57" s="35"/>
      <c r="E57" s="38"/>
      <c r="F57" s="34"/>
      <c r="G57" s="1"/>
      <c r="H57" s="1"/>
      <c r="I57" s="1"/>
      <c r="J57" s="1"/>
      <c r="K57" s="141"/>
      <c r="L57" s="34"/>
      <c r="M57" s="133"/>
      <c r="N57" s="133"/>
      <c r="O57" s="142"/>
      <c r="P57" s="273" t="str">
        <f t="shared" si="1"/>
        <v/>
      </c>
      <c r="Q57" s="274" t="str">
        <f t="shared" ca="1" si="2"/>
        <v/>
      </c>
      <c r="R57" s="34"/>
      <c r="S57" s="274" t="str">
        <f t="shared" si="3"/>
        <v/>
      </c>
      <c r="T57" s="277" t="str">
        <f t="shared" si="4"/>
        <v/>
      </c>
    </row>
    <row r="58" spans="1:20" x14ac:dyDescent="0.35">
      <c r="A58" s="270">
        <f t="shared" si="0"/>
        <v>54</v>
      </c>
      <c r="B58" s="272" t="str">
        <f>IF(AND(ITDRRegister[[#This Row],[Dependency category]]="",ITDRRegister[[#This Row],[Dependency area]]=""),"","DR-"&amp;TEXT($A58,"000"))</f>
        <v/>
      </c>
      <c r="C58" s="37"/>
      <c r="D58" s="35"/>
      <c r="E58" s="38"/>
      <c r="F58" s="34"/>
      <c r="G58" s="1"/>
      <c r="H58" s="1"/>
      <c r="I58" s="1"/>
      <c r="J58" s="1"/>
      <c r="K58" s="141"/>
      <c r="L58" s="34"/>
      <c r="M58" s="133"/>
      <c r="N58" s="133"/>
      <c r="O58" s="142"/>
      <c r="P58" s="273" t="str">
        <f t="shared" si="1"/>
        <v/>
      </c>
      <c r="Q58" s="274" t="str">
        <f t="shared" ca="1" si="2"/>
        <v/>
      </c>
      <c r="R58" s="34"/>
      <c r="S58" s="274" t="str">
        <f t="shared" si="3"/>
        <v/>
      </c>
      <c r="T58" s="277" t="str">
        <f t="shared" si="4"/>
        <v/>
      </c>
    </row>
    <row r="59" spans="1:20" x14ac:dyDescent="0.35">
      <c r="A59" s="270">
        <f t="shared" si="0"/>
        <v>55</v>
      </c>
      <c r="B59" s="272" t="str">
        <f>IF(AND(ITDRRegister[[#This Row],[Dependency category]]="",ITDRRegister[[#This Row],[Dependency area]]=""),"","DR-"&amp;TEXT($A59,"000"))</f>
        <v/>
      </c>
      <c r="C59" s="37"/>
      <c r="D59" s="35"/>
      <c r="E59" s="38"/>
      <c r="F59" s="34"/>
      <c r="G59" s="1"/>
      <c r="H59" s="1"/>
      <c r="I59" s="1"/>
      <c r="J59" s="1"/>
      <c r="K59" s="141"/>
      <c r="L59" s="34"/>
      <c r="M59" s="133"/>
      <c r="N59" s="133"/>
      <c r="O59" s="142"/>
      <c r="P59" s="273" t="str">
        <f t="shared" si="1"/>
        <v/>
      </c>
      <c r="Q59" s="274" t="str">
        <f t="shared" ca="1" si="2"/>
        <v/>
      </c>
      <c r="R59" s="34"/>
      <c r="S59" s="274" t="str">
        <f t="shared" si="3"/>
        <v/>
      </c>
      <c r="T59" s="277" t="str">
        <f t="shared" si="4"/>
        <v/>
      </c>
    </row>
    <row r="60" spans="1:20" x14ac:dyDescent="0.35">
      <c r="A60" s="270">
        <f t="shared" si="0"/>
        <v>56</v>
      </c>
      <c r="B60" s="272" t="str">
        <f>IF(AND(ITDRRegister[[#This Row],[Dependency category]]="",ITDRRegister[[#This Row],[Dependency area]]=""),"","DR-"&amp;TEXT($A60,"000"))</f>
        <v/>
      </c>
      <c r="C60" s="37"/>
      <c r="D60" s="35"/>
      <c r="E60" s="38"/>
      <c r="F60" s="34"/>
      <c r="G60" s="1"/>
      <c r="H60" s="1"/>
      <c r="I60" s="1"/>
      <c r="J60" s="1"/>
      <c r="K60" s="141"/>
      <c r="L60" s="34"/>
      <c r="M60" s="133"/>
      <c r="N60" s="133"/>
      <c r="O60" s="142"/>
      <c r="P60" s="273" t="str">
        <f t="shared" si="1"/>
        <v/>
      </c>
      <c r="Q60" s="274" t="str">
        <f t="shared" ca="1" si="2"/>
        <v/>
      </c>
      <c r="R60" s="34"/>
      <c r="S60" s="274" t="str">
        <f t="shared" si="3"/>
        <v/>
      </c>
      <c r="T60" s="277" t="str">
        <f t="shared" si="4"/>
        <v/>
      </c>
    </row>
    <row r="61" spans="1:20" x14ac:dyDescent="0.35">
      <c r="A61" s="270">
        <f t="shared" si="0"/>
        <v>57</v>
      </c>
      <c r="B61" s="272" t="str">
        <f>IF(AND(ITDRRegister[[#This Row],[Dependency category]]="",ITDRRegister[[#This Row],[Dependency area]]=""),"","DR-"&amp;TEXT($A61,"000"))</f>
        <v/>
      </c>
      <c r="C61" s="37"/>
      <c r="D61" s="35"/>
      <c r="E61" s="38"/>
      <c r="F61" s="34"/>
      <c r="G61" s="1"/>
      <c r="H61" s="1"/>
      <c r="I61" s="1"/>
      <c r="J61" s="1"/>
      <c r="K61" s="141"/>
      <c r="L61" s="34"/>
      <c r="M61" s="133"/>
      <c r="N61" s="133"/>
      <c r="O61" s="142"/>
      <c r="P61" s="273" t="str">
        <f t="shared" si="1"/>
        <v/>
      </c>
      <c r="Q61" s="274" t="str">
        <f t="shared" ca="1" si="2"/>
        <v/>
      </c>
      <c r="R61" s="34"/>
      <c r="S61" s="274" t="str">
        <f t="shared" si="3"/>
        <v/>
      </c>
      <c r="T61" s="277" t="str">
        <f t="shared" si="4"/>
        <v/>
      </c>
    </row>
    <row r="62" spans="1:20" x14ac:dyDescent="0.35">
      <c r="A62" s="270">
        <f t="shared" si="0"/>
        <v>58</v>
      </c>
      <c r="B62" s="272" t="str">
        <f>IF(AND(ITDRRegister[[#This Row],[Dependency category]]="",ITDRRegister[[#This Row],[Dependency area]]=""),"","DR-"&amp;TEXT($A62,"000"))</f>
        <v/>
      </c>
      <c r="C62" s="37"/>
      <c r="D62" s="35"/>
      <c r="E62" s="38"/>
      <c r="F62" s="34"/>
      <c r="G62" s="1"/>
      <c r="H62" s="1"/>
      <c r="I62" s="1"/>
      <c r="J62" s="1"/>
      <c r="K62" s="141"/>
      <c r="L62" s="34"/>
      <c r="M62" s="133"/>
      <c r="N62" s="133"/>
      <c r="O62" s="142"/>
      <c r="P62" s="273" t="str">
        <f t="shared" si="1"/>
        <v/>
      </c>
      <c r="Q62" s="274" t="str">
        <f t="shared" ca="1" si="2"/>
        <v/>
      </c>
      <c r="R62" s="34"/>
      <c r="S62" s="274" t="str">
        <f t="shared" si="3"/>
        <v/>
      </c>
      <c r="T62" s="277" t="str">
        <f t="shared" si="4"/>
        <v/>
      </c>
    </row>
    <row r="63" spans="1:20" x14ac:dyDescent="0.35">
      <c r="A63" s="270">
        <f t="shared" si="0"/>
        <v>59</v>
      </c>
      <c r="B63" s="272" t="str">
        <f>IF(AND(ITDRRegister[[#This Row],[Dependency category]]="",ITDRRegister[[#This Row],[Dependency area]]=""),"","DR-"&amp;TEXT($A63,"000"))</f>
        <v/>
      </c>
      <c r="C63" s="37"/>
      <c r="D63" s="35"/>
      <c r="E63" s="38"/>
      <c r="F63" s="34"/>
      <c r="G63" s="1"/>
      <c r="H63" s="1"/>
      <c r="I63" s="1"/>
      <c r="J63" s="1"/>
      <c r="K63" s="141"/>
      <c r="L63" s="34"/>
      <c r="M63" s="133"/>
      <c r="N63" s="133"/>
      <c r="O63" s="142"/>
      <c r="P63" s="273" t="str">
        <f t="shared" si="1"/>
        <v/>
      </c>
      <c r="Q63" s="274" t="str">
        <f t="shared" ca="1" si="2"/>
        <v/>
      </c>
      <c r="R63" s="34"/>
      <c r="S63" s="274" t="str">
        <f t="shared" si="3"/>
        <v/>
      </c>
      <c r="T63" s="277" t="str">
        <f t="shared" si="4"/>
        <v/>
      </c>
    </row>
    <row r="64" spans="1:20" x14ac:dyDescent="0.35">
      <c r="A64" s="270">
        <f t="shared" si="0"/>
        <v>60</v>
      </c>
      <c r="B64" s="272" t="str">
        <f>IF(AND(ITDRRegister[[#This Row],[Dependency category]]="",ITDRRegister[[#This Row],[Dependency area]]=""),"","DR-"&amp;TEXT($A64,"000"))</f>
        <v/>
      </c>
      <c r="C64" s="37"/>
      <c r="D64" s="35"/>
      <c r="E64" s="38"/>
      <c r="F64" s="34"/>
      <c r="G64" s="1"/>
      <c r="H64" s="1"/>
      <c r="I64" s="1"/>
      <c r="J64" s="1"/>
      <c r="K64" s="141"/>
      <c r="L64" s="34"/>
      <c r="M64" s="133"/>
      <c r="N64" s="133"/>
      <c r="O64" s="142"/>
      <c r="P64" s="273" t="str">
        <f t="shared" si="1"/>
        <v/>
      </c>
      <c r="Q64" s="274" t="str">
        <f t="shared" ca="1" si="2"/>
        <v/>
      </c>
      <c r="R64" s="34"/>
      <c r="S64" s="274" t="str">
        <f t="shared" si="3"/>
        <v/>
      </c>
      <c r="T64" s="277" t="str">
        <f t="shared" si="4"/>
        <v/>
      </c>
    </row>
    <row r="65" spans="1:20" x14ac:dyDescent="0.35">
      <c r="A65" s="270">
        <f t="shared" si="0"/>
        <v>61</v>
      </c>
      <c r="B65" s="272" t="str">
        <f>IF(AND(ITDRRegister[[#This Row],[Dependency category]]="",ITDRRegister[[#This Row],[Dependency area]]=""),"","DR-"&amp;TEXT($A65,"000"))</f>
        <v/>
      </c>
      <c r="C65" s="37"/>
      <c r="D65" s="35"/>
      <c r="E65" s="38"/>
      <c r="F65" s="34"/>
      <c r="G65" s="1"/>
      <c r="H65" s="1"/>
      <c r="I65" s="1"/>
      <c r="J65" s="1"/>
      <c r="K65" s="141"/>
      <c r="L65" s="34"/>
      <c r="M65" s="133"/>
      <c r="N65" s="133"/>
      <c r="O65" s="142"/>
      <c r="P65" s="273" t="str">
        <f t="shared" si="1"/>
        <v/>
      </c>
      <c r="Q65" s="274" t="str">
        <f t="shared" ca="1" si="2"/>
        <v/>
      </c>
      <c r="R65" s="34"/>
      <c r="S65" s="274" t="str">
        <f t="shared" si="3"/>
        <v/>
      </c>
      <c r="T65" s="277" t="str">
        <f t="shared" si="4"/>
        <v/>
      </c>
    </row>
    <row r="66" spans="1:20" x14ac:dyDescent="0.35">
      <c r="A66" s="270">
        <f t="shared" si="0"/>
        <v>62</v>
      </c>
      <c r="B66" s="272" t="str">
        <f>IF(AND(ITDRRegister[[#This Row],[Dependency category]]="",ITDRRegister[[#This Row],[Dependency area]]=""),"","DR-"&amp;TEXT($A66,"000"))</f>
        <v/>
      </c>
      <c r="C66" s="37"/>
      <c r="D66" s="35"/>
      <c r="E66" s="38"/>
      <c r="F66" s="34"/>
      <c r="G66" s="1"/>
      <c r="H66" s="1"/>
      <c r="I66" s="1"/>
      <c r="J66" s="1"/>
      <c r="K66" s="141"/>
      <c r="L66" s="34"/>
      <c r="M66" s="133"/>
      <c r="N66" s="133"/>
      <c r="O66" s="142"/>
      <c r="P66" s="273" t="str">
        <f t="shared" si="1"/>
        <v/>
      </c>
      <c r="Q66" s="274" t="str">
        <f t="shared" ca="1" si="2"/>
        <v/>
      </c>
      <c r="R66" s="34"/>
      <c r="S66" s="274" t="str">
        <f t="shared" si="3"/>
        <v/>
      </c>
      <c r="T66" s="277" t="str">
        <f t="shared" si="4"/>
        <v/>
      </c>
    </row>
    <row r="67" spans="1:20" x14ac:dyDescent="0.35">
      <c r="A67" s="270">
        <f t="shared" si="0"/>
        <v>63</v>
      </c>
      <c r="B67" s="272" t="str">
        <f>IF(AND(ITDRRegister[[#This Row],[Dependency category]]="",ITDRRegister[[#This Row],[Dependency area]]=""),"","DR-"&amp;TEXT($A67,"000"))</f>
        <v/>
      </c>
      <c r="C67" s="37"/>
      <c r="D67" s="35"/>
      <c r="E67" s="38"/>
      <c r="F67" s="34"/>
      <c r="G67" s="1"/>
      <c r="H67" s="1"/>
      <c r="I67" s="1"/>
      <c r="J67" s="1"/>
      <c r="K67" s="141"/>
      <c r="L67" s="34"/>
      <c r="M67" s="133"/>
      <c r="N67" s="133"/>
      <c r="O67" s="142"/>
      <c r="P67" s="273" t="str">
        <f t="shared" si="1"/>
        <v/>
      </c>
      <c r="Q67" s="274" t="str">
        <f t="shared" ca="1" si="2"/>
        <v/>
      </c>
      <c r="R67" s="34"/>
      <c r="S67" s="274" t="str">
        <f t="shared" si="3"/>
        <v/>
      </c>
      <c r="T67" s="277" t="str">
        <f t="shared" si="4"/>
        <v/>
      </c>
    </row>
    <row r="68" spans="1:20" x14ac:dyDescent="0.35">
      <c r="A68" s="270">
        <f t="shared" si="0"/>
        <v>64</v>
      </c>
      <c r="B68" s="272" t="str">
        <f>IF(AND(ITDRRegister[[#This Row],[Dependency category]]="",ITDRRegister[[#This Row],[Dependency area]]=""),"","DR-"&amp;TEXT($A68,"000"))</f>
        <v/>
      </c>
      <c r="C68" s="37"/>
      <c r="D68" s="35"/>
      <c r="E68" s="38"/>
      <c r="F68" s="34"/>
      <c r="G68" s="1"/>
      <c r="H68" s="1"/>
      <c r="I68" s="1"/>
      <c r="J68" s="1"/>
      <c r="K68" s="141"/>
      <c r="L68" s="34"/>
      <c r="M68" s="133"/>
      <c r="N68" s="133"/>
      <c r="O68" s="142"/>
      <c r="P68" s="273" t="str">
        <f t="shared" si="1"/>
        <v/>
      </c>
      <c r="Q68" s="274" t="str">
        <f t="shared" ca="1" si="2"/>
        <v/>
      </c>
      <c r="R68" s="34"/>
      <c r="S68" s="274" t="str">
        <f t="shared" si="3"/>
        <v/>
      </c>
      <c r="T68" s="277" t="str">
        <f t="shared" si="4"/>
        <v/>
      </c>
    </row>
    <row r="69" spans="1:20" x14ac:dyDescent="0.35">
      <c r="A69" s="270">
        <f t="shared" si="0"/>
        <v>65</v>
      </c>
      <c r="B69" s="272" t="str">
        <f>IF(AND(ITDRRegister[[#This Row],[Dependency category]]="",ITDRRegister[[#This Row],[Dependency area]]=""),"","DR-"&amp;TEXT($A69,"000"))</f>
        <v/>
      </c>
      <c r="C69" s="37"/>
      <c r="D69" s="35"/>
      <c r="E69" s="38"/>
      <c r="F69" s="34"/>
      <c r="G69" s="1"/>
      <c r="H69" s="1"/>
      <c r="I69" s="1"/>
      <c r="J69" s="1"/>
      <c r="K69" s="141"/>
      <c r="L69" s="34"/>
      <c r="M69" s="133"/>
      <c r="N69" s="133"/>
      <c r="O69" s="142"/>
      <c r="P69" s="273" t="str">
        <f t="shared" si="1"/>
        <v/>
      </c>
      <c r="Q69" s="274" t="str">
        <f t="shared" ca="1" si="2"/>
        <v/>
      </c>
      <c r="R69" s="34"/>
      <c r="S69" s="274" t="str">
        <f t="shared" si="3"/>
        <v/>
      </c>
      <c r="T69" s="277" t="str">
        <f t="shared" si="4"/>
        <v/>
      </c>
    </row>
    <row r="70" spans="1:20" x14ac:dyDescent="0.35">
      <c r="A70" s="270">
        <f t="shared" ref="A70:A133" si="5">ROW()-4</f>
        <v>66</v>
      </c>
      <c r="B70" s="272" t="str">
        <f>IF(AND(ITDRRegister[[#This Row],[Dependency category]]="",ITDRRegister[[#This Row],[Dependency area]]=""),"","DR-"&amp;TEXT($A70,"000"))</f>
        <v/>
      </c>
      <c r="C70" s="37"/>
      <c r="D70" s="35"/>
      <c r="E70" s="38"/>
      <c r="F70" s="34"/>
      <c r="G70" s="1"/>
      <c r="H70" s="1"/>
      <c r="I70" s="1"/>
      <c r="J70" s="1"/>
      <c r="K70" s="141"/>
      <c r="L70" s="34"/>
      <c r="M70" s="133"/>
      <c r="N70" s="133"/>
      <c r="O70" s="142"/>
      <c r="P70" s="273" t="str">
        <f t="shared" ref="P70:P133" si="6">IF($M70="","",EDATE($M70,12))</f>
        <v/>
      </c>
      <c r="Q70" s="274" t="str">
        <f t="shared" ref="Q70:Q133" ca="1" si="7">IF($E70="","",IF($K70="None (gap)","GAP - no DR",IF(OR($S70="Not Assessed",$T70="Not Assessed"),"Recovery Targets Incomplete",IF($M70="","Not Tested",IF(AND($P70&lt;&gt;"",$P70&lt;TODAY()),"Test Overdue",IF($O70="","Not Tested",IF($O70&lt;&gt;"Pass","Retest Required",IF(OR($S70&lt;&gt;"RTO Complied",$T70&lt;&gt;"RPO Complied"),"Recovery Not Compliant","Tested &amp; Current"))))))))</f>
        <v/>
      </c>
      <c r="R70" s="34"/>
      <c r="S70" s="274" t="str">
        <f t="shared" ref="S70:S133" si="8">IF($E70="","",IF(OR(NOT(ISNUMBER($G70)),NOT(ISNUMBER($I70))),"Not Assessed",IF($I70&lt;=$G70,"RTO Complied","RTO Not Complied")))</f>
        <v/>
      </c>
      <c r="T70" s="277" t="str">
        <f t="shared" ref="T70:T133" si="9">IF($E70="","",IF(OR(NOT(ISNUMBER($H70)),NOT(ISNUMBER($J70))),"Not Assessed",IF($J70&lt;=$H70,"RPO Complied","RPO Not Complied")))</f>
        <v/>
      </c>
    </row>
    <row r="71" spans="1:20" x14ac:dyDescent="0.35">
      <c r="A71" s="270">
        <f t="shared" si="5"/>
        <v>67</v>
      </c>
      <c r="B71" s="272" t="str">
        <f>IF(AND(ITDRRegister[[#This Row],[Dependency category]]="",ITDRRegister[[#This Row],[Dependency area]]=""),"","DR-"&amp;TEXT($A71,"000"))</f>
        <v/>
      </c>
      <c r="C71" s="37"/>
      <c r="D71" s="35"/>
      <c r="E71" s="38"/>
      <c r="F71" s="34"/>
      <c r="G71" s="1"/>
      <c r="H71" s="1"/>
      <c r="I71" s="1"/>
      <c r="J71" s="1"/>
      <c r="K71" s="141"/>
      <c r="L71" s="34"/>
      <c r="M71" s="133"/>
      <c r="N71" s="133"/>
      <c r="O71" s="142"/>
      <c r="P71" s="273" t="str">
        <f t="shared" si="6"/>
        <v/>
      </c>
      <c r="Q71" s="274" t="str">
        <f t="shared" ca="1" si="7"/>
        <v/>
      </c>
      <c r="R71" s="34"/>
      <c r="S71" s="274" t="str">
        <f t="shared" si="8"/>
        <v/>
      </c>
      <c r="T71" s="277" t="str">
        <f t="shared" si="9"/>
        <v/>
      </c>
    </row>
    <row r="72" spans="1:20" x14ac:dyDescent="0.35">
      <c r="A72" s="270">
        <f t="shared" si="5"/>
        <v>68</v>
      </c>
      <c r="B72" s="272" t="str">
        <f>IF(AND(ITDRRegister[[#This Row],[Dependency category]]="",ITDRRegister[[#This Row],[Dependency area]]=""),"","DR-"&amp;TEXT($A72,"000"))</f>
        <v/>
      </c>
      <c r="C72" s="37"/>
      <c r="D72" s="35"/>
      <c r="E72" s="38"/>
      <c r="F72" s="34"/>
      <c r="G72" s="1"/>
      <c r="H72" s="1"/>
      <c r="I72" s="1"/>
      <c r="J72" s="1"/>
      <c r="K72" s="141"/>
      <c r="L72" s="34"/>
      <c r="M72" s="133"/>
      <c r="N72" s="133"/>
      <c r="O72" s="142"/>
      <c r="P72" s="273" t="str">
        <f t="shared" si="6"/>
        <v/>
      </c>
      <c r="Q72" s="274" t="str">
        <f t="shared" ca="1" si="7"/>
        <v/>
      </c>
      <c r="R72" s="34"/>
      <c r="S72" s="274" t="str">
        <f t="shared" si="8"/>
        <v/>
      </c>
      <c r="T72" s="277" t="str">
        <f t="shared" si="9"/>
        <v/>
      </c>
    </row>
    <row r="73" spans="1:20" x14ac:dyDescent="0.35">
      <c r="A73" s="270">
        <f t="shared" si="5"/>
        <v>69</v>
      </c>
      <c r="B73" s="272" t="str">
        <f>IF(AND(ITDRRegister[[#This Row],[Dependency category]]="",ITDRRegister[[#This Row],[Dependency area]]=""),"","DR-"&amp;TEXT($A73,"000"))</f>
        <v/>
      </c>
      <c r="C73" s="37"/>
      <c r="D73" s="35"/>
      <c r="E73" s="38"/>
      <c r="F73" s="34"/>
      <c r="G73" s="1"/>
      <c r="H73" s="1"/>
      <c r="I73" s="1"/>
      <c r="J73" s="1"/>
      <c r="K73" s="141"/>
      <c r="L73" s="34"/>
      <c r="M73" s="133"/>
      <c r="N73" s="133"/>
      <c r="O73" s="142"/>
      <c r="P73" s="273" t="str">
        <f t="shared" si="6"/>
        <v/>
      </c>
      <c r="Q73" s="274" t="str">
        <f t="shared" ca="1" si="7"/>
        <v/>
      </c>
      <c r="R73" s="34"/>
      <c r="S73" s="274" t="str">
        <f t="shared" si="8"/>
        <v/>
      </c>
      <c r="T73" s="277" t="str">
        <f t="shared" si="9"/>
        <v/>
      </c>
    </row>
    <row r="74" spans="1:20" x14ac:dyDescent="0.35">
      <c r="A74" s="270">
        <f t="shared" si="5"/>
        <v>70</v>
      </c>
      <c r="B74" s="272" t="str">
        <f>IF(AND(ITDRRegister[[#This Row],[Dependency category]]="",ITDRRegister[[#This Row],[Dependency area]]=""),"","DR-"&amp;TEXT($A74,"000"))</f>
        <v/>
      </c>
      <c r="C74" s="37"/>
      <c r="D74" s="35"/>
      <c r="E74" s="38"/>
      <c r="F74" s="34"/>
      <c r="G74" s="1"/>
      <c r="H74" s="1"/>
      <c r="I74" s="1"/>
      <c r="J74" s="1"/>
      <c r="K74" s="141"/>
      <c r="L74" s="34"/>
      <c r="M74" s="133"/>
      <c r="N74" s="133"/>
      <c r="O74" s="142"/>
      <c r="P74" s="273" t="str">
        <f t="shared" si="6"/>
        <v/>
      </c>
      <c r="Q74" s="274" t="str">
        <f t="shared" ca="1" si="7"/>
        <v/>
      </c>
      <c r="R74" s="34"/>
      <c r="S74" s="274" t="str">
        <f t="shared" si="8"/>
        <v/>
      </c>
      <c r="T74" s="277" t="str">
        <f t="shared" si="9"/>
        <v/>
      </c>
    </row>
    <row r="75" spans="1:20" x14ac:dyDescent="0.35">
      <c r="A75" s="270">
        <f t="shared" si="5"/>
        <v>71</v>
      </c>
      <c r="B75" s="272" t="str">
        <f>IF(AND(ITDRRegister[[#This Row],[Dependency category]]="",ITDRRegister[[#This Row],[Dependency area]]=""),"","DR-"&amp;TEXT($A75,"000"))</f>
        <v/>
      </c>
      <c r="C75" s="37"/>
      <c r="D75" s="35"/>
      <c r="E75" s="38"/>
      <c r="F75" s="34"/>
      <c r="G75" s="1"/>
      <c r="H75" s="1"/>
      <c r="I75" s="1"/>
      <c r="J75" s="1"/>
      <c r="K75" s="141"/>
      <c r="L75" s="34"/>
      <c r="M75" s="133"/>
      <c r="N75" s="133"/>
      <c r="O75" s="142"/>
      <c r="P75" s="273" t="str">
        <f t="shared" si="6"/>
        <v/>
      </c>
      <c r="Q75" s="274" t="str">
        <f t="shared" ca="1" si="7"/>
        <v/>
      </c>
      <c r="R75" s="34"/>
      <c r="S75" s="274" t="str">
        <f t="shared" si="8"/>
        <v/>
      </c>
      <c r="T75" s="277" t="str">
        <f t="shared" si="9"/>
        <v/>
      </c>
    </row>
    <row r="76" spans="1:20" x14ac:dyDescent="0.35">
      <c r="A76" s="270">
        <f t="shared" si="5"/>
        <v>72</v>
      </c>
      <c r="B76" s="272" t="str">
        <f>IF(AND(ITDRRegister[[#This Row],[Dependency category]]="",ITDRRegister[[#This Row],[Dependency area]]=""),"","DR-"&amp;TEXT($A76,"000"))</f>
        <v/>
      </c>
      <c r="C76" s="37"/>
      <c r="D76" s="35"/>
      <c r="E76" s="38"/>
      <c r="F76" s="34"/>
      <c r="G76" s="1"/>
      <c r="H76" s="1"/>
      <c r="I76" s="1"/>
      <c r="J76" s="1"/>
      <c r="K76" s="141"/>
      <c r="L76" s="34"/>
      <c r="M76" s="133"/>
      <c r="N76" s="133"/>
      <c r="O76" s="142"/>
      <c r="P76" s="273" t="str">
        <f t="shared" si="6"/>
        <v/>
      </c>
      <c r="Q76" s="274" t="str">
        <f t="shared" ca="1" si="7"/>
        <v/>
      </c>
      <c r="R76" s="34"/>
      <c r="S76" s="274" t="str">
        <f t="shared" si="8"/>
        <v/>
      </c>
      <c r="T76" s="277" t="str">
        <f t="shared" si="9"/>
        <v/>
      </c>
    </row>
    <row r="77" spans="1:20" x14ac:dyDescent="0.35">
      <c r="A77" s="270">
        <f t="shared" si="5"/>
        <v>73</v>
      </c>
      <c r="B77" s="272" t="str">
        <f>IF(AND(ITDRRegister[[#This Row],[Dependency category]]="",ITDRRegister[[#This Row],[Dependency area]]=""),"","DR-"&amp;TEXT($A77,"000"))</f>
        <v/>
      </c>
      <c r="C77" s="37"/>
      <c r="D77" s="35"/>
      <c r="E77" s="38"/>
      <c r="F77" s="34"/>
      <c r="G77" s="1"/>
      <c r="H77" s="1"/>
      <c r="I77" s="1"/>
      <c r="J77" s="1"/>
      <c r="K77" s="141"/>
      <c r="L77" s="34"/>
      <c r="M77" s="133"/>
      <c r="N77" s="133"/>
      <c r="O77" s="142"/>
      <c r="P77" s="273" t="str">
        <f t="shared" si="6"/>
        <v/>
      </c>
      <c r="Q77" s="274" t="str">
        <f t="shared" ca="1" si="7"/>
        <v/>
      </c>
      <c r="R77" s="34"/>
      <c r="S77" s="274" t="str">
        <f t="shared" si="8"/>
        <v/>
      </c>
      <c r="T77" s="277" t="str">
        <f t="shared" si="9"/>
        <v/>
      </c>
    </row>
    <row r="78" spans="1:20" x14ac:dyDescent="0.35">
      <c r="A78" s="270">
        <f t="shared" si="5"/>
        <v>74</v>
      </c>
      <c r="B78" s="272" t="str">
        <f>IF(AND(ITDRRegister[[#This Row],[Dependency category]]="",ITDRRegister[[#This Row],[Dependency area]]=""),"","DR-"&amp;TEXT($A78,"000"))</f>
        <v/>
      </c>
      <c r="C78" s="37"/>
      <c r="D78" s="35"/>
      <c r="E78" s="38"/>
      <c r="F78" s="34"/>
      <c r="G78" s="1"/>
      <c r="H78" s="1"/>
      <c r="I78" s="1"/>
      <c r="J78" s="1"/>
      <c r="K78" s="141"/>
      <c r="L78" s="34"/>
      <c r="M78" s="133"/>
      <c r="N78" s="133"/>
      <c r="O78" s="142"/>
      <c r="P78" s="273" t="str">
        <f t="shared" si="6"/>
        <v/>
      </c>
      <c r="Q78" s="274" t="str">
        <f t="shared" ca="1" si="7"/>
        <v/>
      </c>
      <c r="R78" s="34"/>
      <c r="S78" s="274" t="str">
        <f t="shared" si="8"/>
        <v/>
      </c>
      <c r="T78" s="277" t="str">
        <f t="shared" si="9"/>
        <v/>
      </c>
    </row>
    <row r="79" spans="1:20" x14ac:dyDescent="0.35">
      <c r="A79" s="270">
        <f t="shared" si="5"/>
        <v>75</v>
      </c>
      <c r="B79" s="272" t="str">
        <f>IF(AND(ITDRRegister[[#This Row],[Dependency category]]="",ITDRRegister[[#This Row],[Dependency area]]=""),"","DR-"&amp;TEXT($A79,"000"))</f>
        <v/>
      </c>
      <c r="C79" s="37"/>
      <c r="D79" s="35"/>
      <c r="E79" s="38"/>
      <c r="F79" s="34"/>
      <c r="G79" s="1"/>
      <c r="H79" s="1"/>
      <c r="I79" s="1"/>
      <c r="J79" s="1"/>
      <c r="K79" s="141"/>
      <c r="L79" s="34"/>
      <c r="M79" s="133"/>
      <c r="N79" s="133"/>
      <c r="O79" s="142"/>
      <c r="P79" s="273" t="str">
        <f t="shared" si="6"/>
        <v/>
      </c>
      <c r="Q79" s="274" t="str">
        <f t="shared" ca="1" si="7"/>
        <v/>
      </c>
      <c r="R79" s="34"/>
      <c r="S79" s="274" t="str">
        <f t="shared" si="8"/>
        <v/>
      </c>
      <c r="T79" s="277" t="str">
        <f t="shared" si="9"/>
        <v/>
      </c>
    </row>
    <row r="80" spans="1:20" x14ac:dyDescent="0.35">
      <c r="A80" s="270">
        <f t="shared" si="5"/>
        <v>76</v>
      </c>
      <c r="B80" s="272" t="str">
        <f>IF(AND(ITDRRegister[[#This Row],[Dependency category]]="",ITDRRegister[[#This Row],[Dependency area]]=""),"","DR-"&amp;TEXT($A80,"000"))</f>
        <v/>
      </c>
      <c r="C80" s="37"/>
      <c r="D80" s="35"/>
      <c r="E80" s="38"/>
      <c r="F80" s="34"/>
      <c r="G80" s="1"/>
      <c r="H80" s="1"/>
      <c r="I80" s="1"/>
      <c r="J80" s="1"/>
      <c r="K80" s="141"/>
      <c r="L80" s="34"/>
      <c r="M80" s="133"/>
      <c r="N80" s="133"/>
      <c r="O80" s="142"/>
      <c r="P80" s="273" t="str">
        <f t="shared" si="6"/>
        <v/>
      </c>
      <c r="Q80" s="274" t="str">
        <f t="shared" ca="1" si="7"/>
        <v/>
      </c>
      <c r="R80" s="34"/>
      <c r="S80" s="274" t="str">
        <f t="shared" si="8"/>
        <v/>
      </c>
      <c r="T80" s="277" t="str">
        <f t="shared" si="9"/>
        <v/>
      </c>
    </row>
    <row r="81" spans="1:20" x14ac:dyDescent="0.35">
      <c r="A81" s="270">
        <f t="shared" si="5"/>
        <v>77</v>
      </c>
      <c r="B81" s="272" t="str">
        <f>IF(AND(ITDRRegister[[#This Row],[Dependency category]]="",ITDRRegister[[#This Row],[Dependency area]]=""),"","DR-"&amp;TEXT($A81,"000"))</f>
        <v/>
      </c>
      <c r="C81" s="37"/>
      <c r="D81" s="35"/>
      <c r="E81" s="38"/>
      <c r="F81" s="34"/>
      <c r="G81" s="1"/>
      <c r="H81" s="1"/>
      <c r="I81" s="1"/>
      <c r="J81" s="1"/>
      <c r="K81" s="141"/>
      <c r="L81" s="34"/>
      <c r="M81" s="133"/>
      <c r="N81" s="133"/>
      <c r="O81" s="142"/>
      <c r="P81" s="273" t="str">
        <f t="shared" si="6"/>
        <v/>
      </c>
      <c r="Q81" s="274" t="str">
        <f t="shared" ca="1" si="7"/>
        <v/>
      </c>
      <c r="R81" s="34"/>
      <c r="S81" s="274" t="str">
        <f t="shared" si="8"/>
        <v/>
      </c>
      <c r="T81" s="277" t="str">
        <f t="shared" si="9"/>
        <v/>
      </c>
    </row>
    <row r="82" spans="1:20" x14ac:dyDescent="0.35">
      <c r="A82" s="270">
        <f t="shared" si="5"/>
        <v>78</v>
      </c>
      <c r="B82" s="272" t="str">
        <f>IF(AND(ITDRRegister[[#This Row],[Dependency category]]="",ITDRRegister[[#This Row],[Dependency area]]=""),"","DR-"&amp;TEXT($A82,"000"))</f>
        <v/>
      </c>
      <c r="C82" s="37"/>
      <c r="D82" s="35"/>
      <c r="E82" s="38"/>
      <c r="F82" s="34"/>
      <c r="G82" s="1"/>
      <c r="H82" s="1"/>
      <c r="I82" s="1"/>
      <c r="J82" s="1"/>
      <c r="K82" s="141"/>
      <c r="L82" s="34"/>
      <c r="M82" s="133"/>
      <c r="N82" s="133"/>
      <c r="O82" s="142"/>
      <c r="P82" s="273" t="str">
        <f t="shared" si="6"/>
        <v/>
      </c>
      <c r="Q82" s="274" t="str">
        <f t="shared" ca="1" si="7"/>
        <v/>
      </c>
      <c r="R82" s="34"/>
      <c r="S82" s="274" t="str">
        <f t="shared" si="8"/>
        <v/>
      </c>
      <c r="T82" s="277" t="str">
        <f t="shared" si="9"/>
        <v/>
      </c>
    </row>
    <row r="83" spans="1:20" x14ac:dyDescent="0.35">
      <c r="A83" s="270">
        <f t="shared" si="5"/>
        <v>79</v>
      </c>
      <c r="B83" s="272" t="str">
        <f>IF(AND(ITDRRegister[[#This Row],[Dependency category]]="",ITDRRegister[[#This Row],[Dependency area]]=""),"","DR-"&amp;TEXT($A83,"000"))</f>
        <v/>
      </c>
      <c r="C83" s="37"/>
      <c r="D83" s="35"/>
      <c r="E83" s="38"/>
      <c r="F83" s="34"/>
      <c r="G83" s="1"/>
      <c r="H83" s="1"/>
      <c r="I83" s="1"/>
      <c r="J83" s="1"/>
      <c r="K83" s="141"/>
      <c r="L83" s="34"/>
      <c r="M83" s="133"/>
      <c r="N83" s="133"/>
      <c r="O83" s="142"/>
      <c r="P83" s="273" t="str">
        <f t="shared" si="6"/>
        <v/>
      </c>
      <c r="Q83" s="274" t="str">
        <f t="shared" ca="1" si="7"/>
        <v/>
      </c>
      <c r="R83" s="34"/>
      <c r="S83" s="274" t="str">
        <f t="shared" si="8"/>
        <v/>
      </c>
      <c r="T83" s="277" t="str">
        <f t="shared" si="9"/>
        <v/>
      </c>
    </row>
    <row r="84" spans="1:20" x14ac:dyDescent="0.35">
      <c r="A84" s="270">
        <f t="shared" si="5"/>
        <v>80</v>
      </c>
      <c r="B84" s="272" t="str">
        <f>IF(AND(ITDRRegister[[#This Row],[Dependency category]]="",ITDRRegister[[#This Row],[Dependency area]]=""),"","DR-"&amp;TEXT($A84,"000"))</f>
        <v/>
      </c>
      <c r="C84" s="37"/>
      <c r="D84" s="35"/>
      <c r="E84" s="38"/>
      <c r="F84" s="34"/>
      <c r="G84" s="1"/>
      <c r="H84" s="1"/>
      <c r="I84" s="1"/>
      <c r="J84" s="1"/>
      <c r="K84" s="141"/>
      <c r="L84" s="34"/>
      <c r="M84" s="133"/>
      <c r="N84" s="133"/>
      <c r="O84" s="142"/>
      <c r="P84" s="273" t="str">
        <f t="shared" si="6"/>
        <v/>
      </c>
      <c r="Q84" s="274" t="str">
        <f t="shared" ca="1" si="7"/>
        <v/>
      </c>
      <c r="R84" s="34"/>
      <c r="S84" s="274" t="str">
        <f t="shared" si="8"/>
        <v/>
      </c>
      <c r="T84" s="277" t="str">
        <f t="shared" si="9"/>
        <v/>
      </c>
    </row>
    <row r="85" spans="1:20" x14ac:dyDescent="0.35">
      <c r="A85" s="270">
        <f t="shared" si="5"/>
        <v>81</v>
      </c>
      <c r="B85" s="272" t="str">
        <f>IF(AND(ITDRRegister[[#This Row],[Dependency category]]="",ITDRRegister[[#This Row],[Dependency area]]=""),"","DR-"&amp;TEXT($A85,"000"))</f>
        <v/>
      </c>
      <c r="C85" s="37"/>
      <c r="D85" s="35"/>
      <c r="E85" s="38"/>
      <c r="F85" s="34"/>
      <c r="G85" s="1"/>
      <c r="H85" s="1"/>
      <c r="I85" s="1"/>
      <c r="J85" s="1"/>
      <c r="K85" s="141"/>
      <c r="L85" s="34"/>
      <c r="M85" s="133"/>
      <c r="N85" s="133"/>
      <c r="O85" s="142"/>
      <c r="P85" s="273" t="str">
        <f t="shared" si="6"/>
        <v/>
      </c>
      <c r="Q85" s="274" t="str">
        <f t="shared" ca="1" si="7"/>
        <v/>
      </c>
      <c r="R85" s="34"/>
      <c r="S85" s="274" t="str">
        <f t="shared" si="8"/>
        <v/>
      </c>
      <c r="T85" s="277" t="str">
        <f t="shared" si="9"/>
        <v/>
      </c>
    </row>
    <row r="86" spans="1:20" x14ac:dyDescent="0.35">
      <c r="A86" s="270">
        <f t="shared" si="5"/>
        <v>82</v>
      </c>
      <c r="B86" s="272" t="str">
        <f>IF(AND(ITDRRegister[[#This Row],[Dependency category]]="",ITDRRegister[[#This Row],[Dependency area]]=""),"","DR-"&amp;TEXT($A86,"000"))</f>
        <v/>
      </c>
      <c r="C86" s="37"/>
      <c r="D86" s="35"/>
      <c r="E86" s="38"/>
      <c r="F86" s="34"/>
      <c r="G86" s="1"/>
      <c r="H86" s="1"/>
      <c r="I86" s="1"/>
      <c r="J86" s="1"/>
      <c r="K86" s="141"/>
      <c r="L86" s="34"/>
      <c r="M86" s="133"/>
      <c r="N86" s="133"/>
      <c r="O86" s="142"/>
      <c r="P86" s="273" t="str">
        <f t="shared" si="6"/>
        <v/>
      </c>
      <c r="Q86" s="274" t="str">
        <f t="shared" ca="1" si="7"/>
        <v/>
      </c>
      <c r="R86" s="34"/>
      <c r="S86" s="274" t="str">
        <f t="shared" si="8"/>
        <v/>
      </c>
      <c r="T86" s="277" t="str">
        <f t="shared" si="9"/>
        <v/>
      </c>
    </row>
    <row r="87" spans="1:20" x14ac:dyDescent="0.35">
      <c r="A87" s="270">
        <f t="shared" si="5"/>
        <v>83</v>
      </c>
      <c r="B87" s="272" t="str">
        <f>IF(AND(ITDRRegister[[#This Row],[Dependency category]]="",ITDRRegister[[#This Row],[Dependency area]]=""),"","DR-"&amp;TEXT($A87,"000"))</f>
        <v/>
      </c>
      <c r="C87" s="37"/>
      <c r="D87" s="35"/>
      <c r="E87" s="38"/>
      <c r="F87" s="34"/>
      <c r="G87" s="1"/>
      <c r="H87" s="1"/>
      <c r="I87" s="1"/>
      <c r="J87" s="1"/>
      <c r="K87" s="141"/>
      <c r="L87" s="34"/>
      <c r="M87" s="133"/>
      <c r="N87" s="133"/>
      <c r="O87" s="142"/>
      <c r="P87" s="273" t="str">
        <f t="shared" si="6"/>
        <v/>
      </c>
      <c r="Q87" s="274" t="str">
        <f t="shared" ca="1" si="7"/>
        <v/>
      </c>
      <c r="R87" s="34"/>
      <c r="S87" s="274" t="str">
        <f t="shared" si="8"/>
        <v/>
      </c>
      <c r="T87" s="277" t="str">
        <f t="shared" si="9"/>
        <v/>
      </c>
    </row>
    <row r="88" spans="1:20" x14ac:dyDescent="0.35">
      <c r="A88" s="270">
        <f t="shared" si="5"/>
        <v>84</v>
      </c>
      <c r="B88" s="272" t="str">
        <f>IF(AND(ITDRRegister[[#This Row],[Dependency category]]="",ITDRRegister[[#This Row],[Dependency area]]=""),"","DR-"&amp;TEXT($A88,"000"))</f>
        <v/>
      </c>
      <c r="C88" s="37"/>
      <c r="D88" s="35"/>
      <c r="E88" s="38"/>
      <c r="F88" s="34"/>
      <c r="G88" s="1"/>
      <c r="H88" s="1"/>
      <c r="I88" s="1"/>
      <c r="J88" s="1"/>
      <c r="K88" s="141"/>
      <c r="L88" s="34"/>
      <c r="M88" s="133"/>
      <c r="N88" s="133"/>
      <c r="O88" s="142"/>
      <c r="P88" s="273" t="str">
        <f t="shared" si="6"/>
        <v/>
      </c>
      <c r="Q88" s="274" t="str">
        <f t="shared" ca="1" si="7"/>
        <v/>
      </c>
      <c r="R88" s="34"/>
      <c r="S88" s="274" t="str">
        <f t="shared" si="8"/>
        <v/>
      </c>
      <c r="T88" s="277" t="str">
        <f t="shared" si="9"/>
        <v/>
      </c>
    </row>
    <row r="89" spans="1:20" x14ac:dyDescent="0.35">
      <c r="A89" s="270">
        <f t="shared" si="5"/>
        <v>85</v>
      </c>
      <c r="B89" s="272" t="str">
        <f>IF(AND(ITDRRegister[[#This Row],[Dependency category]]="",ITDRRegister[[#This Row],[Dependency area]]=""),"","DR-"&amp;TEXT($A89,"000"))</f>
        <v/>
      </c>
      <c r="C89" s="37"/>
      <c r="D89" s="35"/>
      <c r="E89" s="38"/>
      <c r="F89" s="34"/>
      <c r="G89" s="1"/>
      <c r="H89" s="1"/>
      <c r="I89" s="1"/>
      <c r="J89" s="1"/>
      <c r="K89" s="141"/>
      <c r="L89" s="34"/>
      <c r="M89" s="133"/>
      <c r="N89" s="133"/>
      <c r="O89" s="142"/>
      <c r="P89" s="273" t="str">
        <f t="shared" si="6"/>
        <v/>
      </c>
      <c r="Q89" s="274" t="str">
        <f t="shared" ca="1" si="7"/>
        <v/>
      </c>
      <c r="R89" s="34"/>
      <c r="S89" s="274" t="str">
        <f t="shared" si="8"/>
        <v/>
      </c>
      <c r="T89" s="277" t="str">
        <f t="shared" si="9"/>
        <v/>
      </c>
    </row>
    <row r="90" spans="1:20" x14ac:dyDescent="0.35">
      <c r="A90" s="270">
        <f t="shared" si="5"/>
        <v>86</v>
      </c>
      <c r="B90" s="272" t="str">
        <f>IF(AND(ITDRRegister[[#This Row],[Dependency category]]="",ITDRRegister[[#This Row],[Dependency area]]=""),"","DR-"&amp;TEXT($A90,"000"))</f>
        <v/>
      </c>
      <c r="C90" s="37"/>
      <c r="D90" s="35"/>
      <c r="E90" s="38"/>
      <c r="F90" s="34"/>
      <c r="G90" s="1"/>
      <c r="H90" s="1"/>
      <c r="I90" s="1"/>
      <c r="J90" s="1"/>
      <c r="K90" s="141"/>
      <c r="L90" s="34"/>
      <c r="M90" s="133"/>
      <c r="N90" s="133"/>
      <c r="O90" s="142"/>
      <c r="P90" s="273" t="str">
        <f t="shared" si="6"/>
        <v/>
      </c>
      <c r="Q90" s="274" t="str">
        <f t="shared" ca="1" si="7"/>
        <v/>
      </c>
      <c r="R90" s="34"/>
      <c r="S90" s="274" t="str">
        <f t="shared" si="8"/>
        <v/>
      </c>
      <c r="T90" s="277" t="str">
        <f t="shared" si="9"/>
        <v/>
      </c>
    </row>
    <row r="91" spans="1:20" x14ac:dyDescent="0.35">
      <c r="A91" s="270">
        <f t="shared" si="5"/>
        <v>87</v>
      </c>
      <c r="B91" s="272" t="str">
        <f>IF(AND(ITDRRegister[[#This Row],[Dependency category]]="",ITDRRegister[[#This Row],[Dependency area]]=""),"","DR-"&amp;TEXT($A91,"000"))</f>
        <v/>
      </c>
      <c r="C91" s="37"/>
      <c r="D91" s="35"/>
      <c r="E91" s="38"/>
      <c r="F91" s="34"/>
      <c r="G91" s="1"/>
      <c r="H91" s="1"/>
      <c r="I91" s="1"/>
      <c r="J91" s="1"/>
      <c r="K91" s="141"/>
      <c r="L91" s="34"/>
      <c r="M91" s="133"/>
      <c r="N91" s="133"/>
      <c r="O91" s="142"/>
      <c r="P91" s="273" t="str">
        <f t="shared" si="6"/>
        <v/>
      </c>
      <c r="Q91" s="274" t="str">
        <f t="shared" ca="1" si="7"/>
        <v/>
      </c>
      <c r="R91" s="34"/>
      <c r="S91" s="274" t="str">
        <f t="shared" si="8"/>
        <v/>
      </c>
      <c r="T91" s="277" t="str">
        <f t="shared" si="9"/>
        <v/>
      </c>
    </row>
    <row r="92" spans="1:20" x14ac:dyDescent="0.35">
      <c r="A92" s="270">
        <f t="shared" si="5"/>
        <v>88</v>
      </c>
      <c r="B92" s="272" t="str">
        <f>IF(AND(ITDRRegister[[#This Row],[Dependency category]]="",ITDRRegister[[#This Row],[Dependency area]]=""),"","DR-"&amp;TEXT($A92,"000"))</f>
        <v/>
      </c>
      <c r="C92" s="37"/>
      <c r="D92" s="35"/>
      <c r="E92" s="38"/>
      <c r="F92" s="34"/>
      <c r="G92" s="1"/>
      <c r="H92" s="1"/>
      <c r="I92" s="1"/>
      <c r="J92" s="1"/>
      <c r="K92" s="141"/>
      <c r="L92" s="34"/>
      <c r="M92" s="133"/>
      <c r="N92" s="133"/>
      <c r="O92" s="142"/>
      <c r="P92" s="273" t="str">
        <f t="shared" si="6"/>
        <v/>
      </c>
      <c r="Q92" s="274" t="str">
        <f t="shared" ca="1" si="7"/>
        <v/>
      </c>
      <c r="R92" s="34"/>
      <c r="S92" s="274" t="str">
        <f t="shared" si="8"/>
        <v/>
      </c>
      <c r="T92" s="277" t="str">
        <f t="shared" si="9"/>
        <v/>
      </c>
    </row>
    <row r="93" spans="1:20" x14ac:dyDescent="0.35">
      <c r="A93" s="270">
        <f t="shared" si="5"/>
        <v>89</v>
      </c>
      <c r="B93" s="272" t="str">
        <f>IF(AND(ITDRRegister[[#This Row],[Dependency category]]="",ITDRRegister[[#This Row],[Dependency area]]=""),"","DR-"&amp;TEXT($A93,"000"))</f>
        <v/>
      </c>
      <c r="C93" s="37"/>
      <c r="D93" s="35"/>
      <c r="E93" s="38"/>
      <c r="F93" s="34"/>
      <c r="G93" s="1"/>
      <c r="H93" s="1"/>
      <c r="I93" s="1"/>
      <c r="J93" s="1"/>
      <c r="K93" s="141"/>
      <c r="L93" s="34"/>
      <c r="M93" s="133"/>
      <c r="N93" s="133"/>
      <c r="O93" s="142"/>
      <c r="P93" s="273" t="str">
        <f t="shared" si="6"/>
        <v/>
      </c>
      <c r="Q93" s="274" t="str">
        <f t="shared" ca="1" si="7"/>
        <v/>
      </c>
      <c r="R93" s="34"/>
      <c r="S93" s="274" t="str">
        <f t="shared" si="8"/>
        <v/>
      </c>
      <c r="T93" s="277" t="str">
        <f t="shared" si="9"/>
        <v/>
      </c>
    </row>
    <row r="94" spans="1:20" x14ac:dyDescent="0.35">
      <c r="A94" s="270">
        <f t="shared" si="5"/>
        <v>90</v>
      </c>
      <c r="B94" s="272" t="str">
        <f>IF(AND(ITDRRegister[[#This Row],[Dependency category]]="",ITDRRegister[[#This Row],[Dependency area]]=""),"","DR-"&amp;TEXT($A94,"000"))</f>
        <v/>
      </c>
      <c r="C94" s="37"/>
      <c r="D94" s="35"/>
      <c r="E94" s="38"/>
      <c r="F94" s="34"/>
      <c r="G94" s="1"/>
      <c r="H94" s="1"/>
      <c r="I94" s="1"/>
      <c r="J94" s="1"/>
      <c r="K94" s="141"/>
      <c r="L94" s="34"/>
      <c r="M94" s="133"/>
      <c r="N94" s="133"/>
      <c r="O94" s="142"/>
      <c r="P94" s="273" t="str">
        <f t="shared" si="6"/>
        <v/>
      </c>
      <c r="Q94" s="274" t="str">
        <f t="shared" ca="1" si="7"/>
        <v/>
      </c>
      <c r="R94" s="34"/>
      <c r="S94" s="274" t="str">
        <f t="shared" si="8"/>
        <v/>
      </c>
      <c r="T94" s="277" t="str">
        <f t="shared" si="9"/>
        <v/>
      </c>
    </row>
    <row r="95" spans="1:20" x14ac:dyDescent="0.35">
      <c r="A95" s="270">
        <f t="shared" si="5"/>
        <v>91</v>
      </c>
      <c r="B95" s="272" t="str">
        <f>IF(AND(ITDRRegister[[#This Row],[Dependency category]]="",ITDRRegister[[#This Row],[Dependency area]]=""),"","DR-"&amp;TEXT($A95,"000"))</f>
        <v/>
      </c>
      <c r="C95" s="37"/>
      <c r="D95" s="35"/>
      <c r="E95" s="38"/>
      <c r="F95" s="34"/>
      <c r="G95" s="1"/>
      <c r="H95" s="1"/>
      <c r="I95" s="1"/>
      <c r="J95" s="1"/>
      <c r="K95" s="141"/>
      <c r="L95" s="34"/>
      <c r="M95" s="133"/>
      <c r="N95" s="133"/>
      <c r="O95" s="142"/>
      <c r="P95" s="273" t="str">
        <f t="shared" si="6"/>
        <v/>
      </c>
      <c r="Q95" s="274" t="str">
        <f t="shared" ca="1" si="7"/>
        <v/>
      </c>
      <c r="R95" s="34"/>
      <c r="S95" s="274" t="str">
        <f t="shared" si="8"/>
        <v/>
      </c>
      <c r="T95" s="277" t="str">
        <f t="shared" si="9"/>
        <v/>
      </c>
    </row>
    <row r="96" spans="1:20" x14ac:dyDescent="0.35">
      <c r="A96" s="270">
        <f t="shared" si="5"/>
        <v>92</v>
      </c>
      <c r="B96" s="272" t="str">
        <f>IF(AND(ITDRRegister[[#This Row],[Dependency category]]="",ITDRRegister[[#This Row],[Dependency area]]=""),"","DR-"&amp;TEXT($A96,"000"))</f>
        <v/>
      </c>
      <c r="C96" s="37"/>
      <c r="D96" s="35"/>
      <c r="E96" s="38"/>
      <c r="F96" s="34"/>
      <c r="G96" s="1"/>
      <c r="H96" s="1"/>
      <c r="I96" s="1"/>
      <c r="J96" s="1"/>
      <c r="K96" s="141"/>
      <c r="L96" s="34"/>
      <c r="M96" s="133"/>
      <c r="N96" s="133"/>
      <c r="O96" s="142"/>
      <c r="P96" s="273" t="str">
        <f t="shared" si="6"/>
        <v/>
      </c>
      <c r="Q96" s="274" t="str">
        <f t="shared" ca="1" si="7"/>
        <v/>
      </c>
      <c r="R96" s="34"/>
      <c r="S96" s="274" t="str">
        <f t="shared" si="8"/>
        <v/>
      </c>
      <c r="T96" s="277" t="str">
        <f t="shared" si="9"/>
        <v/>
      </c>
    </row>
    <row r="97" spans="1:20" x14ac:dyDescent="0.35">
      <c r="A97" s="270">
        <f t="shared" si="5"/>
        <v>93</v>
      </c>
      <c r="B97" s="272" t="str">
        <f>IF(AND(ITDRRegister[[#This Row],[Dependency category]]="",ITDRRegister[[#This Row],[Dependency area]]=""),"","DR-"&amp;TEXT($A97,"000"))</f>
        <v/>
      </c>
      <c r="C97" s="37"/>
      <c r="D97" s="35"/>
      <c r="E97" s="38"/>
      <c r="F97" s="34"/>
      <c r="G97" s="1"/>
      <c r="H97" s="1"/>
      <c r="I97" s="1"/>
      <c r="J97" s="1"/>
      <c r="K97" s="141"/>
      <c r="L97" s="34"/>
      <c r="M97" s="133"/>
      <c r="N97" s="133"/>
      <c r="O97" s="142"/>
      <c r="P97" s="273" t="str">
        <f t="shared" si="6"/>
        <v/>
      </c>
      <c r="Q97" s="274" t="str">
        <f t="shared" ca="1" si="7"/>
        <v/>
      </c>
      <c r="R97" s="34"/>
      <c r="S97" s="274" t="str">
        <f t="shared" si="8"/>
        <v/>
      </c>
      <c r="T97" s="277" t="str">
        <f t="shared" si="9"/>
        <v/>
      </c>
    </row>
    <row r="98" spans="1:20" x14ac:dyDescent="0.35">
      <c r="A98" s="270">
        <f t="shared" si="5"/>
        <v>94</v>
      </c>
      <c r="B98" s="272" t="str">
        <f>IF(AND(ITDRRegister[[#This Row],[Dependency category]]="",ITDRRegister[[#This Row],[Dependency area]]=""),"","DR-"&amp;TEXT($A98,"000"))</f>
        <v/>
      </c>
      <c r="C98" s="37"/>
      <c r="D98" s="35"/>
      <c r="E98" s="38"/>
      <c r="F98" s="34"/>
      <c r="G98" s="1"/>
      <c r="H98" s="1"/>
      <c r="I98" s="1"/>
      <c r="J98" s="1"/>
      <c r="K98" s="141"/>
      <c r="L98" s="34"/>
      <c r="M98" s="133"/>
      <c r="N98" s="133"/>
      <c r="O98" s="142"/>
      <c r="P98" s="273" t="str">
        <f t="shared" si="6"/>
        <v/>
      </c>
      <c r="Q98" s="274" t="str">
        <f t="shared" ca="1" si="7"/>
        <v/>
      </c>
      <c r="R98" s="34"/>
      <c r="S98" s="274" t="str">
        <f t="shared" si="8"/>
        <v/>
      </c>
      <c r="T98" s="277" t="str">
        <f t="shared" si="9"/>
        <v/>
      </c>
    </row>
    <row r="99" spans="1:20" x14ac:dyDescent="0.35">
      <c r="A99" s="270">
        <f t="shared" si="5"/>
        <v>95</v>
      </c>
      <c r="B99" s="272" t="str">
        <f>IF(AND(ITDRRegister[[#This Row],[Dependency category]]="",ITDRRegister[[#This Row],[Dependency area]]=""),"","DR-"&amp;TEXT($A99,"000"))</f>
        <v/>
      </c>
      <c r="C99" s="37"/>
      <c r="D99" s="35"/>
      <c r="E99" s="38"/>
      <c r="F99" s="34"/>
      <c r="G99" s="1"/>
      <c r="H99" s="1"/>
      <c r="I99" s="1"/>
      <c r="J99" s="1"/>
      <c r="K99" s="141"/>
      <c r="L99" s="34"/>
      <c r="M99" s="133"/>
      <c r="N99" s="133"/>
      <c r="O99" s="142"/>
      <c r="P99" s="273" t="str">
        <f t="shared" si="6"/>
        <v/>
      </c>
      <c r="Q99" s="274" t="str">
        <f t="shared" ca="1" si="7"/>
        <v/>
      </c>
      <c r="R99" s="34"/>
      <c r="S99" s="274" t="str">
        <f t="shared" si="8"/>
        <v/>
      </c>
      <c r="T99" s="277" t="str">
        <f t="shared" si="9"/>
        <v/>
      </c>
    </row>
    <row r="100" spans="1:20" x14ac:dyDescent="0.35">
      <c r="A100" s="270">
        <f t="shared" si="5"/>
        <v>96</v>
      </c>
      <c r="B100" s="272" t="str">
        <f>IF(AND(ITDRRegister[[#This Row],[Dependency category]]="",ITDRRegister[[#This Row],[Dependency area]]=""),"","DR-"&amp;TEXT($A100,"000"))</f>
        <v/>
      </c>
      <c r="C100" s="37"/>
      <c r="D100" s="35"/>
      <c r="E100" s="38"/>
      <c r="F100" s="34"/>
      <c r="G100" s="1"/>
      <c r="H100" s="1"/>
      <c r="I100" s="1"/>
      <c r="J100" s="1"/>
      <c r="K100" s="141"/>
      <c r="L100" s="34"/>
      <c r="M100" s="133"/>
      <c r="N100" s="133"/>
      <c r="O100" s="142"/>
      <c r="P100" s="273" t="str">
        <f t="shared" si="6"/>
        <v/>
      </c>
      <c r="Q100" s="274" t="str">
        <f t="shared" ca="1" si="7"/>
        <v/>
      </c>
      <c r="R100" s="34"/>
      <c r="S100" s="274" t="str">
        <f t="shared" si="8"/>
        <v/>
      </c>
      <c r="T100" s="277" t="str">
        <f t="shared" si="9"/>
        <v/>
      </c>
    </row>
    <row r="101" spans="1:20" x14ac:dyDescent="0.35">
      <c r="A101" s="270">
        <f t="shared" si="5"/>
        <v>97</v>
      </c>
      <c r="B101" s="272" t="str">
        <f>IF(AND(ITDRRegister[[#This Row],[Dependency category]]="",ITDRRegister[[#This Row],[Dependency area]]=""),"","DR-"&amp;TEXT($A101,"000"))</f>
        <v/>
      </c>
      <c r="C101" s="37"/>
      <c r="D101" s="35"/>
      <c r="E101" s="38"/>
      <c r="F101" s="34"/>
      <c r="G101" s="1"/>
      <c r="H101" s="1"/>
      <c r="I101" s="1"/>
      <c r="J101" s="1"/>
      <c r="K101" s="141"/>
      <c r="L101" s="34"/>
      <c r="M101" s="133"/>
      <c r="N101" s="133"/>
      <c r="O101" s="142"/>
      <c r="P101" s="273" t="str">
        <f t="shared" si="6"/>
        <v/>
      </c>
      <c r="Q101" s="274" t="str">
        <f t="shared" ca="1" si="7"/>
        <v/>
      </c>
      <c r="R101" s="34"/>
      <c r="S101" s="274" t="str">
        <f t="shared" si="8"/>
        <v/>
      </c>
      <c r="T101" s="277" t="str">
        <f t="shared" si="9"/>
        <v/>
      </c>
    </row>
    <row r="102" spans="1:20" x14ac:dyDescent="0.35">
      <c r="A102" s="270">
        <f t="shared" si="5"/>
        <v>98</v>
      </c>
      <c r="B102" s="272" t="str">
        <f>IF(AND(ITDRRegister[[#This Row],[Dependency category]]="",ITDRRegister[[#This Row],[Dependency area]]=""),"","DR-"&amp;TEXT($A102,"000"))</f>
        <v/>
      </c>
      <c r="C102" s="37"/>
      <c r="D102" s="35"/>
      <c r="E102" s="38"/>
      <c r="F102" s="34"/>
      <c r="G102" s="1"/>
      <c r="H102" s="1"/>
      <c r="I102" s="1"/>
      <c r="J102" s="1"/>
      <c r="K102" s="141"/>
      <c r="L102" s="34"/>
      <c r="M102" s="133"/>
      <c r="N102" s="133"/>
      <c r="O102" s="142"/>
      <c r="P102" s="273" t="str">
        <f t="shared" si="6"/>
        <v/>
      </c>
      <c r="Q102" s="274" t="str">
        <f t="shared" ca="1" si="7"/>
        <v/>
      </c>
      <c r="R102" s="34"/>
      <c r="S102" s="274" t="str">
        <f t="shared" si="8"/>
        <v/>
      </c>
      <c r="T102" s="277" t="str">
        <f t="shared" si="9"/>
        <v/>
      </c>
    </row>
    <row r="103" spans="1:20" x14ac:dyDescent="0.35">
      <c r="A103" s="270">
        <f t="shared" si="5"/>
        <v>99</v>
      </c>
      <c r="B103" s="272" t="str">
        <f>IF(AND(ITDRRegister[[#This Row],[Dependency category]]="",ITDRRegister[[#This Row],[Dependency area]]=""),"","DR-"&amp;TEXT($A103,"000"))</f>
        <v/>
      </c>
      <c r="C103" s="37"/>
      <c r="D103" s="35"/>
      <c r="E103" s="38"/>
      <c r="F103" s="34"/>
      <c r="G103" s="1"/>
      <c r="H103" s="1"/>
      <c r="I103" s="1"/>
      <c r="J103" s="1"/>
      <c r="K103" s="141"/>
      <c r="L103" s="34"/>
      <c r="M103" s="133"/>
      <c r="N103" s="133"/>
      <c r="O103" s="142"/>
      <c r="P103" s="273" t="str">
        <f t="shared" si="6"/>
        <v/>
      </c>
      <c r="Q103" s="274" t="str">
        <f t="shared" ca="1" si="7"/>
        <v/>
      </c>
      <c r="R103" s="34"/>
      <c r="S103" s="274" t="str">
        <f t="shared" si="8"/>
        <v/>
      </c>
      <c r="T103" s="277" t="str">
        <f t="shared" si="9"/>
        <v/>
      </c>
    </row>
    <row r="104" spans="1:20" x14ac:dyDescent="0.35">
      <c r="A104" s="270">
        <f t="shared" si="5"/>
        <v>100</v>
      </c>
      <c r="B104" s="272" t="str">
        <f>IF(AND(ITDRRegister[[#This Row],[Dependency category]]="",ITDRRegister[[#This Row],[Dependency area]]=""),"","DR-"&amp;TEXT($A104,"000"))</f>
        <v/>
      </c>
      <c r="C104" s="37"/>
      <c r="D104" s="35"/>
      <c r="E104" s="38"/>
      <c r="F104" s="34"/>
      <c r="G104" s="1"/>
      <c r="H104" s="1"/>
      <c r="I104" s="1"/>
      <c r="J104" s="1"/>
      <c r="K104" s="141"/>
      <c r="L104" s="34"/>
      <c r="M104" s="133"/>
      <c r="N104" s="133"/>
      <c r="O104" s="142"/>
      <c r="P104" s="273" t="str">
        <f t="shared" si="6"/>
        <v/>
      </c>
      <c r="Q104" s="274" t="str">
        <f t="shared" ca="1" si="7"/>
        <v/>
      </c>
      <c r="R104" s="34"/>
      <c r="S104" s="274" t="str">
        <f t="shared" si="8"/>
        <v/>
      </c>
      <c r="T104" s="277" t="str">
        <f t="shared" si="9"/>
        <v/>
      </c>
    </row>
    <row r="105" spans="1:20" x14ac:dyDescent="0.35">
      <c r="A105" s="270">
        <f t="shared" si="5"/>
        <v>101</v>
      </c>
      <c r="B105" s="272" t="str">
        <f>IF(AND(ITDRRegister[[#This Row],[Dependency category]]="",ITDRRegister[[#This Row],[Dependency area]]=""),"","DR-"&amp;TEXT($A105,"000"))</f>
        <v/>
      </c>
      <c r="C105" s="37"/>
      <c r="D105" s="35"/>
      <c r="E105" s="38"/>
      <c r="F105" s="34"/>
      <c r="G105" s="1"/>
      <c r="H105" s="1"/>
      <c r="I105" s="1"/>
      <c r="J105" s="1"/>
      <c r="K105" s="141"/>
      <c r="L105" s="34"/>
      <c r="M105" s="133"/>
      <c r="N105" s="133"/>
      <c r="O105" s="142"/>
      <c r="P105" s="273" t="str">
        <f t="shared" si="6"/>
        <v/>
      </c>
      <c r="Q105" s="274" t="str">
        <f t="shared" ca="1" si="7"/>
        <v/>
      </c>
      <c r="R105" s="34"/>
      <c r="S105" s="274" t="str">
        <f t="shared" si="8"/>
        <v/>
      </c>
      <c r="T105" s="277" t="str">
        <f t="shared" si="9"/>
        <v/>
      </c>
    </row>
    <row r="106" spans="1:20" x14ac:dyDescent="0.35">
      <c r="A106" s="270">
        <f t="shared" si="5"/>
        <v>102</v>
      </c>
      <c r="B106" s="272" t="str">
        <f>IF(AND(ITDRRegister[[#This Row],[Dependency category]]="",ITDRRegister[[#This Row],[Dependency area]]=""),"","DR-"&amp;TEXT($A106,"000"))</f>
        <v/>
      </c>
      <c r="C106" s="37"/>
      <c r="D106" s="35"/>
      <c r="E106" s="38"/>
      <c r="F106" s="34"/>
      <c r="G106" s="1"/>
      <c r="H106" s="1"/>
      <c r="I106" s="1"/>
      <c r="J106" s="1"/>
      <c r="K106" s="141"/>
      <c r="L106" s="34"/>
      <c r="M106" s="133"/>
      <c r="N106" s="133"/>
      <c r="O106" s="142"/>
      <c r="P106" s="273" t="str">
        <f t="shared" si="6"/>
        <v/>
      </c>
      <c r="Q106" s="274" t="str">
        <f t="shared" ca="1" si="7"/>
        <v/>
      </c>
      <c r="R106" s="34"/>
      <c r="S106" s="274" t="str">
        <f t="shared" si="8"/>
        <v/>
      </c>
      <c r="T106" s="277" t="str">
        <f t="shared" si="9"/>
        <v/>
      </c>
    </row>
    <row r="107" spans="1:20" x14ac:dyDescent="0.35">
      <c r="A107" s="270">
        <f t="shared" si="5"/>
        <v>103</v>
      </c>
      <c r="B107" s="272" t="str">
        <f>IF(AND(ITDRRegister[[#This Row],[Dependency category]]="",ITDRRegister[[#This Row],[Dependency area]]=""),"","DR-"&amp;TEXT($A107,"000"))</f>
        <v/>
      </c>
      <c r="C107" s="37"/>
      <c r="D107" s="35"/>
      <c r="E107" s="38"/>
      <c r="F107" s="34"/>
      <c r="G107" s="1"/>
      <c r="H107" s="1"/>
      <c r="I107" s="1"/>
      <c r="J107" s="1"/>
      <c r="K107" s="141"/>
      <c r="L107" s="34"/>
      <c r="M107" s="133"/>
      <c r="N107" s="133"/>
      <c r="O107" s="142"/>
      <c r="P107" s="273" t="str">
        <f t="shared" si="6"/>
        <v/>
      </c>
      <c r="Q107" s="274" t="str">
        <f t="shared" ca="1" si="7"/>
        <v/>
      </c>
      <c r="R107" s="34"/>
      <c r="S107" s="274" t="str">
        <f t="shared" si="8"/>
        <v/>
      </c>
      <c r="T107" s="277" t="str">
        <f t="shared" si="9"/>
        <v/>
      </c>
    </row>
    <row r="108" spans="1:20" x14ac:dyDescent="0.35">
      <c r="A108" s="270">
        <f t="shared" si="5"/>
        <v>104</v>
      </c>
      <c r="B108" s="272" t="str">
        <f>IF(AND(ITDRRegister[[#This Row],[Dependency category]]="",ITDRRegister[[#This Row],[Dependency area]]=""),"","DR-"&amp;TEXT($A108,"000"))</f>
        <v/>
      </c>
      <c r="C108" s="37"/>
      <c r="D108" s="35"/>
      <c r="E108" s="38"/>
      <c r="F108" s="34"/>
      <c r="G108" s="1"/>
      <c r="H108" s="1"/>
      <c r="I108" s="1"/>
      <c r="J108" s="1"/>
      <c r="K108" s="141"/>
      <c r="L108" s="34"/>
      <c r="M108" s="133"/>
      <c r="N108" s="133"/>
      <c r="O108" s="142"/>
      <c r="P108" s="273" t="str">
        <f t="shared" si="6"/>
        <v/>
      </c>
      <c r="Q108" s="274" t="str">
        <f t="shared" ca="1" si="7"/>
        <v/>
      </c>
      <c r="R108" s="34"/>
      <c r="S108" s="274" t="str">
        <f t="shared" si="8"/>
        <v/>
      </c>
      <c r="T108" s="277" t="str">
        <f t="shared" si="9"/>
        <v/>
      </c>
    </row>
    <row r="109" spans="1:20" x14ac:dyDescent="0.35">
      <c r="A109" s="270">
        <f t="shared" si="5"/>
        <v>105</v>
      </c>
      <c r="B109" s="272" t="str">
        <f>IF(AND(ITDRRegister[[#This Row],[Dependency category]]="",ITDRRegister[[#This Row],[Dependency area]]=""),"","DR-"&amp;TEXT($A109,"000"))</f>
        <v/>
      </c>
      <c r="C109" s="37"/>
      <c r="D109" s="35"/>
      <c r="E109" s="38"/>
      <c r="F109" s="34"/>
      <c r="G109" s="1"/>
      <c r="H109" s="1"/>
      <c r="I109" s="1"/>
      <c r="J109" s="1"/>
      <c r="K109" s="141"/>
      <c r="L109" s="34"/>
      <c r="M109" s="133"/>
      <c r="N109" s="133"/>
      <c r="O109" s="142"/>
      <c r="P109" s="273" t="str">
        <f t="shared" si="6"/>
        <v/>
      </c>
      <c r="Q109" s="274" t="str">
        <f t="shared" ca="1" si="7"/>
        <v/>
      </c>
      <c r="R109" s="34"/>
      <c r="S109" s="274" t="str">
        <f t="shared" si="8"/>
        <v/>
      </c>
      <c r="T109" s="277" t="str">
        <f t="shared" si="9"/>
        <v/>
      </c>
    </row>
    <row r="110" spans="1:20" x14ac:dyDescent="0.35">
      <c r="A110" s="270">
        <f t="shared" si="5"/>
        <v>106</v>
      </c>
      <c r="B110" s="272" t="str">
        <f>IF(AND(ITDRRegister[[#This Row],[Dependency category]]="",ITDRRegister[[#This Row],[Dependency area]]=""),"","DR-"&amp;TEXT($A110,"000"))</f>
        <v/>
      </c>
      <c r="C110" s="37"/>
      <c r="D110" s="35"/>
      <c r="E110" s="38"/>
      <c r="F110" s="34"/>
      <c r="G110" s="1"/>
      <c r="H110" s="1"/>
      <c r="I110" s="1"/>
      <c r="J110" s="1"/>
      <c r="K110" s="141"/>
      <c r="L110" s="34"/>
      <c r="M110" s="133"/>
      <c r="N110" s="133"/>
      <c r="O110" s="142"/>
      <c r="P110" s="273" t="str">
        <f t="shared" si="6"/>
        <v/>
      </c>
      <c r="Q110" s="274" t="str">
        <f t="shared" ca="1" si="7"/>
        <v/>
      </c>
      <c r="R110" s="34"/>
      <c r="S110" s="274" t="str">
        <f t="shared" si="8"/>
        <v/>
      </c>
      <c r="T110" s="277" t="str">
        <f t="shared" si="9"/>
        <v/>
      </c>
    </row>
    <row r="111" spans="1:20" x14ac:dyDescent="0.35">
      <c r="A111" s="270">
        <f t="shared" si="5"/>
        <v>107</v>
      </c>
      <c r="B111" s="272" t="str">
        <f>IF(AND(ITDRRegister[[#This Row],[Dependency category]]="",ITDRRegister[[#This Row],[Dependency area]]=""),"","DR-"&amp;TEXT($A111,"000"))</f>
        <v/>
      </c>
      <c r="C111" s="37"/>
      <c r="D111" s="35"/>
      <c r="E111" s="38"/>
      <c r="F111" s="34"/>
      <c r="G111" s="1"/>
      <c r="H111" s="1"/>
      <c r="I111" s="1"/>
      <c r="J111" s="1"/>
      <c r="K111" s="141"/>
      <c r="L111" s="34"/>
      <c r="M111" s="133"/>
      <c r="N111" s="133"/>
      <c r="O111" s="142"/>
      <c r="P111" s="273" t="str">
        <f t="shared" si="6"/>
        <v/>
      </c>
      <c r="Q111" s="274" t="str">
        <f t="shared" ca="1" si="7"/>
        <v/>
      </c>
      <c r="R111" s="34"/>
      <c r="S111" s="274" t="str">
        <f t="shared" si="8"/>
        <v/>
      </c>
      <c r="T111" s="277" t="str">
        <f t="shared" si="9"/>
        <v/>
      </c>
    </row>
    <row r="112" spans="1:20" x14ac:dyDescent="0.35">
      <c r="A112" s="270">
        <f t="shared" si="5"/>
        <v>108</v>
      </c>
      <c r="B112" s="272" t="str">
        <f>IF(AND(ITDRRegister[[#This Row],[Dependency category]]="",ITDRRegister[[#This Row],[Dependency area]]=""),"","DR-"&amp;TEXT($A112,"000"))</f>
        <v/>
      </c>
      <c r="C112" s="37"/>
      <c r="D112" s="35"/>
      <c r="E112" s="38"/>
      <c r="F112" s="34"/>
      <c r="G112" s="1"/>
      <c r="H112" s="1"/>
      <c r="I112" s="1"/>
      <c r="J112" s="1"/>
      <c r="K112" s="141"/>
      <c r="L112" s="34"/>
      <c r="M112" s="133"/>
      <c r="N112" s="133"/>
      <c r="O112" s="142"/>
      <c r="P112" s="273" t="str">
        <f t="shared" si="6"/>
        <v/>
      </c>
      <c r="Q112" s="274" t="str">
        <f t="shared" ca="1" si="7"/>
        <v/>
      </c>
      <c r="R112" s="34"/>
      <c r="S112" s="274" t="str">
        <f t="shared" si="8"/>
        <v/>
      </c>
      <c r="T112" s="277" t="str">
        <f t="shared" si="9"/>
        <v/>
      </c>
    </row>
    <row r="113" spans="1:20" x14ac:dyDescent="0.35">
      <c r="A113" s="270">
        <f t="shared" si="5"/>
        <v>109</v>
      </c>
      <c r="B113" s="272" t="str">
        <f>IF(AND(ITDRRegister[[#This Row],[Dependency category]]="",ITDRRegister[[#This Row],[Dependency area]]=""),"","DR-"&amp;TEXT($A113,"000"))</f>
        <v/>
      </c>
      <c r="C113" s="37"/>
      <c r="D113" s="35"/>
      <c r="E113" s="38"/>
      <c r="F113" s="34"/>
      <c r="G113" s="1"/>
      <c r="H113" s="1"/>
      <c r="I113" s="1"/>
      <c r="J113" s="1"/>
      <c r="K113" s="141"/>
      <c r="L113" s="34"/>
      <c r="M113" s="133"/>
      <c r="N113" s="133"/>
      <c r="O113" s="142"/>
      <c r="P113" s="273" t="str">
        <f t="shared" si="6"/>
        <v/>
      </c>
      <c r="Q113" s="274" t="str">
        <f t="shared" ca="1" si="7"/>
        <v/>
      </c>
      <c r="R113" s="34"/>
      <c r="S113" s="274" t="str">
        <f t="shared" si="8"/>
        <v/>
      </c>
      <c r="T113" s="277" t="str">
        <f t="shared" si="9"/>
        <v/>
      </c>
    </row>
    <row r="114" spans="1:20" x14ac:dyDescent="0.35">
      <c r="A114" s="270">
        <f t="shared" si="5"/>
        <v>110</v>
      </c>
      <c r="B114" s="272" t="str">
        <f>IF(AND(ITDRRegister[[#This Row],[Dependency category]]="",ITDRRegister[[#This Row],[Dependency area]]=""),"","DR-"&amp;TEXT($A114,"000"))</f>
        <v/>
      </c>
      <c r="C114" s="37"/>
      <c r="D114" s="35"/>
      <c r="E114" s="38"/>
      <c r="F114" s="34"/>
      <c r="G114" s="1"/>
      <c r="H114" s="1"/>
      <c r="I114" s="1"/>
      <c r="J114" s="1"/>
      <c r="K114" s="141"/>
      <c r="L114" s="34"/>
      <c r="M114" s="133"/>
      <c r="N114" s="133"/>
      <c r="O114" s="142"/>
      <c r="P114" s="273" t="str">
        <f t="shared" si="6"/>
        <v/>
      </c>
      <c r="Q114" s="274" t="str">
        <f t="shared" ca="1" si="7"/>
        <v/>
      </c>
      <c r="R114" s="34"/>
      <c r="S114" s="274" t="str">
        <f t="shared" si="8"/>
        <v/>
      </c>
      <c r="T114" s="277" t="str">
        <f t="shared" si="9"/>
        <v/>
      </c>
    </row>
    <row r="115" spans="1:20" x14ac:dyDescent="0.35">
      <c r="A115" s="270">
        <f t="shared" si="5"/>
        <v>111</v>
      </c>
      <c r="B115" s="272" t="str">
        <f>IF(AND(ITDRRegister[[#This Row],[Dependency category]]="",ITDRRegister[[#This Row],[Dependency area]]=""),"","DR-"&amp;TEXT($A115,"000"))</f>
        <v/>
      </c>
      <c r="C115" s="37"/>
      <c r="D115" s="35"/>
      <c r="E115" s="38"/>
      <c r="F115" s="34"/>
      <c r="G115" s="1"/>
      <c r="H115" s="1"/>
      <c r="I115" s="1"/>
      <c r="J115" s="1"/>
      <c r="K115" s="141"/>
      <c r="L115" s="34"/>
      <c r="M115" s="133"/>
      <c r="N115" s="133"/>
      <c r="O115" s="142"/>
      <c r="P115" s="273" t="str">
        <f t="shared" si="6"/>
        <v/>
      </c>
      <c r="Q115" s="274" t="str">
        <f t="shared" ca="1" si="7"/>
        <v/>
      </c>
      <c r="R115" s="34"/>
      <c r="S115" s="274" t="str">
        <f t="shared" si="8"/>
        <v/>
      </c>
      <c r="T115" s="277" t="str">
        <f t="shared" si="9"/>
        <v/>
      </c>
    </row>
    <row r="116" spans="1:20" x14ac:dyDescent="0.35">
      <c r="A116" s="270">
        <f t="shared" si="5"/>
        <v>112</v>
      </c>
      <c r="B116" s="272" t="str">
        <f>IF(AND(ITDRRegister[[#This Row],[Dependency category]]="",ITDRRegister[[#This Row],[Dependency area]]=""),"","DR-"&amp;TEXT($A116,"000"))</f>
        <v/>
      </c>
      <c r="C116" s="37"/>
      <c r="D116" s="35"/>
      <c r="E116" s="38"/>
      <c r="F116" s="34"/>
      <c r="G116" s="1"/>
      <c r="H116" s="1"/>
      <c r="I116" s="1"/>
      <c r="J116" s="1"/>
      <c r="K116" s="141"/>
      <c r="L116" s="34"/>
      <c r="M116" s="133"/>
      <c r="N116" s="133"/>
      <c r="O116" s="142"/>
      <c r="P116" s="273" t="str">
        <f t="shared" si="6"/>
        <v/>
      </c>
      <c r="Q116" s="274" t="str">
        <f t="shared" ca="1" si="7"/>
        <v/>
      </c>
      <c r="R116" s="34"/>
      <c r="S116" s="274" t="str">
        <f t="shared" si="8"/>
        <v/>
      </c>
      <c r="T116" s="277" t="str">
        <f t="shared" si="9"/>
        <v/>
      </c>
    </row>
    <row r="117" spans="1:20" x14ac:dyDescent="0.35">
      <c r="A117" s="270">
        <f t="shared" si="5"/>
        <v>113</v>
      </c>
      <c r="B117" s="272" t="str">
        <f>IF(AND(ITDRRegister[[#This Row],[Dependency category]]="",ITDRRegister[[#This Row],[Dependency area]]=""),"","DR-"&amp;TEXT($A117,"000"))</f>
        <v/>
      </c>
      <c r="C117" s="37"/>
      <c r="D117" s="35"/>
      <c r="E117" s="38"/>
      <c r="F117" s="34"/>
      <c r="G117" s="1"/>
      <c r="H117" s="1"/>
      <c r="I117" s="1"/>
      <c r="J117" s="1"/>
      <c r="K117" s="141"/>
      <c r="L117" s="34"/>
      <c r="M117" s="133"/>
      <c r="N117" s="133"/>
      <c r="O117" s="142"/>
      <c r="P117" s="273" t="str">
        <f t="shared" si="6"/>
        <v/>
      </c>
      <c r="Q117" s="274" t="str">
        <f t="shared" ca="1" si="7"/>
        <v/>
      </c>
      <c r="R117" s="34"/>
      <c r="S117" s="274" t="str">
        <f t="shared" si="8"/>
        <v/>
      </c>
      <c r="T117" s="277" t="str">
        <f t="shared" si="9"/>
        <v/>
      </c>
    </row>
    <row r="118" spans="1:20" x14ac:dyDescent="0.35">
      <c r="A118" s="270">
        <f t="shared" si="5"/>
        <v>114</v>
      </c>
      <c r="B118" s="272" t="str">
        <f>IF(AND(ITDRRegister[[#This Row],[Dependency category]]="",ITDRRegister[[#This Row],[Dependency area]]=""),"","DR-"&amp;TEXT($A118,"000"))</f>
        <v/>
      </c>
      <c r="C118" s="37"/>
      <c r="D118" s="35"/>
      <c r="E118" s="38"/>
      <c r="F118" s="34"/>
      <c r="G118" s="1"/>
      <c r="H118" s="1"/>
      <c r="I118" s="1"/>
      <c r="J118" s="1"/>
      <c r="K118" s="141"/>
      <c r="L118" s="34"/>
      <c r="M118" s="133"/>
      <c r="N118" s="133"/>
      <c r="O118" s="142"/>
      <c r="P118" s="273" t="str">
        <f t="shared" si="6"/>
        <v/>
      </c>
      <c r="Q118" s="274" t="str">
        <f t="shared" ca="1" si="7"/>
        <v/>
      </c>
      <c r="R118" s="34"/>
      <c r="S118" s="274" t="str">
        <f t="shared" si="8"/>
        <v/>
      </c>
      <c r="T118" s="277" t="str">
        <f t="shared" si="9"/>
        <v/>
      </c>
    </row>
    <row r="119" spans="1:20" x14ac:dyDescent="0.35">
      <c r="A119" s="270">
        <f t="shared" si="5"/>
        <v>115</v>
      </c>
      <c r="B119" s="272" t="str">
        <f>IF(AND(ITDRRegister[[#This Row],[Dependency category]]="",ITDRRegister[[#This Row],[Dependency area]]=""),"","DR-"&amp;TEXT($A119,"000"))</f>
        <v/>
      </c>
      <c r="C119" s="37"/>
      <c r="D119" s="35"/>
      <c r="E119" s="38"/>
      <c r="F119" s="34"/>
      <c r="G119" s="1"/>
      <c r="H119" s="1"/>
      <c r="I119" s="1"/>
      <c r="J119" s="1"/>
      <c r="K119" s="141"/>
      <c r="L119" s="34"/>
      <c r="M119" s="133"/>
      <c r="N119" s="133"/>
      <c r="O119" s="142"/>
      <c r="P119" s="273" t="str">
        <f t="shared" si="6"/>
        <v/>
      </c>
      <c r="Q119" s="274" t="str">
        <f t="shared" ca="1" si="7"/>
        <v/>
      </c>
      <c r="R119" s="34"/>
      <c r="S119" s="274" t="str">
        <f t="shared" si="8"/>
        <v/>
      </c>
      <c r="T119" s="277" t="str">
        <f t="shared" si="9"/>
        <v/>
      </c>
    </row>
    <row r="120" spans="1:20" x14ac:dyDescent="0.35">
      <c r="A120" s="270">
        <f t="shared" si="5"/>
        <v>116</v>
      </c>
      <c r="B120" s="272" t="str">
        <f>IF(AND(ITDRRegister[[#This Row],[Dependency category]]="",ITDRRegister[[#This Row],[Dependency area]]=""),"","DR-"&amp;TEXT($A120,"000"))</f>
        <v/>
      </c>
      <c r="C120" s="37"/>
      <c r="D120" s="35"/>
      <c r="E120" s="38"/>
      <c r="F120" s="34"/>
      <c r="G120" s="1"/>
      <c r="H120" s="1"/>
      <c r="I120" s="1"/>
      <c r="J120" s="1"/>
      <c r="K120" s="141"/>
      <c r="L120" s="34"/>
      <c r="M120" s="133"/>
      <c r="N120" s="133"/>
      <c r="O120" s="142"/>
      <c r="P120" s="273" t="str">
        <f t="shared" si="6"/>
        <v/>
      </c>
      <c r="Q120" s="274" t="str">
        <f t="shared" ca="1" si="7"/>
        <v/>
      </c>
      <c r="R120" s="34"/>
      <c r="S120" s="274" t="str">
        <f t="shared" si="8"/>
        <v/>
      </c>
      <c r="T120" s="277" t="str">
        <f t="shared" si="9"/>
        <v/>
      </c>
    </row>
    <row r="121" spans="1:20" x14ac:dyDescent="0.35">
      <c r="A121" s="270">
        <f t="shared" si="5"/>
        <v>117</v>
      </c>
      <c r="B121" s="272" t="str">
        <f>IF(AND(ITDRRegister[[#This Row],[Dependency category]]="",ITDRRegister[[#This Row],[Dependency area]]=""),"","DR-"&amp;TEXT($A121,"000"))</f>
        <v/>
      </c>
      <c r="C121" s="37"/>
      <c r="D121" s="35"/>
      <c r="E121" s="38"/>
      <c r="F121" s="34"/>
      <c r="G121" s="1"/>
      <c r="H121" s="1"/>
      <c r="I121" s="1"/>
      <c r="J121" s="1"/>
      <c r="K121" s="141"/>
      <c r="L121" s="34"/>
      <c r="M121" s="133"/>
      <c r="N121" s="133"/>
      <c r="O121" s="142"/>
      <c r="P121" s="273" t="str">
        <f t="shared" si="6"/>
        <v/>
      </c>
      <c r="Q121" s="274" t="str">
        <f t="shared" ca="1" si="7"/>
        <v/>
      </c>
      <c r="R121" s="34"/>
      <c r="S121" s="274" t="str">
        <f t="shared" si="8"/>
        <v/>
      </c>
      <c r="T121" s="277" t="str">
        <f t="shared" si="9"/>
        <v/>
      </c>
    </row>
    <row r="122" spans="1:20" x14ac:dyDescent="0.35">
      <c r="A122" s="270">
        <f t="shared" si="5"/>
        <v>118</v>
      </c>
      <c r="B122" s="272" t="str">
        <f>IF(AND(ITDRRegister[[#This Row],[Dependency category]]="",ITDRRegister[[#This Row],[Dependency area]]=""),"","DR-"&amp;TEXT($A122,"000"))</f>
        <v/>
      </c>
      <c r="C122" s="37"/>
      <c r="D122" s="35"/>
      <c r="E122" s="38"/>
      <c r="F122" s="34"/>
      <c r="G122" s="1"/>
      <c r="H122" s="1"/>
      <c r="I122" s="1"/>
      <c r="J122" s="1"/>
      <c r="K122" s="141"/>
      <c r="L122" s="34"/>
      <c r="M122" s="133"/>
      <c r="N122" s="133"/>
      <c r="O122" s="142"/>
      <c r="P122" s="273" t="str">
        <f t="shared" si="6"/>
        <v/>
      </c>
      <c r="Q122" s="274" t="str">
        <f t="shared" ca="1" si="7"/>
        <v/>
      </c>
      <c r="R122" s="34"/>
      <c r="S122" s="274" t="str">
        <f t="shared" si="8"/>
        <v/>
      </c>
      <c r="T122" s="277" t="str">
        <f t="shared" si="9"/>
        <v/>
      </c>
    </row>
    <row r="123" spans="1:20" x14ac:dyDescent="0.35">
      <c r="A123" s="270">
        <f t="shared" si="5"/>
        <v>119</v>
      </c>
      <c r="B123" s="272" t="str">
        <f>IF(AND(ITDRRegister[[#This Row],[Dependency category]]="",ITDRRegister[[#This Row],[Dependency area]]=""),"","DR-"&amp;TEXT($A123,"000"))</f>
        <v/>
      </c>
      <c r="C123" s="37"/>
      <c r="D123" s="35"/>
      <c r="E123" s="38"/>
      <c r="F123" s="34"/>
      <c r="G123" s="1"/>
      <c r="H123" s="1"/>
      <c r="I123" s="1"/>
      <c r="J123" s="1"/>
      <c r="K123" s="141"/>
      <c r="L123" s="34"/>
      <c r="M123" s="133"/>
      <c r="N123" s="133"/>
      <c r="O123" s="142"/>
      <c r="P123" s="273" t="str">
        <f t="shared" si="6"/>
        <v/>
      </c>
      <c r="Q123" s="274" t="str">
        <f t="shared" ca="1" si="7"/>
        <v/>
      </c>
      <c r="R123" s="34"/>
      <c r="S123" s="274" t="str">
        <f t="shared" si="8"/>
        <v/>
      </c>
      <c r="T123" s="277" t="str">
        <f t="shared" si="9"/>
        <v/>
      </c>
    </row>
    <row r="124" spans="1:20" x14ac:dyDescent="0.35">
      <c r="A124" s="270">
        <f t="shared" si="5"/>
        <v>120</v>
      </c>
      <c r="B124" s="272" t="str">
        <f>IF(AND(ITDRRegister[[#This Row],[Dependency category]]="",ITDRRegister[[#This Row],[Dependency area]]=""),"","DR-"&amp;TEXT($A124,"000"))</f>
        <v/>
      </c>
      <c r="C124" s="37"/>
      <c r="D124" s="35"/>
      <c r="E124" s="38"/>
      <c r="F124" s="34"/>
      <c r="G124" s="1"/>
      <c r="H124" s="1"/>
      <c r="I124" s="1"/>
      <c r="J124" s="1"/>
      <c r="K124" s="141"/>
      <c r="L124" s="34"/>
      <c r="M124" s="133"/>
      <c r="N124" s="133"/>
      <c r="O124" s="142"/>
      <c r="P124" s="273" t="str">
        <f t="shared" si="6"/>
        <v/>
      </c>
      <c r="Q124" s="274" t="str">
        <f t="shared" ca="1" si="7"/>
        <v/>
      </c>
      <c r="R124" s="34"/>
      <c r="S124" s="274" t="str">
        <f t="shared" si="8"/>
        <v/>
      </c>
      <c r="T124" s="277" t="str">
        <f t="shared" si="9"/>
        <v/>
      </c>
    </row>
    <row r="125" spans="1:20" x14ac:dyDescent="0.35">
      <c r="A125" s="270">
        <f t="shared" si="5"/>
        <v>121</v>
      </c>
      <c r="B125" s="272" t="str">
        <f>IF(AND(ITDRRegister[[#This Row],[Dependency category]]="",ITDRRegister[[#This Row],[Dependency area]]=""),"","DR-"&amp;TEXT($A125,"000"))</f>
        <v/>
      </c>
      <c r="C125" s="37"/>
      <c r="D125" s="35"/>
      <c r="E125" s="38"/>
      <c r="F125" s="34"/>
      <c r="G125" s="1"/>
      <c r="H125" s="1"/>
      <c r="I125" s="1"/>
      <c r="J125" s="1"/>
      <c r="K125" s="141"/>
      <c r="L125" s="34"/>
      <c r="M125" s="133"/>
      <c r="N125" s="133"/>
      <c r="O125" s="142"/>
      <c r="P125" s="273" t="str">
        <f t="shared" si="6"/>
        <v/>
      </c>
      <c r="Q125" s="274" t="str">
        <f t="shared" ca="1" si="7"/>
        <v/>
      </c>
      <c r="R125" s="34"/>
      <c r="S125" s="274" t="str">
        <f t="shared" si="8"/>
        <v/>
      </c>
      <c r="T125" s="277" t="str">
        <f t="shared" si="9"/>
        <v/>
      </c>
    </row>
    <row r="126" spans="1:20" x14ac:dyDescent="0.35">
      <c r="A126" s="270">
        <f t="shared" si="5"/>
        <v>122</v>
      </c>
      <c r="B126" s="272" t="str">
        <f>IF(AND(ITDRRegister[[#This Row],[Dependency category]]="",ITDRRegister[[#This Row],[Dependency area]]=""),"","DR-"&amp;TEXT($A126,"000"))</f>
        <v/>
      </c>
      <c r="C126" s="37"/>
      <c r="D126" s="35"/>
      <c r="E126" s="38"/>
      <c r="F126" s="34"/>
      <c r="G126" s="1"/>
      <c r="H126" s="1"/>
      <c r="I126" s="1"/>
      <c r="J126" s="1"/>
      <c r="K126" s="141"/>
      <c r="L126" s="34"/>
      <c r="M126" s="133"/>
      <c r="N126" s="133"/>
      <c r="O126" s="142"/>
      <c r="P126" s="273" t="str">
        <f t="shared" si="6"/>
        <v/>
      </c>
      <c r="Q126" s="274" t="str">
        <f t="shared" ca="1" si="7"/>
        <v/>
      </c>
      <c r="R126" s="34"/>
      <c r="S126" s="274" t="str">
        <f t="shared" si="8"/>
        <v/>
      </c>
      <c r="T126" s="277" t="str">
        <f t="shared" si="9"/>
        <v/>
      </c>
    </row>
    <row r="127" spans="1:20" x14ac:dyDescent="0.35">
      <c r="A127" s="270">
        <f t="shared" si="5"/>
        <v>123</v>
      </c>
      <c r="B127" s="272" t="str">
        <f>IF(AND(ITDRRegister[[#This Row],[Dependency category]]="",ITDRRegister[[#This Row],[Dependency area]]=""),"","DR-"&amp;TEXT($A127,"000"))</f>
        <v/>
      </c>
      <c r="C127" s="37"/>
      <c r="D127" s="35"/>
      <c r="E127" s="38"/>
      <c r="F127" s="34"/>
      <c r="G127" s="1"/>
      <c r="H127" s="1"/>
      <c r="I127" s="1"/>
      <c r="J127" s="1"/>
      <c r="K127" s="141"/>
      <c r="L127" s="34"/>
      <c r="M127" s="133"/>
      <c r="N127" s="133"/>
      <c r="O127" s="142"/>
      <c r="P127" s="273" t="str">
        <f t="shared" si="6"/>
        <v/>
      </c>
      <c r="Q127" s="274" t="str">
        <f t="shared" ca="1" si="7"/>
        <v/>
      </c>
      <c r="R127" s="34"/>
      <c r="S127" s="274" t="str">
        <f t="shared" si="8"/>
        <v/>
      </c>
      <c r="T127" s="277" t="str">
        <f t="shared" si="9"/>
        <v/>
      </c>
    </row>
    <row r="128" spans="1:20" x14ac:dyDescent="0.35">
      <c r="A128" s="270">
        <f t="shared" si="5"/>
        <v>124</v>
      </c>
      <c r="B128" s="272" t="str">
        <f>IF(AND(ITDRRegister[[#This Row],[Dependency category]]="",ITDRRegister[[#This Row],[Dependency area]]=""),"","DR-"&amp;TEXT($A128,"000"))</f>
        <v/>
      </c>
      <c r="C128" s="37"/>
      <c r="D128" s="35"/>
      <c r="E128" s="38"/>
      <c r="F128" s="34"/>
      <c r="G128" s="1"/>
      <c r="H128" s="1"/>
      <c r="I128" s="1"/>
      <c r="J128" s="1"/>
      <c r="K128" s="141"/>
      <c r="L128" s="34"/>
      <c r="M128" s="133"/>
      <c r="N128" s="133"/>
      <c r="O128" s="142"/>
      <c r="P128" s="273" t="str">
        <f t="shared" si="6"/>
        <v/>
      </c>
      <c r="Q128" s="274" t="str">
        <f t="shared" ca="1" si="7"/>
        <v/>
      </c>
      <c r="R128" s="34"/>
      <c r="S128" s="274" t="str">
        <f t="shared" si="8"/>
        <v/>
      </c>
      <c r="T128" s="277" t="str">
        <f t="shared" si="9"/>
        <v/>
      </c>
    </row>
    <row r="129" spans="1:20" x14ac:dyDescent="0.35">
      <c r="A129" s="270">
        <f t="shared" si="5"/>
        <v>125</v>
      </c>
      <c r="B129" s="272" t="str">
        <f>IF(AND(ITDRRegister[[#This Row],[Dependency category]]="",ITDRRegister[[#This Row],[Dependency area]]=""),"","DR-"&amp;TEXT($A129,"000"))</f>
        <v/>
      </c>
      <c r="C129" s="37"/>
      <c r="D129" s="35"/>
      <c r="E129" s="38"/>
      <c r="F129" s="34"/>
      <c r="G129" s="1"/>
      <c r="H129" s="1"/>
      <c r="I129" s="1"/>
      <c r="J129" s="1"/>
      <c r="K129" s="141"/>
      <c r="L129" s="34"/>
      <c r="M129" s="133"/>
      <c r="N129" s="133"/>
      <c r="O129" s="142"/>
      <c r="P129" s="273" t="str">
        <f t="shared" si="6"/>
        <v/>
      </c>
      <c r="Q129" s="274" t="str">
        <f t="shared" ca="1" si="7"/>
        <v/>
      </c>
      <c r="R129" s="34"/>
      <c r="S129" s="274" t="str">
        <f t="shared" si="8"/>
        <v/>
      </c>
      <c r="T129" s="277" t="str">
        <f t="shared" si="9"/>
        <v/>
      </c>
    </row>
    <row r="130" spans="1:20" x14ac:dyDescent="0.35">
      <c r="A130" s="270">
        <f t="shared" si="5"/>
        <v>126</v>
      </c>
      <c r="B130" s="272" t="str">
        <f>IF(AND(ITDRRegister[[#This Row],[Dependency category]]="",ITDRRegister[[#This Row],[Dependency area]]=""),"","DR-"&amp;TEXT($A130,"000"))</f>
        <v/>
      </c>
      <c r="C130" s="37"/>
      <c r="D130" s="35"/>
      <c r="E130" s="38"/>
      <c r="F130" s="34"/>
      <c r="G130" s="1"/>
      <c r="H130" s="1"/>
      <c r="I130" s="1"/>
      <c r="J130" s="1"/>
      <c r="K130" s="141"/>
      <c r="L130" s="34"/>
      <c r="M130" s="133"/>
      <c r="N130" s="133"/>
      <c r="O130" s="142"/>
      <c r="P130" s="273" t="str">
        <f t="shared" si="6"/>
        <v/>
      </c>
      <c r="Q130" s="274" t="str">
        <f t="shared" ca="1" si="7"/>
        <v/>
      </c>
      <c r="R130" s="34"/>
      <c r="S130" s="274" t="str">
        <f t="shared" si="8"/>
        <v/>
      </c>
      <c r="T130" s="277" t="str">
        <f t="shared" si="9"/>
        <v/>
      </c>
    </row>
    <row r="131" spans="1:20" x14ac:dyDescent="0.35">
      <c r="A131" s="270">
        <f t="shared" si="5"/>
        <v>127</v>
      </c>
      <c r="B131" s="272" t="str">
        <f>IF(AND(ITDRRegister[[#This Row],[Dependency category]]="",ITDRRegister[[#This Row],[Dependency area]]=""),"","DR-"&amp;TEXT($A131,"000"))</f>
        <v/>
      </c>
      <c r="C131" s="37"/>
      <c r="D131" s="35"/>
      <c r="E131" s="38"/>
      <c r="F131" s="34"/>
      <c r="G131" s="1"/>
      <c r="H131" s="1"/>
      <c r="I131" s="1"/>
      <c r="J131" s="1"/>
      <c r="K131" s="141"/>
      <c r="L131" s="34"/>
      <c r="M131" s="133"/>
      <c r="N131" s="133"/>
      <c r="O131" s="142"/>
      <c r="P131" s="273" t="str">
        <f t="shared" si="6"/>
        <v/>
      </c>
      <c r="Q131" s="274" t="str">
        <f t="shared" ca="1" si="7"/>
        <v/>
      </c>
      <c r="R131" s="34"/>
      <c r="S131" s="274" t="str">
        <f t="shared" si="8"/>
        <v/>
      </c>
      <c r="T131" s="277" t="str">
        <f t="shared" si="9"/>
        <v/>
      </c>
    </row>
    <row r="132" spans="1:20" x14ac:dyDescent="0.35">
      <c r="A132" s="270">
        <f t="shared" si="5"/>
        <v>128</v>
      </c>
      <c r="B132" s="272" t="str">
        <f>IF(AND(ITDRRegister[[#This Row],[Dependency category]]="",ITDRRegister[[#This Row],[Dependency area]]=""),"","DR-"&amp;TEXT($A132,"000"))</f>
        <v/>
      </c>
      <c r="C132" s="37"/>
      <c r="D132" s="35"/>
      <c r="E132" s="38"/>
      <c r="F132" s="34"/>
      <c r="G132" s="1"/>
      <c r="H132" s="1"/>
      <c r="I132" s="1"/>
      <c r="J132" s="1"/>
      <c r="K132" s="141"/>
      <c r="L132" s="34"/>
      <c r="M132" s="133"/>
      <c r="N132" s="133"/>
      <c r="O132" s="142"/>
      <c r="P132" s="273" t="str">
        <f t="shared" si="6"/>
        <v/>
      </c>
      <c r="Q132" s="274" t="str">
        <f t="shared" ca="1" si="7"/>
        <v/>
      </c>
      <c r="R132" s="34"/>
      <c r="S132" s="274" t="str">
        <f t="shared" si="8"/>
        <v/>
      </c>
      <c r="T132" s="277" t="str">
        <f t="shared" si="9"/>
        <v/>
      </c>
    </row>
    <row r="133" spans="1:20" x14ac:dyDescent="0.35">
      <c r="A133" s="270">
        <f t="shared" si="5"/>
        <v>129</v>
      </c>
      <c r="B133" s="272" t="str">
        <f>IF(AND(ITDRRegister[[#This Row],[Dependency category]]="",ITDRRegister[[#This Row],[Dependency area]]=""),"","DR-"&amp;TEXT($A133,"000"))</f>
        <v/>
      </c>
      <c r="C133" s="37"/>
      <c r="D133" s="35"/>
      <c r="E133" s="38"/>
      <c r="F133" s="34"/>
      <c r="G133" s="1"/>
      <c r="H133" s="1"/>
      <c r="I133" s="1"/>
      <c r="J133" s="1"/>
      <c r="K133" s="141"/>
      <c r="L133" s="34"/>
      <c r="M133" s="133"/>
      <c r="N133" s="133"/>
      <c r="O133" s="142"/>
      <c r="P133" s="273" t="str">
        <f t="shared" si="6"/>
        <v/>
      </c>
      <c r="Q133" s="274" t="str">
        <f t="shared" ca="1" si="7"/>
        <v/>
      </c>
      <c r="R133" s="34"/>
      <c r="S133" s="274" t="str">
        <f t="shared" si="8"/>
        <v/>
      </c>
      <c r="T133" s="277" t="str">
        <f t="shared" si="9"/>
        <v/>
      </c>
    </row>
    <row r="134" spans="1:20" x14ac:dyDescent="0.35">
      <c r="A134" s="270">
        <f t="shared" ref="A134:A197" si="10">ROW()-4</f>
        <v>130</v>
      </c>
      <c r="B134" s="272" t="str">
        <f>IF(AND(ITDRRegister[[#This Row],[Dependency category]]="",ITDRRegister[[#This Row],[Dependency area]]=""),"","DR-"&amp;TEXT($A134,"000"))</f>
        <v/>
      </c>
      <c r="C134" s="37"/>
      <c r="D134" s="35"/>
      <c r="E134" s="38"/>
      <c r="F134" s="34"/>
      <c r="G134" s="1"/>
      <c r="H134" s="1"/>
      <c r="I134" s="1"/>
      <c r="J134" s="1"/>
      <c r="K134" s="141"/>
      <c r="L134" s="34"/>
      <c r="M134" s="133"/>
      <c r="N134" s="133"/>
      <c r="O134" s="142"/>
      <c r="P134" s="273" t="str">
        <f t="shared" ref="P134:P197" si="11">IF($M134="","",EDATE($M134,12))</f>
        <v/>
      </c>
      <c r="Q134" s="274" t="str">
        <f t="shared" ref="Q134:Q197" ca="1" si="12">IF($E134="","",IF($K134="None (gap)","GAP - no DR",IF(OR($S134="Not Assessed",$T134="Not Assessed"),"Recovery Targets Incomplete",IF($M134="","Not Tested",IF(AND($P134&lt;&gt;"",$P134&lt;TODAY()),"Test Overdue",IF($O134="","Not Tested",IF($O134&lt;&gt;"Pass","Retest Required",IF(OR($S134&lt;&gt;"RTO Complied",$T134&lt;&gt;"RPO Complied"),"Recovery Not Compliant","Tested &amp; Current"))))))))</f>
        <v/>
      </c>
      <c r="R134" s="34"/>
      <c r="S134" s="274" t="str">
        <f t="shared" ref="S134:S197" si="13">IF($E134="","",IF(OR(NOT(ISNUMBER($G134)),NOT(ISNUMBER($I134))),"Not Assessed",IF($I134&lt;=$G134,"RTO Complied","RTO Not Complied")))</f>
        <v/>
      </c>
      <c r="T134" s="277" t="str">
        <f t="shared" ref="T134:T197" si="14">IF($E134="","",IF(OR(NOT(ISNUMBER($H134)),NOT(ISNUMBER($J134))),"Not Assessed",IF($J134&lt;=$H134,"RPO Complied","RPO Not Complied")))</f>
        <v/>
      </c>
    </row>
    <row r="135" spans="1:20" x14ac:dyDescent="0.35">
      <c r="A135" s="270">
        <f t="shared" si="10"/>
        <v>131</v>
      </c>
      <c r="B135" s="272" t="str">
        <f>IF(AND(ITDRRegister[[#This Row],[Dependency category]]="",ITDRRegister[[#This Row],[Dependency area]]=""),"","DR-"&amp;TEXT($A135,"000"))</f>
        <v/>
      </c>
      <c r="C135" s="37"/>
      <c r="D135" s="35"/>
      <c r="E135" s="38"/>
      <c r="F135" s="34"/>
      <c r="G135" s="1"/>
      <c r="H135" s="1"/>
      <c r="I135" s="1"/>
      <c r="J135" s="1"/>
      <c r="K135" s="141"/>
      <c r="L135" s="34"/>
      <c r="M135" s="133"/>
      <c r="N135" s="133"/>
      <c r="O135" s="142"/>
      <c r="P135" s="273" t="str">
        <f t="shared" si="11"/>
        <v/>
      </c>
      <c r="Q135" s="274" t="str">
        <f t="shared" ca="1" si="12"/>
        <v/>
      </c>
      <c r="R135" s="34"/>
      <c r="S135" s="274" t="str">
        <f t="shared" si="13"/>
        <v/>
      </c>
      <c r="T135" s="277" t="str">
        <f t="shared" si="14"/>
        <v/>
      </c>
    </row>
    <row r="136" spans="1:20" x14ac:dyDescent="0.35">
      <c r="A136" s="270">
        <f t="shared" si="10"/>
        <v>132</v>
      </c>
      <c r="B136" s="272" t="str">
        <f>IF(AND(ITDRRegister[[#This Row],[Dependency category]]="",ITDRRegister[[#This Row],[Dependency area]]=""),"","DR-"&amp;TEXT($A136,"000"))</f>
        <v/>
      </c>
      <c r="C136" s="37"/>
      <c r="D136" s="35"/>
      <c r="E136" s="38"/>
      <c r="F136" s="34"/>
      <c r="G136" s="1"/>
      <c r="H136" s="1"/>
      <c r="I136" s="1"/>
      <c r="J136" s="1"/>
      <c r="K136" s="141"/>
      <c r="L136" s="34"/>
      <c r="M136" s="133"/>
      <c r="N136" s="133"/>
      <c r="O136" s="142"/>
      <c r="P136" s="273" t="str">
        <f t="shared" si="11"/>
        <v/>
      </c>
      <c r="Q136" s="274" t="str">
        <f t="shared" ca="1" si="12"/>
        <v/>
      </c>
      <c r="R136" s="34"/>
      <c r="S136" s="274" t="str">
        <f t="shared" si="13"/>
        <v/>
      </c>
      <c r="T136" s="277" t="str">
        <f t="shared" si="14"/>
        <v/>
      </c>
    </row>
    <row r="137" spans="1:20" x14ac:dyDescent="0.35">
      <c r="A137" s="270">
        <f t="shared" si="10"/>
        <v>133</v>
      </c>
      <c r="B137" s="272" t="str">
        <f>IF(AND(ITDRRegister[[#This Row],[Dependency category]]="",ITDRRegister[[#This Row],[Dependency area]]=""),"","DR-"&amp;TEXT($A137,"000"))</f>
        <v/>
      </c>
      <c r="C137" s="37"/>
      <c r="D137" s="35"/>
      <c r="E137" s="38"/>
      <c r="F137" s="34"/>
      <c r="G137" s="1"/>
      <c r="H137" s="1"/>
      <c r="I137" s="1"/>
      <c r="J137" s="1"/>
      <c r="K137" s="141"/>
      <c r="L137" s="34"/>
      <c r="M137" s="133"/>
      <c r="N137" s="133"/>
      <c r="O137" s="142"/>
      <c r="P137" s="273" t="str">
        <f t="shared" si="11"/>
        <v/>
      </c>
      <c r="Q137" s="274" t="str">
        <f t="shared" ca="1" si="12"/>
        <v/>
      </c>
      <c r="R137" s="34"/>
      <c r="S137" s="274" t="str">
        <f t="shared" si="13"/>
        <v/>
      </c>
      <c r="T137" s="277" t="str">
        <f t="shared" si="14"/>
        <v/>
      </c>
    </row>
    <row r="138" spans="1:20" x14ac:dyDescent="0.35">
      <c r="A138" s="270">
        <f t="shared" si="10"/>
        <v>134</v>
      </c>
      <c r="B138" s="272" t="str">
        <f>IF(AND(ITDRRegister[[#This Row],[Dependency category]]="",ITDRRegister[[#This Row],[Dependency area]]=""),"","DR-"&amp;TEXT($A138,"000"))</f>
        <v/>
      </c>
      <c r="C138" s="37"/>
      <c r="D138" s="35"/>
      <c r="E138" s="38"/>
      <c r="F138" s="34"/>
      <c r="G138" s="1"/>
      <c r="H138" s="1"/>
      <c r="I138" s="1"/>
      <c r="J138" s="1"/>
      <c r="K138" s="141"/>
      <c r="L138" s="34"/>
      <c r="M138" s="133"/>
      <c r="N138" s="133"/>
      <c r="O138" s="142"/>
      <c r="P138" s="273" t="str">
        <f t="shared" si="11"/>
        <v/>
      </c>
      <c r="Q138" s="274" t="str">
        <f t="shared" ca="1" si="12"/>
        <v/>
      </c>
      <c r="R138" s="34"/>
      <c r="S138" s="274" t="str">
        <f t="shared" si="13"/>
        <v/>
      </c>
      <c r="T138" s="277" t="str">
        <f t="shared" si="14"/>
        <v/>
      </c>
    </row>
    <row r="139" spans="1:20" x14ac:dyDescent="0.35">
      <c r="A139" s="270">
        <f t="shared" si="10"/>
        <v>135</v>
      </c>
      <c r="B139" s="272" t="str">
        <f>IF(AND(ITDRRegister[[#This Row],[Dependency category]]="",ITDRRegister[[#This Row],[Dependency area]]=""),"","DR-"&amp;TEXT($A139,"000"))</f>
        <v/>
      </c>
      <c r="C139" s="37"/>
      <c r="D139" s="35"/>
      <c r="E139" s="38"/>
      <c r="F139" s="34"/>
      <c r="G139" s="1"/>
      <c r="H139" s="1"/>
      <c r="I139" s="1"/>
      <c r="J139" s="1"/>
      <c r="K139" s="141"/>
      <c r="L139" s="34"/>
      <c r="M139" s="133"/>
      <c r="N139" s="133"/>
      <c r="O139" s="142"/>
      <c r="P139" s="273" t="str">
        <f t="shared" si="11"/>
        <v/>
      </c>
      <c r="Q139" s="274" t="str">
        <f t="shared" ca="1" si="12"/>
        <v/>
      </c>
      <c r="R139" s="34"/>
      <c r="S139" s="274" t="str">
        <f t="shared" si="13"/>
        <v/>
      </c>
      <c r="T139" s="277" t="str">
        <f t="shared" si="14"/>
        <v/>
      </c>
    </row>
    <row r="140" spans="1:20" x14ac:dyDescent="0.35">
      <c r="A140" s="270">
        <f t="shared" si="10"/>
        <v>136</v>
      </c>
      <c r="B140" s="272" t="str">
        <f>IF(AND(ITDRRegister[[#This Row],[Dependency category]]="",ITDRRegister[[#This Row],[Dependency area]]=""),"","DR-"&amp;TEXT($A140,"000"))</f>
        <v/>
      </c>
      <c r="C140" s="37"/>
      <c r="D140" s="35"/>
      <c r="E140" s="38"/>
      <c r="F140" s="34"/>
      <c r="G140" s="1"/>
      <c r="H140" s="1"/>
      <c r="I140" s="1"/>
      <c r="J140" s="1"/>
      <c r="K140" s="141"/>
      <c r="L140" s="34"/>
      <c r="M140" s="133"/>
      <c r="N140" s="133"/>
      <c r="O140" s="142"/>
      <c r="P140" s="273" t="str">
        <f t="shared" si="11"/>
        <v/>
      </c>
      <c r="Q140" s="274" t="str">
        <f t="shared" ca="1" si="12"/>
        <v/>
      </c>
      <c r="R140" s="34"/>
      <c r="S140" s="274" t="str">
        <f t="shared" si="13"/>
        <v/>
      </c>
      <c r="T140" s="277" t="str">
        <f t="shared" si="14"/>
        <v/>
      </c>
    </row>
    <row r="141" spans="1:20" x14ac:dyDescent="0.35">
      <c r="A141" s="270">
        <f t="shared" si="10"/>
        <v>137</v>
      </c>
      <c r="B141" s="272" t="str">
        <f>IF(AND(ITDRRegister[[#This Row],[Dependency category]]="",ITDRRegister[[#This Row],[Dependency area]]=""),"","DR-"&amp;TEXT($A141,"000"))</f>
        <v/>
      </c>
      <c r="C141" s="37"/>
      <c r="D141" s="35"/>
      <c r="E141" s="38"/>
      <c r="F141" s="34"/>
      <c r="G141" s="1"/>
      <c r="H141" s="1"/>
      <c r="I141" s="1"/>
      <c r="J141" s="1"/>
      <c r="K141" s="141"/>
      <c r="L141" s="34"/>
      <c r="M141" s="133"/>
      <c r="N141" s="133"/>
      <c r="O141" s="142"/>
      <c r="P141" s="273" t="str">
        <f t="shared" si="11"/>
        <v/>
      </c>
      <c r="Q141" s="274" t="str">
        <f t="shared" ca="1" si="12"/>
        <v/>
      </c>
      <c r="R141" s="34"/>
      <c r="S141" s="274" t="str">
        <f t="shared" si="13"/>
        <v/>
      </c>
      <c r="T141" s="277" t="str">
        <f t="shared" si="14"/>
        <v/>
      </c>
    </row>
    <row r="142" spans="1:20" x14ac:dyDescent="0.35">
      <c r="A142" s="270">
        <f t="shared" si="10"/>
        <v>138</v>
      </c>
      <c r="B142" s="272" t="str">
        <f>IF(AND(ITDRRegister[[#This Row],[Dependency category]]="",ITDRRegister[[#This Row],[Dependency area]]=""),"","DR-"&amp;TEXT($A142,"000"))</f>
        <v/>
      </c>
      <c r="C142" s="37"/>
      <c r="D142" s="35"/>
      <c r="E142" s="38"/>
      <c r="F142" s="34"/>
      <c r="G142" s="1"/>
      <c r="H142" s="1"/>
      <c r="I142" s="1"/>
      <c r="J142" s="1"/>
      <c r="K142" s="141"/>
      <c r="L142" s="34"/>
      <c r="M142" s="133"/>
      <c r="N142" s="133"/>
      <c r="O142" s="142"/>
      <c r="P142" s="273" t="str">
        <f t="shared" si="11"/>
        <v/>
      </c>
      <c r="Q142" s="274" t="str">
        <f t="shared" ca="1" si="12"/>
        <v/>
      </c>
      <c r="R142" s="34"/>
      <c r="S142" s="274" t="str">
        <f t="shared" si="13"/>
        <v/>
      </c>
      <c r="T142" s="277" t="str">
        <f t="shared" si="14"/>
        <v/>
      </c>
    </row>
    <row r="143" spans="1:20" x14ac:dyDescent="0.35">
      <c r="A143" s="270">
        <f t="shared" si="10"/>
        <v>139</v>
      </c>
      <c r="B143" s="272" t="str">
        <f>IF(AND(ITDRRegister[[#This Row],[Dependency category]]="",ITDRRegister[[#This Row],[Dependency area]]=""),"","DR-"&amp;TEXT($A143,"000"))</f>
        <v/>
      </c>
      <c r="C143" s="37"/>
      <c r="D143" s="35"/>
      <c r="E143" s="38"/>
      <c r="F143" s="34"/>
      <c r="G143" s="1"/>
      <c r="H143" s="1"/>
      <c r="I143" s="1"/>
      <c r="J143" s="1"/>
      <c r="K143" s="141"/>
      <c r="L143" s="34"/>
      <c r="M143" s="133"/>
      <c r="N143" s="133"/>
      <c r="O143" s="142"/>
      <c r="P143" s="273" t="str">
        <f t="shared" si="11"/>
        <v/>
      </c>
      <c r="Q143" s="274" t="str">
        <f t="shared" ca="1" si="12"/>
        <v/>
      </c>
      <c r="R143" s="34"/>
      <c r="S143" s="274" t="str">
        <f t="shared" si="13"/>
        <v/>
      </c>
      <c r="T143" s="277" t="str">
        <f t="shared" si="14"/>
        <v/>
      </c>
    </row>
    <row r="144" spans="1:20" x14ac:dyDescent="0.35">
      <c r="A144" s="270">
        <f t="shared" si="10"/>
        <v>140</v>
      </c>
      <c r="B144" s="272" t="str">
        <f>IF(AND(ITDRRegister[[#This Row],[Dependency category]]="",ITDRRegister[[#This Row],[Dependency area]]=""),"","DR-"&amp;TEXT($A144,"000"))</f>
        <v/>
      </c>
      <c r="C144" s="37"/>
      <c r="D144" s="35"/>
      <c r="E144" s="38"/>
      <c r="F144" s="34"/>
      <c r="G144" s="1"/>
      <c r="H144" s="1"/>
      <c r="I144" s="1"/>
      <c r="J144" s="1"/>
      <c r="K144" s="141"/>
      <c r="L144" s="34"/>
      <c r="M144" s="133"/>
      <c r="N144" s="133"/>
      <c r="O144" s="142"/>
      <c r="P144" s="273" t="str">
        <f t="shared" si="11"/>
        <v/>
      </c>
      <c r="Q144" s="274" t="str">
        <f t="shared" ca="1" si="12"/>
        <v/>
      </c>
      <c r="R144" s="34"/>
      <c r="S144" s="274" t="str">
        <f t="shared" si="13"/>
        <v/>
      </c>
      <c r="T144" s="277" t="str">
        <f t="shared" si="14"/>
        <v/>
      </c>
    </row>
    <row r="145" spans="1:20" x14ac:dyDescent="0.35">
      <c r="A145" s="270">
        <f t="shared" si="10"/>
        <v>141</v>
      </c>
      <c r="B145" s="272" t="str">
        <f>IF(AND(ITDRRegister[[#This Row],[Dependency category]]="",ITDRRegister[[#This Row],[Dependency area]]=""),"","DR-"&amp;TEXT($A145,"000"))</f>
        <v/>
      </c>
      <c r="C145" s="37"/>
      <c r="D145" s="35"/>
      <c r="E145" s="38"/>
      <c r="F145" s="34"/>
      <c r="G145" s="1"/>
      <c r="H145" s="1"/>
      <c r="I145" s="1"/>
      <c r="J145" s="1"/>
      <c r="K145" s="141"/>
      <c r="L145" s="34"/>
      <c r="M145" s="133"/>
      <c r="N145" s="133"/>
      <c r="O145" s="142"/>
      <c r="P145" s="273" t="str">
        <f t="shared" si="11"/>
        <v/>
      </c>
      <c r="Q145" s="274" t="str">
        <f t="shared" ca="1" si="12"/>
        <v/>
      </c>
      <c r="R145" s="34"/>
      <c r="S145" s="274" t="str">
        <f t="shared" si="13"/>
        <v/>
      </c>
      <c r="T145" s="277" t="str">
        <f t="shared" si="14"/>
        <v/>
      </c>
    </row>
    <row r="146" spans="1:20" x14ac:dyDescent="0.35">
      <c r="A146" s="270">
        <f t="shared" si="10"/>
        <v>142</v>
      </c>
      <c r="B146" s="272" t="str">
        <f>IF(AND(ITDRRegister[[#This Row],[Dependency category]]="",ITDRRegister[[#This Row],[Dependency area]]=""),"","DR-"&amp;TEXT($A146,"000"))</f>
        <v/>
      </c>
      <c r="C146" s="37"/>
      <c r="D146" s="35"/>
      <c r="E146" s="38"/>
      <c r="F146" s="34"/>
      <c r="G146" s="1"/>
      <c r="H146" s="1"/>
      <c r="I146" s="1"/>
      <c r="J146" s="1"/>
      <c r="K146" s="141"/>
      <c r="L146" s="34"/>
      <c r="M146" s="133"/>
      <c r="N146" s="133"/>
      <c r="O146" s="142"/>
      <c r="P146" s="273" t="str">
        <f t="shared" si="11"/>
        <v/>
      </c>
      <c r="Q146" s="274" t="str">
        <f t="shared" ca="1" si="12"/>
        <v/>
      </c>
      <c r="R146" s="34"/>
      <c r="S146" s="274" t="str">
        <f t="shared" si="13"/>
        <v/>
      </c>
      <c r="T146" s="277" t="str">
        <f t="shared" si="14"/>
        <v/>
      </c>
    </row>
    <row r="147" spans="1:20" x14ac:dyDescent="0.35">
      <c r="A147" s="270">
        <f t="shared" si="10"/>
        <v>143</v>
      </c>
      <c r="B147" s="272" t="str">
        <f>IF(AND(ITDRRegister[[#This Row],[Dependency category]]="",ITDRRegister[[#This Row],[Dependency area]]=""),"","DR-"&amp;TEXT($A147,"000"))</f>
        <v/>
      </c>
      <c r="C147" s="37"/>
      <c r="D147" s="35"/>
      <c r="E147" s="38"/>
      <c r="F147" s="34"/>
      <c r="G147" s="1"/>
      <c r="H147" s="1"/>
      <c r="I147" s="1"/>
      <c r="J147" s="1"/>
      <c r="K147" s="141"/>
      <c r="L147" s="34"/>
      <c r="M147" s="133"/>
      <c r="N147" s="133"/>
      <c r="O147" s="142"/>
      <c r="P147" s="273" t="str">
        <f t="shared" si="11"/>
        <v/>
      </c>
      <c r="Q147" s="274" t="str">
        <f t="shared" ca="1" si="12"/>
        <v/>
      </c>
      <c r="R147" s="34"/>
      <c r="S147" s="274" t="str">
        <f t="shared" si="13"/>
        <v/>
      </c>
      <c r="T147" s="277" t="str">
        <f t="shared" si="14"/>
        <v/>
      </c>
    </row>
    <row r="148" spans="1:20" x14ac:dyDescent="0.35">
      <c r="A148" s="270">
        <f t="shared" si="10"/>
        <v>144</v>
      </c>
      <c r="B148" s="272" t="str">
        <f>IF(AND(ITDRRegister[[#This Row],[Dependency category]]="",ITDRRegister[[#This Row],[Dependency area]]=""),"","DR-"&amp;TEXT($A148,"000"))</f>
        <v/>
      </c>
      <c r="C148" s="37"/>
      <c r="D148" s="35"/>
      <c r="E148" s="38"/>
      <c r="F148" s="34"/>
      <c r="G148" s="1"/>
      <c r="H148" s="1"/>
      <c r="I148" s="1"/>
      <c r="J148" s="1"/>
      <c r="K148" s="141"/>
      <c r="L148" s="34"/>
      <c r="M148" s="133"/>
      <c r="N148" s="133"/>
      <c r="O148" s="142"/>
      <c r="P148" s="273" t="str">
        <f t="shared" si="11"/>
        <v/>
      </c>
      <c r="Q148" s="274" t="str">
        <f t="shared" ca="1" si="12"/>
        <v/>
      </c>
      <c r="R148" s="34"/>
      <c r="S148" s="274" t="str">
        <f t="shared" si="13"/>
        <v/>
      </c>
      <c r="T148" s="277" t="str">
        <f t="shared" si="14"/>
        <v/>
      </c>
    </row>
    <row r="149" spans="1:20" x14ac:dyDescent="0.35">
      <c r="A149" s="270">
        <f t="shared" si="10"/>
        <v>145</v>
      </c>
      <c r="B149" s="272" t="str">
        <f>IF(AND(ITDRRegister[[#This Row],[Dependency category]]="",ITDRRegister[[#This Row],[Dependency area]]=""),"","DR-"&amp;TEXT($A149,"000"))</f>
        <v/>
      </c>
      <c r="C149" s="37"/>
      <c r="D149" s="35"/>
      <c r="E149" s="38"/>
      <c r="F149" s="34"/>
      <c r="G149" s="1"/>
      <c r="H149" s="1"/>
      <c r="I149" s="1"/>
      <c r="J149" s="1"/>
      <c r="K149" s="141"/>
      <c r="L149" s="34"/>
      <c r="M149" s="133"/>
      <c r="N149" s="133"/>
      <c r="O149" s="142"/>
      <c r="P149" s="273" t="str">
        <f t="shared" si="11"/>
        <v/>
      </c>
      <c r="Q149" s="274" t="str">
        <f t="shared" ca="1" si="12"/>
        <v/>
      </c>
      <c r="R149" s="34"/>
      <c r="S149" s="274" t="str">
        <f t="shared" si="13"/>
        <v/>
      </c>
      <c r="T149" s="277" t="str">
        <f t="shared" si="14"/>
        <v/>
      </c>
    </row>
    <row r="150" spans="1:20" x14ac:dyDescent="0.35">
      <c r="A150" s="270">
        <f t="shared" si="10"/>
        <v>146</v>
      </c>
      <c r="B150" s="272" t="str">
        <f>IF(AND(ITDRRegister[[#This Row],[Dependency category]]="",ITDRRegister[[#This Row],[Dependency area]]=""),"","DR-"&amp;TEXT($A150,"000"))</f>
        <v/>
      </c>
      <c r="C150" s="37"/>
      <c r="D150" s="35"/>
      <c r="E150" s="38"/>
      <c r="F150" s="34"/>
      <c r="G150" s="1"/>
      <c r="H150" s="1"/>
      <c r="I150" s="1"/>
      <c r="J150" s="1"/>
      <c r="K150" s="141"/>
      <c r="L150" s="34"/>
      <c r="M150" s="133"/>
      <c r="N150" s="133"/>
      <c r="O150" s="142"/>
      <c r="P150" s="273" t="str">
        <f t="shared" si="11"/>
        <v/>
      </c>
      <c r="Q150" s="274" t="str">
        <f t="shared" ca="1" si="12"/>
        <v/>
      </c>
      <c r="R150" s="34"/>
      <c r="S150" s="274" t="str">
        <f t="shared" si="13"/>
        <v/>
      </c>
      <c r="T150" s="277" t="str">
        <f t="shared" si="14"/>
        <v/>
      </c>
    </row>
    <row r="151" spans="1:20" x14ac:dyDescent="0.35">
      <c r="A151" s="270">
        <f t="shared" si="10"/>
        <v>147</v>
      </c>
      <c r="B151" s="272" t="str">
        <f>IF(AND(ITDRRegister[[#This Row],[Dependency category]]="",ITDRRegister[[#This Row],[Dependency area]]=""),"","DR-"&amp;TEXT($A151,"000"))</f>
        <v/>
      </c>
      <c r="C151" s="37"/>
      <c r="D151" s="35"/>
      <c r="E151" s="38"/>
      <c r="F151" s="34"/>
      <c r="G151" s="1"/>
      <c r="H151" s="1"/>
      <c r="I151" s="1"/>
      <c r="J151" s="1"/>
      <c r="K151" s="141"/>
      <c r="L151" s="34"/>
      <c r="M151" s="133"/>
      <c r="N151" s="133"/>
      <c r="O151" s="142"/>
      <c r="P151" s="273" t="str">
        <f t="shared" si="11"/>
        <v/>
      </c>
      <c r="Q151" s="274" t="str">
        <f t="shared" ca="1" si="12"/>
        <v/>
      </c>
      <c r="R151" s="34"/>
      <c r="S151" s="274" t="str">
        <f t="shared" si="13"/>
        <v/>
      </c>
      <c r="T151" s="277" t="str">
        <f t="shared" si="14"/>
        <v/>
      </c>
    </row>
    <row r="152" spans="1:20" x14ac:dyDescent="0.35">
      <c r="A152" s="270">
        <f t="shared" si="10"/>
        <v>148</v>
      </c>
      <c r="B152" s="272" t="str">
        <f>IF(AND(ITDRRegister[[#This Row],[Dependency category]]="",ITDRRegister[[#This Row],[Dependency area]]=""),"","DR-"&amp;TEXT($A152,"000"))</f>
        <v/>
      </c>
      <c r="C152" s="37"/>
      <c r="D152" s="35"/>
      <c r="E152" s="38"/>
      <c r="F152" s="34"/>
      <c r="G152" s="1"/>
      <c r="H152" s="1"/>
      <c r="I152" s="1"/>
      <c r="J152" s="1"/>
      <c r="K152" s="141"/>
      <c r="L152" s="34"/>
      <c r="M152" s="133"/>
      <c r="N152" s="133"/>
      <c r="O152" s="142"/>
      <c r="P152" s="273" t="str">
        <f t="shared" si="11"/>
        <v/>
      </c>
      <c r="Q152" s="274" t="str">
        <f t="shared" ca="1" si="12"/>
        <v/>
      </c>
      <c r="R152" s="34"/>
      <c r="S152" s="274" t="str">
        <f t="shared" si="13"/>
        <v/>
      </c>
      <c r="T152" s="277" t="str">
        <f t="shared" si="14"/>
        <v/>
      </c>
    </row>
    <row r="153" spans="1:20" x14ac:dyDescent="0.35">
      <c r="A153" s="270">
        <f t="shared" si="10"/>
        <v>149</v>
      </c>
      <c r="B153" s="272" t="str">
        <f>IF(AND(ITDRRegister[[#This Row],[Dependency category]]="",ITDRRegister[[#This Row],[Dependency area]]=""),"","DR-"&amp;TEXT($A153,"000"))</f>
        <v/>
      </c>
      <c r="C153" s="37"/>
      <c r="D153" s="35"/>
      <c r="E153" s="38"/>
      <c r="F153" s="34"/>
      <c r="G153" s="1"/>
      <c r="H153" s="1"/>
      <c r="I153" s="1"/>
      <c r="J153" s="1"/>
      <c r="K153" s="141"/>
      <c r="L153" s="34"/>
      <c r="M153" s="133"/>
      <c r="N153" s="133"/>
      <c r="O153" s="142"/>
      <c r="P153" s="273" t="str">
        <f t="shared" si="11"/>
        <v/>
      </c>
      <c r="Q153" s="274" t="str">
        <f t="shared" ca="1" si="12"/>
        <v/>
      </c>
      <c r="R153" s="34"/>
      <c r="S153" s="274" t="str">
        <f t="shared" si="13"/>
        <v/>
      </c>
      <c r="T153" s="277" t="str">
        <f t="shared" si="14"/>
        <v/>
      </c>
    </row>
    <row r="154" spans="1:20" x14ac:dyDescent="0.35">
      <c r="A154" s="270">
        <f t="shared" si="10"/>
        <v>150</v>
      </c>
      <c r="B154" s="272" t="str">
        <f>IF(AND(ITDRRegister[[#This Row],[Dependency category]]="",ITDRRegister[[#This Row],[Dependency area]]=""),"","DR-"&amp;TEXT($A154,"000"))</f>
        <v/>
      </c>
      <c r="C154" s="37"/>
      <c r="D154" s="35"/>
      <c r="E154" s="38"/>
      <c r="F154" s="34"/>
      <c r="G154" s="1"/>
      <c r="H154" s="1"/>
      <c r="I154" s="1"/>
      <c r="J154" s="1"/>
      <c r="K154" s="141"/>
      <c r="L154" s="34"/>
      <c r="M154" s="133"/>
      <c r="N154" s="133"/>
      <c r="O154" s="142"/>
      <c r="P154" s="273" t="str">
        <f t="shared" si="11"/>
        <v/>
      </c>
      <c r="Q154" s="274" t="str">
        <f t="shared" ca="1" si="12"/>
        <v/>
      </c>
      <c r="R154" s="34"/>
      <c r="S154" s="274" t="str">
        <f t="shared" si="13"/>
        <v/>
      </c>
      <c r="T154" s="277" t="str">
        <f t="shared" si="14"/>
        <v/>
      </c>
    </row>
    <row r="155" spans="1:20" x14ac:dyDescent="0.35">
      <c r="A155" s="270">
        <f t="shared" si="10"/>
        <v>151</v>
      </c>
      <c r="B155" s="272" t="str">
        <f>IF(AND(ITDRRegister[[#This Row],[Dependency category]]="",ITDRRegister[[#This Row],[Dependency area]]=""),"","DR-"&amp;TEXT($A155,"000"))</f>
        <v/>
      </c>
      <c r="C155" s="37"/>
      <c r="D155" s="35"/>
      <c r="E155" s="38"/>
      <c r="F155" s="34"/>
      <c r="G155" s="1"/>
      <c r="H155" s="1"/>
      <c r="I155" s="1"/>
      <c r="J155" s="1"/>
      <c r="K155" s="141"/>
      <c r="L155" s="34"/>
      <c r="M155" s="133"/>
      <c r="N155" s="133"/>
      <c r="O155" s="142"/>
      <c r="P155" s="273" t="str">
        <f t="shared" si="11"/>
        <v/>
      </c>
      <c r="Q155" s="274" t="str">
        <f t="shared" ca="1" si="12"/>
        <v/>
      </c>
      <c r="R155" s="34"/>
      <c r="S155" s="274" t="str">
        <f t="shared" si="13"/>
        <v/>
      </c>
      <c r="T155" s="277" t="str">
        <f t="shared" si="14"/>
        <v/>
      </c>
    </row>
    <row r="156" spans="1:20" x14ac:dyDescent="0.35">
      <c r="A156" s="270">
        <f t="shared" si="10"/>
        <v>152</v>
      </c>
      <c r="B156" s="272" t="str">
        <f>IF(AND(ITDRRegister[[#This Row],[Dependency category]]="",ITDRRegister[[#This Row],[Dependency area]]=""),"","DR-"&amp;TEXT($A156,"000"))</f>
        <v/>
      </c>
      <c r="C156" s="37"/>
      <c r="D156" s="35"/>
      <c r="E156" s="38"/>
      <c r="F156" s="34"/>
      <c r="G156" s="1"/>
      <c r="H156" s="1"/>
      <c r="I156" s="1"/>
      <c r="J156" s="1"/>
      <c r="K156" s="141"/>
      <c r="L156" s="34"/>
      <c r="M156" s="133"/>
      <c r="N156" s="133"/>
      <c r="O156" s="142"/>
      <c r="P156" s="273" t="str">
        <f t="shared" si="11"/>
        <v/>
      </c>
      <c r="Q156" s="274" t="str">
        <f t="shared" ca="1" si="12"/>
        <v/>
      </c>
      <c r="R156" s="34"/>
      <c r="S156" s="274" t="str">
        <f t="shared" si="13"/>
        <v/>
      </c>
      <c r="T156" s="277" t="str">
        <f t="shared" si="14"/>
        <v/>
      </c>
    </row>
    <row r="157" spans="1:20" x14ac:dyDescent="0.35">
      <c r="A157" s="270">
        <f t="shared" si="10"/>
        <v>153</v>
      </c>
      <c r="B157" s="272" t="str">
        <f>IF(AND(ITDRRegister[[#This Row],[Dependency category]]="",ITDRRegister[[#This Row],[Dependency area]]=""),"","DR-"&amp;TEXT($A157,"000"))</f>
        <v/>
      </c>
      <c r="C157" s="37"/>
      <c r="D157" s="35"/>
      <c r="E157" s="38"/>
      <c r="F157" s="34"/>
      <c r="G157" s="1"/>
      <c r="H157" s="1"/>
      <c r="I157" s="1"/>
      <c r="J157" s="1"/>
      <c r="K157" s="141"/>
      <c r="L157" s="34"/>
      <c r="M157" s="133"/>
      <c r="N157" s="133"/>
      <c r="O157" s="142"/>
      <c r="P157" s="273" t="str">
        <f t="shared" si="11"/>
        <v/>
      </c>
      <c r="Q157" s="274" t="str">
        <f t="shared" ca="1" si="12"/>
        <v/>
      </c>
      <c r="R157" s="34"/>
      <c r="S157" s="274" t="str">
        <f t="shared" si="13"/>
        <v/>
      </c>
      <c r="T157" s="277" t="str">
        <f t="shared" si="14"/>
        <v/>
      </c>
    </row>
    <row r="158" spans="1:20" x14ac:dyDescent="0.35">
      <c r="A158" s="270">
        <f t="shared" si="10"/>
        <v>154</v>
      </c>
      <c r="B158" s="272" t="str">
        <f>IF(AND(ITDRRegister[[#This Row],[Dependency category]]="",ITDRRegister[[#This Row],[Dependency area]]=""),"","DR-"&amp;TEXT($A158,"000"))</f>
        <v/>
      </c>
      <c r="C158" s="37"/>
      <c r="D158" s="35"/>
      <c r="E158" s="38"/>
      <c r="F158" s="34"/>
      <c r="G158" s="1"/>
      <c r="H158" s="1"/>
      <c r="I158" s="1"/>
      <c r="J158" s="1"/>
      <c r="K158" s="141"/>
      <c r="L158" s="34"/>
      <c r="M158" s="133"/>
      <c r="N158" s="133"/>
      <c r="O158" s="142"/>
      <c r="P158" s="273" t="str">
        <f t="shared" si="11"/>
        <v/>
      </c>
      <c r="Q158" s="274" t="str">
        <f t="shared" ca="1" si="12"/>
        <v/>
      </c>
      <c r="R158" s="34"/>
      <c r="S158" s="274" t="str">
        <f t="shared" si="13"/>
        <v/>
      </c>
      <c r="T158" s="277" t="str">
        <f t="shared" si="14"/>
        <v/>
      </c>
    </row>
    <row r="159" spans="1:20" x14ac:dyDescent="0.35">
      <c r="A159" s="270">
        <f t="shared" si="10"/>
        <v>155</v>
      </c>
      <c r="B159" s="272" t="str">
        <f>IF(AND(ITDRRegister[[#This Row],[Dependency category]]="",ITDRRegister[[#This Row],[Dependency area]]=""),"","DR-"&amp;TEXT($A159,"000"))</f>
        <v/>
      </c>
      <c r="C159" s="37"/>
      <c r="D159" s="35"/>
      <c r="E159" s="38"/>
      <c r="F159" s="34"/>
      <c r="G159" s="1"/>
      <c r="H159" s="1"/>
      <c r="I159" s="1"/>
      <c r="J159" s="1"/>
      <c r="K159" s="141"/>
      <c r="L159" s="34"/>
      <c r="M159" s="133"/>
      <c r="N159" s="133"/>
      <c r="O159" s="142"/>
      <c r="P159" s="273" t="str">
        <f t="shared" si="11"/>
        <v/>
      </c>
      <c r="Q159" s="274" t="str">
        <f t="shared" ca="1" si="12"/>
        <v/>
      </c>
      <c r="R159" s="34"/>
      <c r="S159" s="274" t="str">
        <f t="shared" si="13"/>
        <v/>
      </c>
      <c r="T159" s="277" t="str">
        <f t="shared" si="14"/>
        <v/>
      </c>
    </row>
    <row r="160" spans="1:20" x14ac:dyDescent="0.35">
      <c r="A160" s="270">
        <f t="shared" si="10"/>
        <v>156</v>
      </c>
      <c r="B160" s="272" t="str">
        <f>IF(AND(ITDRRegister[[#This Row],[Dependency category]]="",ITDRRegister[[#This Row],[Dependency area]]=""),"","DR-"&amp;TEXT($A160,"000"))</f>
        <v/>
      </c>
      <c r="C160" s="37"/>
      <c r="D160" s="35"/>
      <c r="E160" s="38"/>
      <c r="F160" s="34"/>
      <c r="G160" s="1"/>
      <c r="H160" s="1"/>
      <c r="I160" s="1"/>
      <c r="J160" s="1"/>
      <c r="K160" s="141"/>
      <c r="L160" s="34"/>
      <c r="M160" s="133"/>
      <c r="N160" s="133"/>
      <c r="O160" s="142"/>
      <c r="P160" s="273" t="str">
        <f t="shared" si="11"/>
        <v/>
      </c>
      <c r="Q160" s="274" t="str">
        <f t="shared" ca="1" si="12"/>
        <v/>
      </c>
      <c r="R160" s="34"/>
      <c r="S160" s="274" t="str">
        <f t="shared" si="13"/>
        <v/>
      </c>
      <c r="T160" s="277" t="str">
        <f t="shared" si="14"/>
        <v/>
      </c>
    </row>
    <row r="161" spans="1:20" x14ac:dyDescent="0.35">
      <c r="A161" s="270">
        <f t="shared" si="10"/>
        <v>157</v>
      </c>
      <c r="B161" s="272" t="str">
        <f>IF(AND(ITDRRegister[[#This Row],[Dependency category]]="",ITDRRegister[[#This Row],[Dependency area]]=""),"","DR-"&amp;TEXT($A161,"000"))</f>
        <v/>
      </c>
      <c r="C161" s="37"/>
      <c r="D161" s="35"/>
      <c r="E161" s="38"/>
      <c r="F161" s="34"/>
      <c r="G161" s="1"/>
      <c r="H161" s="1"/>
      <c r="I161" s="1"/>
      <c r="J161" s="1"/>
      <c r="K161" s="141"/>
      <c r="L161" s="34"/>
      <c r="M161" s="133"/>
      <c r="N161" s="133"/>
      <c r="O161" s="142"/>
      <c r="P161" s="273" t="str">
        <f t="shared" si="11"/>
        <v/>
      </c>
      <c r="Q161" s="274" t="str">
        <f t="shared" ca="1" si="12"/>
        <v/>
      </c>
      <c r="R161" s="34"/>
      <c r="S161" s="274" t="str">
        <f t="shared" si="13"/>
        <v/>
      </c>
      <c r="T161" s="277" t="str">
        <f t="shared" si="14"/>
        <v/>
      </c>
    </row>
    <row r="162" spans="1:20" x14ac:dyDescent="0.35">
      <c r="A162" s="270">
        <f t="shared" si="10"/>
        <v>158</v>
      </c>
      <c r="B162" s="272" t="str">
        <f>IF(AND(ITDRRegister[[#This Row],[Dependency category]]="",ITDRRegister[[#This Row],[Dependency area]]=""),"","DR-"&amp;TEXT($A162,"000"))</f>
        <v/>
      </c>
      <c r="C162" s="37"/>
      <c r="D162" s="35"/>
      <c r="E162" s="38"/>
      <c r="F162" s="34"/>
      <c r="G162" s="1"/>
      <c r="H162" s="1"/>
      <c r="I162" s="1"/>
      <c r="J162" s="1"/>
      <c r="K162" s="141"/>
      <c r="L162" s="34"/>
      <c r="M162" s="133"/>
      <c r="N162" s="133"/>
      <c r="O162" s="142"/>
      <c r="P162" s="273" t="str">
        <f t="shared" si="11"/>
        <v/>
      </c>
      <c r="Q162" s="274" t="str">
        <f t="shared" ca="1" si="12"/>
        <v/>
      </c>
      <c r="R162" s="34"/>
      <c r="S162" s="274" t="str">
        <f t="shared" si="13"/>
        <v/>
      </c>
      <c r="T162" s="277" t="str">
        <f t="shared" si="14"/>
        <v/>
      </c>
    </row>
    <row r="163" spans="1:20" x14ac:dyDescent="0.35">
      <c r="A163" s="270">
        <f t="shared" si="10"/>
        <v>159</v>
      </c>
      <c r="B163" s="272" t="str">
        <f>IF(AND(ITDRRegister[[#This Row],[Dependency category]]="",ITDRRegister[[#This Row],[Dependency area]]=""),"","DR-"&amp;TEXT($A163,"000"))</f>
        <v/>
      </c>
      <c r="C163" s="37"/>
      <c r="D163" s="35"/>
      <c r="E163" s="38"/>
      <c r="F163" s="34"/>
      <c r="G163" s="1"/>
      <c r="H163" s="1"/>
      <c r="I163" s="1"/>
      <c r="J163" s="1"/>
      <c r="K163" s="141"/>
      <c r="L163" s="34"/>
      <c r="M163" s="133"/>
      <c r="N163" s="133"/>
      <c r="O163" s="142"/>
      <c r="P163" s="273" t="str">
        <f t="shared" si="11"/>
        <v/>
      </c>
      <c r="Q163" s="274" t="str">
        <f t="shared" ca="1" si="12"/>
        <v/>
      </c>
      <c r="R163" s="34"/>
      <c r="S163" s="274" t="str">
        <f t="shared" si="13"/>
        <v/>
      </c>
      <c r="T163" s="277" t="str">
        <f t="shared" si="14"/>
        <v/>
      </c>
    </row>
    <row r="164" spans="1:20" x14ac:dyDescent="0.35">
      <c r="A164" s="270">
        <f t="shared" si="10"/>
        <v>160</v>
      </c>
      <c r="B164" s="272" t="str">
        <f>IF(AND(ITDRRegister[[#This Row],[Dependency category]]="",ITDRRegister[[#This Row],[Dependency area]]=""),"","DR-"&amp;TEXT($A164,"000"))</f>
        <v/>
      </c>
      <c r="C164" s="37"/>
      <c r="D164" s="35"/>
      <c r="E164" s="38"/>
      <c r="F164" s="34"/>
      <c r="G164" s="1"/>
      <c r="H164" s="1"/>
      <c r="I164" s="1"/>
      <c r="J164" s="1"/>
      <c r="K164" s="141"/>
      <c r="L164" s="34"/>
      <c r="M164" s="133"/>
      <c r="N164" s="133"/>
      <c r="O164" s="142"/>
      <c r="P164" s="273" t="str">
        <f t="shared" si="11"/>
        <v/>
      </c>
      <c r="Q164" s="274" t="str">
        <f t="shared" ca="1" si="12"/>
        <v/>
      </c>
      <c r="R164" s="34"/>
      <c r="S164" s="274" t="str">
        <f t="shared" si="13"/>
        <v/>
      </c>
      <c r="T164" s="277" t="str">
        <f t="shared" si="14"/>
        <v/>
      </c>
    </row>
    <row r="165" spans="1:20" x14ac:dyDescent="0.35">
      <c r="A165" s="270">
        <f t="shared" si="10"/>
        <v>161</v>
      </c>
      <c r="B165" s="272" t="str">
        <f>IF(AND(ITDRRegister[[#This Row],[Dependency category]]="",ITDRRegister[[#This Row],[Dependency area]]=""),"","DR-"&amp;TEXT($A165,"000"))</f>
        <v/>
      </c>
      <c r="C165" s="37"/>
      <c r="D165" s="35"/>
      <c r="E165" s="38"/>
      <c r="F165" s="34"/>
      <c r="G165" s="1"/>
      <c r="H165" s="1"/>
      <c r="I165" s="1"/>
      <c r="J165" s="1"/>
      <c r="K165" s="141"/>
      <c r="L165" s="34"/>
      <c r="M165" s="133"/>
      <c r="N165" s="133"/>
      <c r="O165" s="142"/>
      <c r="P165" s="273" t="str">
        <f t="shared" si="11"/>
        <v/>
      </c>
      <c r="Q165" s="274" t="str">
        <f t="shared" ca="1" si="12"/>
        <v/>
      </c>
      <c r="R165" s="34"/>
      <c r="S165" s="274" t="str">
        <f t="shared" si="13"/>
        <v/>
      </c>
      <c r="T165" s="277" t="str">
        <f t="shared" si="14"/>
        <v/>
      </c>
    </row>
    <row r="166" spans="1:20" x14ac:dyDescent="0.35">
      <c r="A166" s="270">
        <f t="shared" si="10"/>
        <v>162</v>
      </c>
      <c r="B166" s="272" t="str">
        <f>IF(AND(ITDRRegister[[#This Row],[Dependency category]]="",ITDRRegister[[#This Row],[Dependency area]]=""),"","DR-"&amp;TEXT($A166,"000"))</f>
        <v/>
      </c>
      <c r="C166" s="37"/>
      <c r="D166" s="35"/>
      <c r="E166" s="38"/>
      <c r="F166" s="34"/>
      <c r="G166" s="1"/>
      <c r="H166" s="1"/>
      <c r="I166" s="1"/>
      <c r="J166" s="1"/>
      <c r="K166" s="141"/>
      <c r="L166" s="34"/>
      <c r="M166" s="133"/>
      <c r="N166" s="133"/>
      <c r="O166" s="142"/>
      <c r="P166" s="273" t="str">
        <f t="shared" si="11"/>
        <v/>
      </c>
      <c r="Q166" s="274" t="str">
        <f t="shared" ca="1" si="12"/>
        <v/>
      </c>
      <c r="R166" s="34"/>
      <c r="S166" s="274" t="str">
        <f t="shared" si="13"/>
        <v/>
      </c>
      <c r="T166" s="277" t="str">
        <f t="shared" si="14"/>
        <v/>
      </c>
    </row>
    <row r="167" spans="1:20" x14ac:dyDescent="0.35">
      <c r="A167" s="270">
        <f t="shared" si="10"/>
        <v>163</v>
      </c>
      <c r="B167" s="272" t="str">
        <f>IF(AND(ITDRRegister[[#This Row],[Dependency category]]="",ITDRRegister[[#This Row],[Dependency area]]=""),"","DR-"&amp;TEXT($A167,"000"))</f>
        <v/>
      </c>
      <c r="C167" s="37"/>
      <c r="D167" s="35"/>
      <c r="E167" s="38"/>
      <c r="F167" s="34"/>
      <c r="G167" s="1"/>
      <c r="H167" s="1"/>
      <c r="I167" s="1"/>
      <c r="J167" s="1"/>
      <c r="K167" s="141"/>
      <c r="L167" s="34"/>
      <c r="M167" s="133"/>
      <c r="N167" s="133"/>
      <c r="O167" s="142"/>
      <c r="P167" s="273" t="str">
        <f t="shared" si="11"/>
        <v/>
      </c>
      <c r="Q167" s="274" t="str">
        <f t="shared" ca="1" si="12"/>
        <v/>
      </c>
      <c r="R167" s="34"/>
      <c r="S167" s="274" t="str">
        <f t="shared" si="13"/>
        <v/>
      </c>
      <c r="T167" s="277" t="str">
        <f t="shared" si="14"/>
        <v/>
      </c>
    </row>
    <row r="168" spans="1:20" x14ac:dyDescent="0.35">
      <c r="A168" s="270">
        <f t="shared" si="10"/>
        <v>164</v>
      </c>
      <c r="B168" s="272" t="str">
        <f>IF(AND(ITDRRegister[[#This Row],[Dependency category]]="",ITDRRegister[[#This Row],[Dependency area]]=""),"","DR-"&amp;TEXT($A168,"000"))</f>
        <v/>
      </c>
      <c r="C168" s="37"/>
      <c r="D168" s="35"/>
      <c r="E168" s="38"/>
      <c r="F168" s="34"/>
      <c r="G168" s="1"/>
      <c r="H168" s="1"/>
      <c r="I168" s="1"/>
      <c r="J168" s="1"/>
      <c r="K168" s="141"/>
      <c r="L168" s="34"/>
      <c r="M168" s="133"/>
      <c r="N168" s="133"/>
      <c r="O168" s="142"/>
      <c r="P168" s="273" t="str">
        <f t="shared" si="11"/>
        <v/>
      </c>
      <c r="Q168" s="274" t="str">
        <f t="shared" ca="1" si="12"/>
        <v/>
      </c>
      <c r="R168" s="34"/>
      <c r="S168" s="274" t="str">
        <f t="shared" si="13"/>
        <v/>
      </c>
      <c r="T168" s="277" t="str">
        <f t="shared" si="14"/>
        <v/>
      </c>
    </row>
    <row r="169" spans="1:20" x14ac:dyDescent="0.35">
      <c r="A169" s="270">
        <f t="shared" si="10"/>
        <v>165</v>
      </c>
      <c r="B169" s="272" t="str">
        <f>IF(AND(ITDRRegister[[#This Row],[Dependency category]]="",ITDRRegister[[#This Row],[Dependency area]]=""),"","DR-"&amp;TEXT($A169,"000"))</f>
        <v/>
      </c>
      <c r="C169" s="37"/>
      <c r="D169" s="35"/>
      <c r="E169" s="38"/>
      <c r="F169" s="34"/>
      <c r="G169" s="1"/>
      <c r="H169" s="1"/>
      <c r="I169" s="1"/>
      <c r="J169" s="1"/>
      <c r="K169" s="141"/>
      <c r="L169" s="34"/>
      <c r="M169" s="133"/>
      <c r="N169" s="133"/>
      <c r="O169" s="142"/>
      <c r="P169" s="273" t="str">
        <f t="shared" si="11"/>
        <v/>
      </c>
      <c r="Q169" s="274" t="str">
        <f t="shared" ca="1" si="12"/>
        <v/>
      </c>
      <c r="R169" s="34"/>
      <c r="S169" s="274" t="str">
        <f t="shared" si="13"/>
        <v/>
      </c>
      <c r="T169" s="277" t="str">
        <f t="shared" si="14"/>
        <v/>
      </c>
    </row>
    <row r="170" spans="1:20" x14ac:dyDescent="0.35">
      <c r="A170" s="270">
        <f t="shared" si="10"/>
        <v>166</v>
      </c>
      <c r="B170" s="272" t="str">
        <f>IF(AND(ITDRRegister[[#This Row],[Dependency category]]="",ITDRRegister[[#This Row],[Dependency area]]=""),"","DR-"&amp;TEXT($A170,"000"))</f>
        <v/>
      </c>
      <c r="C170" s="37"/>
      <c r="D170" s="35"/>
      <c r="E170" s="38"/>
      <c r="F170" s="34"/>
      <c r="G170" s="1"/>
      <c r="H170" s="1"/>
      <c r="I170" s="1"/>
      <c r="J170" s="1"/>
      <c r="K170" s="141"/>
      <c r="L170" s="34"/>
      <c r="M170" s="133"/>
      <c r="N170" s="133"/>
      <c r="O170" s="142"/>
      <c r="P170" s="273" t="str">
        <f t="shared" si="11"/>
        <v/>
      </c>
      <c r="Q170" s="274" t="str">
        <f t="shared" ca="1" si="12"/>
        <v/>
      </c>
      <c r="R170" s="34"/>
      <c r="S170" s="274" t="str">
        <f t="shared" si="13"/>
        <v/>
      </c>
      <c r="T170" s="277" t="str">
        <f t="shared" si="14"/>
        <v/>
      </c>
    </row>
    <row r="171" spans="1:20" x14ac:dyDescent="0.35">
      <c r="A171" s="270">
        <f t="shared" si="10"/>
        <v>167</v>
      </c>
      <c r="B171" s="272" t="str">
        <f>IF(AND(ITDRRegister[[#This Row],[Dependency category]]="",ITDRRegister[[#This Row],[Dependency area]]=""),"","DR-"&amp;TEXT($A171,"000"))</f>
        <v/>
      </c>
      <c r="C171" s="37"/>
      <c r="D171" s="35"/>
      <c r="E171" s="38"/>
      <c r="F171" s="34"/>
      <c r="G171" s="1"/>
      <c r="H171" s="1"/>
      <c r="I171" s="1"/>
      <c r="J171" s="1"/>
      <c r="K171" s="141"/>
      <c r="L171" s="34"/>
      <c r="M171" s="133"/>
      <c r="N171" s="133"/>
      <c r="O171" s="142"/>
      <c r="P171" s="273" t="str">
        <f t="shared" si="11"/>
        <v/>
      </c>
      <c r="Q171" s="274" t="str">
        <f t="shared" ca="1" si="12"/>
        <v/>
      </c>
      <c r="R171" s="34"/>
      <c r="S171" s="274" t="str">
        <f t="shared" si="13"/>
        <v/>
      </c>
      <c r="T171" s="277" t="str">
        <f t="shared" si="14"/>
        <v/>
      </c>
    </row>
    <row r="172" spans="1:20" x14ac:dyDescent="0.35">
      <c r="A172" s="270">
        <f t="shared" si="10"/>
        <v>168</v>
      </c>
      <c r="B172" s="272" t="str">
        <f>IF(AND(ITDRRegister[[#This Row],[Dependency category]]="",ITDRRegister[[#This Row],[Dependency area]]=""),"","DR-"&amp;TEXT($A172,"000"))</f>
        <v/>
      </c>
      <c r="C172" s="37"/>
      <c r="D172" s="35"/>
      <c r="E172" s="38"/>
      <c r="F172" s="34"/>
      <c r="G172" s="1"/>
      <c r="H172" s="1"/>
      <c r="I172" s="1"/>
      <c r="J172" s="1"/>
      <c r="K172" s="141"/>
      <c r="L172" s="34"/>
      <c r="M172" s="133"/>
      <c r="N172" s="133"/>
      <c r="O172" s="142"/>
      <c r="P172" s="273" t="str">
        <f t="shared" si="11"/>
        <v/>
      </c>
      <c r="Q172" s="274" t="str">
        <f t="shared" ca="1" si="12"/>
        <v/>
      </c>
      <c r="R172" s="34"/>
      <c r="S172" s="274" t="str">
        <f t="shared" si="13"/>
        <v/>
      </c>
      <c r="T172" s="277" t="str">
        <f t="shared" si="14"/>
        <v/>
      </c>
    </row>
    <row r="173" spans="1:20" x14ac:dyDescent="0.35">
      <c r="A173" s="270">
        <f t="shared" si="10"/>
        <v>169</v>
      </c>
      <c r="B173" s="272" t="str">
        <f>IF(AND(ITDRRegister[[#This Row],[Dependency category]]="",ITDRRegister[[#This Row],[Dependency area]]=""),"","DR-"&amp;TEXT($A173,"000"))</f>
        <v/>
      </c>
      <c r="C173" s="37"/>
      <c r="D173" s="35"/>
      <c r="E173" s="38"/>
      <c r="F173" s="34"/>
      <c r="G173" s="1"/>
      <c r="H173" s="1"/>
      <c r="I173" s="1"/>
      <c r="J173" s="1"/>
      <c r="K173" s="141"/>
      <c r="L173" s="34"/>
      <c r="M173" s="133"/>
      <c r="N173" s="133"/>
      <c r="O173" s="142"/>
      <c r="P173" s="273" t="str">
        <f t="shared" si="11"/>
        <v/>
      </c>
      <c r="Q173" s="274" t="str">
        <f t="shared" ca="1" si="12"/>
        <v/>
      </c>
      <c r="R173" s="34"/>
      <c r="S173" s="274" t="str">
        <f t="shared" si="13"/>
        <v/>
      </c>
      <c r="T173" s="277" t="str">
        <f t="shared" si="14"/>
        <v/>
      </c>
    </row>
    <row r="174" spans="1:20" x14ac:dyDescent="0.35">
      <c r="A174" s="270">
        <f t="shared" si="10"/>
        <v>170</v>
      </c>
      <c r="B174" s="272" t="str">
        <f>IF(AND(ITDRRegister[[#This Row],[Dependency category]]="",ITDRRegister[[#This Row],[Dependency area]]=""),"","DR-"&amp;TEXT($A174,"000"))</f>
        <v/>
      </c>
      <c r="C174" s="37"/>
      <c r="D174" s="35"/>
      <c r="E174" s="38"/>
      <c r="F174" s="34"/>
      <c r="G174" s="1"/>
      <c r="H174" s="1"/>
      <c r="I174" s="1"/>
      <c r="J174" s="1"/>
      <c r="K174" s="141"/>
      <c r="L174" s="34"/>
      <c r="M174" s="133"/>
      <c r="N174" s="133"/>
      <c r="O174" s="142"/>
      <c r="P174" s="273" t="str">
        <f t="shared" si="11"/>
        <v/>
      </c>
      <c r="Q174" s="274" t="str">
        <f t="shared" ca="1" si="12"/>
        <v/>
      </c>
      <c r="R174" s="34"/>
      <c r="S174" s="274" t="str">
        <f t="shared" si="13"/>
        <v/>
      </c>
      <c r="T174" s="277" t="str">
        <f t="shared" si="14"/>
        <v/>
      </c>
    </row>
    <row r="175" spans="1:20" x14ac:dyDescent="0.35">
      <c r="A175" s="270">
        <f t="shared" si="10"/>
        <v>171</v>
      </c>
      <c r="B175" s="272" t="str">
        <f>IF(AND(ITDRRegister[[#This Row],[Dependency category]]="",ITDRRegister[[#This Row],[Dependency area]]=""),"","DR-"&amp;TEXT($A175,"000"))</f>
        <v/>
      </c>
      <c r="C175" s="37"/>
      <c r="D175" s="35"/>
      <c r="E175" s="38"/>
      <c r="F175" s="34"/>
      <c r="G175" s="1"/>
      <c r="H175" s="1"/>
      <c r="I175" s="1"/>
      <c r="J175" s="1"/>
      <c r="K175" s="141"/>
      <c r="L175" s="34"/>
      <c r="M175" s="133"/>
      <c r="N175" s="133"/>
      <c r="O175" s="142"/>
      <c r="P175" s="273" t="str">
        <f t="shared" si="11"/>
        <v/>
      </c>
      <c r="Q175" s="274" t="str">
        <f t="shared" ca="1" si="12"/>
        <v/>
      </c>
      <c r="R175" s="34"/>
      <c r="S175" s="274" t="str">
        <f t="shared" si="13"/>
        <v/>
      </c>
      <c r="T175" s="277" t="str">
        <f t="shared" si="14"/>
        <v/>
      </c>
    </row>
    <row r="176" spans="1:20" x14ac:dyDescent="0.35">
      <c r="A176" s="270">
        <f t="shared" si="10"/>
        <v>172</v>
      </c>
      <c r="B176" s="272" t="str">
        <f>IF(AND(ITDRRegister[[#This Row],[Dependency category]]="",ITDRRegister[[#This Row],[Dependency area]]=""),"","DR-"&amp;TEXT($A176,"000"))</f>
        <v/>
      </c>
      <c r="C176" s="37"/>
      <c r="D176" s="35"/>
      <c r="E176" s="38"/>
      <c r="F176" s="34"/>
      <c r="G176" s="1"/>
      <c r="H176" s="1"/>
      <c r="I176" s="1"/>
      <c r="J176" s="1"/>
      <c r="K176" s="141"/>
      <c r="L176" s="34"/>
      <c r="M176" s="133"/>
      <c r="N176" s="133"/>
      <c r="O176" s="142"/>
      <c r="P176" s="273" t="str">
        <f t="shared" si="11"/>
        <v/>
      </c>
      <c r="Q176" s="274" t="str">
        <f t="shared" ca="1" si="12"/>
        <v/>
      </c>
      <c r="R176" s="34"/>
      <c r="S176" s="274" t="str">
        <f t="shared" si="13"/>
        <v/>
      </c>
      <c r="T176" s="277" t="str">
        <f t="shared" si="14"/>
        <v/>
      </c>
    </row>
    <row r="177" spans="1:20" x14ac:dyDescent="0.35">
      <c r="A177" s="270">
        <f t="shared" si="10"/>
        <v>173</v>
      </c>
      <c r="B177" s="272" t="str">
        <f>IF(AND(ITDRRegister[[#This Row],[Dependency category]]="",ITDRRegister[[#This Row],[Dependency area]]=""),"","DR-"&amp;TEXT($A177,"000"))</f>
        <v/>
      </c>
      <c r="C177" s="37"/>
      <c r="D177" s="35"/>
      <c r="E177" s="38"/>
      <c r="F177" s="34"/>
      <c r="G177" s="1"/>
      <c r="H177" s="1"/>
      <c r="I177" s="1"/>
      <c r="J177" s="1"/>
      <c r="K177" s="141"/>
      <c r="L177" s="34"/>
      <c r="M177" s="133"/>
      <c r="N177" s="133"/>
      <c r="O177" s="142"/>
      <c r="P177" s="273" t="str">
        <f t="shared" si="11"/>
        <v/>
      </c>
      <c r="Q177" s="274" t="str">
        <f t="shared" ca="1" si="12"/>
        <v/>
      </c>
      <c r="R177" s="34"/>
      <c r="S177" s="274" t="str">
        <f t="shared" si="13"/>
        <v/>
      </c>
      <c r="T177" s="277" t="str">
        <f t="shared" si="14"/>
        <v/>
      </c>
    </row>
    <row r="178" spans="1:20" x14ac:dyDescent="0.35">
      <c r="A178" s="270">
        <f t="shared" si="10"/>
        <v>174</v>
      </c>
      <c r="B178" s="272" t="str">
        <f>IF(AND(ITDRRegister[[#This Row],[Dependency category]]="",ITDRRegister[[#This Row],[Dependency area]]=""),"","DR-"&amp;TEXT($A178,"000"))</f>
        <v/>
      </c>
      <c r="C178" s="37"/>
      <c r="D178" s="35"/>
      <c r="E178" s="38"/>
      <c r="F178" s="34"/>
      <c r="G178" s="1"/>
      <c r="H178" s="1"/>
      <c r="I178" s="1"/>
      <c r="J178" s="1"/>
      <c r="K178" s="141"/>
      <c r="L178" s="34"/>
      <c r="M178" s="133"/>
      <c r="N178" s="133"/>
      <c r="O178" s="142"/>
      <c r="P178" s="273" t="str">
        <f t="shared" si="11"/>
        <v/>
      </c>
      <c r="Q178" s="274" t="str">
        <f t="shared" ca="1" si="12"/>
        <v/>
      </c>
      <c r="R178" s="34"/>
      <c r="S178" s="274" t="str">
        <f t="shared" si="13"/>
        <v/>
      </c>
      <c r="T178" s="277" t="str">
        <f t="shared" si="14"/>
        <v/>
      </c>
    </row>
    <row r="179" spans="1:20" x14ac:dyDescent="0.35">
      <c r="A179" s="270">
        <f t="shared" si="10"/>
        <v>175</v>
      </c>
      <c r="B179" s="272" t="str">
        <f>IF(AND(ITDRRegister[[#This Row],[Dependency category]]="",ITDRRegister[[#This Row],[Dependency area]]=""),"","DR-"&amp;TEXT($A179,"000"))</f>
        <v/>
      </c>
      <c r="C179" s="37"/>
      <c r="D179" s="35"/>
      <c r="E179" s="38"/>
      <c r="F179" s="34"/>
      <c r="G179" s="1"/>
      <c r="H179" s="1"/>
      <c r="I179" s="1"/>
      <c r="J179" s="1"/>
      <c r="K179" s="141"/>
      <c r="L179" s="34"/>
      <c r="M179" s="133"/>
      <c r="N179" s="133"/>
      <c r="O179" s="142"/>
      <c r="P179" s="273" t="str">
        <f t="shared" si="11"/>
        <v/>
      </c>
      <c r="Q179" s="274" t="str">
        <f t="shared" ca="1" si="12"/>
        <v/>
      </c>
      <c r="R179" s="34"/>
      <c r="S179" s="274" t="str">
        <f t="shared" si="13"/>
        <v/>
      </c>
      <c r="T179" s="277" t="str">
        <f t="shared" si="14"/>
        <v/>
      </c>
    </row>
    <row r="180" spans="1:20" x14ac:dyDescent="0.35">
      <c r="A180" s="270">
        <f t="shared" si="10"/>
        <v>176</v>
      </c>
      <c r="B180" s="272" t="str">
        <f>IF(AND(ITDRRegister[[#This Row],[Dependency category]]="",ITDRRegister[[#This Row],[Dependency area]]=""),"","DR-"&amp;TEXT($A180,"000"))</f>
        <v/>
      </c>
      <c r="C180" s="37"/>
      <c r="D180" s="35"/>
      <c r="E180" s="38"/>
      <c r="F180" s="34"/>
      <c r="G180" s="1"/>
      <c r="H180" s="1"/>
      <c r="I180" s="1"/>
      <c r="J180" s="1"/>
      <c r="K180" s="141"/>
      <c r="L180" s="34"/>
      <c r="M180" s="133"/>
      <c r="N180" s="133"/>
      <c r="O180" s="142"/>
      <c r="P180" s="273" t="str">
        <f t="shared" si="11"/>
        <v/>
      </c>
      <c r="Q180" s="274" t="str">
        <f t="shared" ca="1" si="12"/>
        <v/>
      </c>
      <c r="R180" s="34"/>
      <c r="S180" s="274" t="str">
        <f t="shared" si="13"/>
        <v/>
      </c>
      <c r="T180" s="277" t="str">
        <f t="shared" si="14"/>
        <v/>
      </c>
    </row>
    <row r="181" spans="1:20" x14ac:dyDescent="0.35">
      <c r="A181" s="270">
        <f t="shared" si="10"/>
        <v>177</v>
      </c>
      <c r="B181" s="272" t="str">
        <f>IF(AND(ITDRRegister[[#This Row],[Dependency category]]="",ITDRRegister[[#This Row],[Dependency area]]=""),"","DR-"&amp;TEXT($A181,"000"))</f>
        <v/>
      </c>
      <c r="C181" s="37"/>
      <c r="D181" s="35"/>
      <c r="E181" s="38"/>
      <c r="F181" s="34"/>
      <c r="G181" s="1"/>
      <c r="H181" s="1"/>
      <c r="I181" s="1"/>
      <c r="J181" s="1"/>
      <c r="K181" s="141"/>
      <c r="L181" s="34"/>
      <c r="M181" s="133"/>
      <c r="N181" s="133"/>
      <c r="O181" s="142"/>
      <c r="P181" s="273" t="str">
        <f t="shared" si="11"/>
        <v/>
      </c>
      <c r="Q181" s="274" t="str">
        <f t="shared" ca="1" si="12"/>
        <v/>
      </c>
      <c r="R181" s="34"/>
      <c r="S181" s="274" t="str">
        <f t="shared" si="13"/>
        <v/>
      </c>
      <c r="T181" s="277" t="str">
        <f t="shared" si="14"/>
        <v/>
      </c>
    </row>
    <row r="182" spans="1:20" x14ac:dyDescent="0.35">
      <c r="A182" s="270">
        <f t="shared" si="10"/>
        <v>178</v>
      </c>
      <c r="B182" s="272" t="str">
        <f>IF(AND(ITDRRegister[[#This Row],[Dependency category]]="",ITDRRegister[[#This Row],[Dependency area]]=""),"","DR-"&amp;TEXT($A182,"000"))</f>
        <v/>
      </c>
      <c r="C182" s="37"/>
      <c r="D182" s="35"/>
      <c r="E182" s="38"/>
      <c r="F182" s="34"/>
      <c r="G182" s="1"/>
      <c r="H182" s="1"/>
      <c r="I182" s="1"/>
      <c r="J182" s="1"/>
      <c r="K182" s="141"/>
      <c r="L182" s="34"/>
      <c r="M182" s="133"/>
      <c r="N182" s="133"/>
      <c r="O182" s="142"/>
      <c r="P182" s="273" t="str">
        <f t="shared" si="11"/>
        <v/>
      </c>
      <c r="Q182" s="274" t="str">
        <f t="shared" ca="1" si="12"/>
        <v/>
      </c>
      <c r="R182" s="34"/>
      <c r="S182" s="274" t="str">
        <f t="shared" si="13"/>
        <v/>
      </c>
      <c r="T182" s="277" t="str">
        <f t="shared" si="14"/>
        <v/>
      </c>
    </row>
    <row r="183" spans="1:20" x14ac:dyDescent="0.35">
      <c r="A183" s="270">
        <f t="shared" si="10"/>
        <v>179</v>
      </c>
      <c r="B183" s="272" t="str">
        <f>IF(AND(ITDRRegister[[#This Row],[Dependency category]]="",ITDRRegister[[#This Row],[Dependency area]]=""),"","DR-"&amp;TEXT($A183,"000"))</f>
        <v/>
      </c>
      <c r="C183" s="37"/>
      <c r="D183" s="35"/>
      <c r="E183" s="38"/>
      <c r="F183" s="34"/>
      <c r="G183" s="1"/>
      <c r="H183" s="1"/>
      <c r="I183" s="1"/>
      <c r="J183" s="1"/>
      <c r="K183" s="141"/>
      <c r="L183" s="34"/>
      <c r="M183" s="133"/>
      <c r="N183" s="133"/>
      <c r="O183" s="142"/>
      <c r="P183" s="273" t="str">
        <f t="shared" si="11"/>
        <v/>
      </c>
      <c r="Q183" s="274" t="str">
        <f t="shared" ca="1" si="12"/>
        <v/>
      </c>
      <c r="R183" s="34"/>
      <c r="S183" s="274" t="str">
        <f t="shared" si="13"/>
        <v/>
      </c>
      <c r="T183" s="277" t="str">
        <f t="shared" si="14"/>
        <v/>
      </c>
    </row>
    <row r="184" spans="1:20" x14ac:dyDescent="0.35">
      <c r="A184" s="270">
        <f t="shared" si="10"/>
        <v>180</v>
      </c>
      <c r="B184" s="272" t="str">
        <f>IF(AND(ITDRRegister[[#This Row],[Dependency category]]="",ITDRRegister[[#This Row],[Dependency area]]=""),"","DR-"&amp;TEXT($A184,"000"))</f>
        <v/>
      </c>
      <c r="C184" s="37"/>
      <c r="D184" s="35"/>
      <c r="E184" s="38"/>
      <c r="F184" s="34"/>
      <c r="G184" s="1"/>
      <c r="H184" s="1"/>
      <c r="I184" s="1"/>
      <c r="J184" s="1"/>
      <c r="K184" s="141"/>
      <c r="L184" s="34"/>
      <c r="M184" s="133"/>
      <c r="N184" s="133"/>
      <c r="O184" s="142"/>
      <c r="P184" s="273" t="str">
        <f t="shared" si="11"/>
        <v/>
      </c>
      <c r="Q184" s="274" t="str">
        <f t="shared" ca="1" si="12"/>
        <v/>
      </c>
      <c r="R184" s="34"/>
      <c r="S184" s="274" t="str">
        <f t="shared" si="13"/>
        <v/>
      </c>
      <c r="T184" s="277" t="str">
        <f t="shared" si="14"/>
        <v/>
      </c>
    </row>
    <row r="185" spans="1:20" x14ac:dyDescent="0.35">
      <c r="A185" s="270">
        <f t="shared" si="10"/>
        <v>181</v>
      </c>
      <c r="B185" s="272" t="str">
        <f>IF(AND(ITDRRegister[[#This Row],[Dependency category]]="",ITDRRegister[[#This Row],[Dependency area]]=""),"","DR-"&amp;TEXT($A185,"000"))</f>
        <v/>
      </c>
      <c r="C185" s="37"/>
      <c r="D185" s="35"/>
      <c r="E185" s="38"/>
      <c r="F185" s="34"/>
      <c r="G185" s="1"/>
      <c r="H185" s="1"/>
      <c r="I185" s="1"/>
      <c r="J185" s="1"/>
      <c r="K185" s="141"/>
      <c r="L185" s="34"/>
      <c r="M185" s="133"/>
      <c r="N185" s="133"/>
      <c r="O185" s="142"/>
      <c r="P185" s="273" t="str">
        <f t="shared" si="11"/>
        <v/>
      </c>
      <c r="Q185" s="274" t="str">
        <f t="shared" ca="1" si="12"/>
        <v/>
      </c>
      <c r="R185" s="34"/>
      <c r="S185" s="274" t="str">
        <f t="shared" si="13"/>
        <v/>
      </c>
      <c r="T185" s="277" t="str">
        <f t="shared" si="14"/>
        <v/>
      </c>
    </row>
    <row r="186" spans="1:20" x14ac:dyDescent="0.35">
      <c r="A186" s="270">
        <f t="shared" si="10"/>
        <v>182</v>
      </c>
      <c r="B186" s="272" t="str">
        <f>IF(AND(ITDRRegister[[#This Row],[Dependency category]]="",ITDRRegister[[#This Row],[Dependency area]]=""),"","DR-"&amp;TEXT($A186,"000"))</f>
        <v/>
      </c>
      <c r="C186" s="37"/>
      <c r="D186" s="35"/>
      <c r="E186" s="38"/>
      <c r="F186" s="34"/>
      <c r="G186" s="1"/>
      <c r="H186" s="1"/>
      <c r="I186" s="1"/>
      <c r="J186" s="1"/>
      <c r="K186" s="141"/>
      <c r="L186" s="34"/>
      <c r="M186" s="133"/>
      <c r="N186" s="133"/>
      <c r="O186" s="142"/>
      <c r="P186" s="273" t="str">
        <f t="shared" si="11"/>
        <v/>
      </c>
      <c r="Q186" s="274" t="str">
        <f t="shared" ca="1" si="12"/>
        <v/>
      </c>
      <c r="R186" s="34"/>
      <c r="S186" s="274" t="str">
        <f t="shared" si="13"/>
        <v/>
      </c>
      <c r="T186" s="277" t="str">
        <f t="shared" si="14"/>
        <v/>
      </c>
    </row>
    <row r="187" spans="1:20" x14ac:dyDescent="0.35">
      <c r="A187" s="270">
        <f t="shared" si="10"/>
        <v>183</v>
      </c>
      <c r="B187" s="272" t="str">
        <f>IF(AND(ITDRRegister[[#This Row],[Dependency category]]="",ITDRRegister[[#This Row],[Dependency area]]=""),"","DR-"&amp;TEXT($A187,"000"))</f>
        <v/>
      </c>
      <c r="C187" s="37"/>
      <c r="D187" s="35"/>
      <c r="E187" s="38"/>
      <c r="F187" s="34"/>
      <c r="G187" s="1"/>
      <c r="H187" s="1"/>
      <c r="I187" s="1"/>
      <c r="J187" s="1"/>
      <c r="K187" s="141"/>
      <c r="L187" s="34"/>
      <c r="M187" s="133"/>
      <c r="N187" s="133"/>
      <c r="O187" s="142"/>
      <c r="P187" s="273" t="str">
        <f t="shared" si="11"/>
        <v/>
      </c>
      <c r="Q187" s="274" t="str">
        <f t="shared" ca="1" si="12"/>
        <v/>
      </c>
      <c r="R187" s="34"/>
      <c r="S187" s="274" t="str">
        <f t="shared" si="13"/>
        <v/>
      </c>
      <c r="T187" s="277" t="str">
        <f t="shared" si="14"/>
        <v/>
      </c>
    </row>
    <row r="188" spans="1:20" x14ac:dyDescent="0.35">
      <c r="A188" s="270">
        <f t="shared" si="10"/>
        <v>184</v>
      </c>
      <c r="B188" s="272" t="str">
        <f>IF(AND(ITDRRegister[[#This Row],[Dependency category]]="",ITDRRegister[[#This Row],[Dependency area]]=""),"","DR-"&amp;TEXT($A188,"000"))</f>
        <v/>
      </c>
      <c r="C188" s="37"/>
      <c r="D188" s="35"/>
      <c r="E188" s="38"/>
      <c r="F188" s="34"/>
      <c r="G188" s="1"/>
      <c r="H188" s="1"/>
      <c r="I188" s="1"/>
      <c r="J188" s="1"/>
      <c r="K188" s="141"/>
      <c r="L188" s="34"/>
      <c r="M188" s="133"/>
      <c r="N188" s="133"/>
      <c r="O188" s="142"/>
      <c r="P188" s="273" t="str">
        <f t="shared" si="11"/>
        <v/>
      </c>
      <c r="Q188" s="274" t="str">
        <f t="shared" ca="1" si="12"/>
        <v/>
      </c>
      <c r="R188" s="34"/>
      <c r="S188" s="274" t="str">
        <f t="shared" si="13"/>
        <v/>
      </c>
      <c r="T188" s="277" t="str">
        <f t="shared" si="14"/>
        <v/>
      </c>
    </row>
    <row r="189" spans="1:20" x14ac:dyDescent="0.35">
      <c r="A189" s="270">
        <f t="shared" si="10"/>
        <v>185</v>
      </c>
      <c r="B189" s="272" t="str">
        <f>IF(AND(ITDRRegister[[#This Row],[Dependency category]]="",ITDRRegister[[#This Row],[Dependency area]]=""),"","DR-"&amp;TEXT($A189,"000"))</f>
        <v/>
      </c>
      <c r="C189" s="37"/>
      <c r="D189" s="35"/>
      <c r="E189" s="38"/>
      <c r="F189" s="34"/>
      <c r="G189" s="1"/>
      <c r="H189" s="1"/>
      <c r="I189" s="1"/>
      <c r="J189" s="1"/>
      <c r="K189" s="141"/>
      <c r="L189" s="34"/>
      <c r="M189" s="133"/>
      <c r="N189" s="133"/>
      <c r="O189" s="142"/>
      <c r="P189" s="273" t="str">
        <f t="shared" si="11"/>
        <v/>
      </c>
      <c r="Q189" s="274" t="str">
        <f t="shared" ca="1" si="12"/>
        <v/>
      </c>
      <c r="R189" s="34"/>
      <c r="S189" s="274" t="str">
        <f t="shared" si="13"/>
        <v/>
      </c>
      <c r="T189" s="277" t="str">
        <f t="shared" si="14"/>
        <v/>
      </c>
    </row>
    <row r="190" spans="1:20" x14ac:dyDescent="0.35">
      <c r="A190" s="270">
        <f t="shared" si="10"/>
        <v>186</v>
      </c>
      <c r="B190" s="272" t="str">
        <f>IF(AND(ITDRRegister[[#This Row],[Dependency category]]="",ITDRRegister[[#This Row],[Dependency area]]=""),"","DR-"&amp;TEXT($A190,"000"))</f>
        <v/>
      </c>
      <c r="C190" s="37"/>
      <c r="D190" s="35"/>
      <c r="E190" s="38"/>
      <c r="F190" s="34"/>
      <c r="G190" s="1"/>
      <c r="H190" s="1"/>
      <c r="I190" s="1"/>
      <c r="J190" s="1"/>
      <c r="K190" s="141"/>
      <c r="L190" s="34"/>
      <c r="M190" s="133"/>
      <c r="N190" s="133"/>
      <c r="O190" s="142"/>
      <c r="P190" s="273" t="str">
        <f t="shared" si="11"/>
        <v/>
      </c>
      <c r="Q190" s="274" t="str">
        <f t="shared" ca="1" si="12"/>
        <v/>
      </c>
      <c r="R190" s="34"/>
      <c r="S190" s="274" t="str">
        <f t="shared" si="13"/>
        <v/>
      </c>
      <c r="T190" s="277" t="str">
        <f t="shared" si="14"/>
        <v/>
      </c>
    </row>
    <row r="191" spans="1:20" x14ac:dyDescent="0.35">
      <c r="A191" s="270">
        <f t="shared" si="10"/>
        <v>187</v>
      </c>
      <c r="B191" s="272" t="str">
        <f>IF(AND(ITDRRegister[[#This Row],[Dependency category]]="",ITDRRegister[[#This Row],[Dependency area]]=""),"","DR-"&amp;TEXT($A191,"000"))</f>
        <v/>
      </c>
      <c r="C191" s="37"/>
      <c r="D191" s="35"/>
      <c r="E191" s="38"/>
      <c r="F191" s="34"/>
      <c r="G191" s="1"/>
      <c r="H191" s="1"/>
      <c r="I191" s="1"/>
      <c r="J191" s="1"/>
      <c r="K191" s="141"/>
      <c r="L191" s="34"/>
      <c r="M191" s="133"/>
      <c r="N191" s="133"/>
      <c r="O191" s="142"/>
      <c r="P191" s="273" t="str">
        <f t="shared" si="11"/>
        <v/>
      </c>
      <c r="Q191" s="274" t="str">
        <f t="shared" ca="1" si="12"/>
        <v/>
      </c>
      <c r="R191" s="34"/>
      <c r="S191" s="274" t="str">
        <f t="shared" si="13"/>
        <v/>
      </c>
      <c r="T191" s="277" t="str">
        <f t="shared" si="14"/>
        <v/>
      </c>
    </row>
    <row r="192" spans="1:20" x14ac:dyDescent="0.35">
      <c r="A192" s="270">
        <f t="shared" si="10"/>
        <v>188</v>
      </c>
      <c r="B192" s="272" t="str">
        <f>IF(AND(ITDRRegister[[#This Row],[Dependency category]]="",ITDRRegister[[#This Row],[Dependency area]]=""),"","DR-"&amp;TEXT($A192,"000"))</f>
        <v/>
      </c>
      <c r="C192" s="37"/>
      <c r="D192" s="35"/>
      <c r="E192" s="38"/>
      <c r="F192" s="34"/>
      <c r="G192" s="1"/>
      <c r="H192" s="1"/>
      <c r="I192" s="1"/>
      <c r="J192" s="1"/>
      <c r="K192" s="141"/>
      <c r="L192" s="34"/>
      <c r="M192" s="133"/>
      <c r="N192" s="133"/>
      <c r="O192" s="142"/>
      <c r="P192" s="273" t="str">
        <f t="shared" si="11"/>
        <v/>
      </c>
      <c r="Q192" s="274" t="str">
        <f t="shared" ca="1" si="12"/>
        <v/>
      </c>
      <c r="R192" s="34"/>
      <c r="S192" s="274" t="str">
        <f t="shared" si="13"/>
        <v/>
      </c>
      <c r="T192" s="277" t="str">
        <f t="shared" si="14"/>
        <v/>
      </c>
    </row>
    <row r="193" spans="1:20" x14ac:dyDescent="0.35">
      <c r="A193" s="270">
        <f t="shared" si="10"/>
        <v>189</v>
      </c>
      <c r="B193" s="272" t="str">
        <f>IF(AND(ITDRRegister[[#This Row],[Dependency category]]="",ITDRRegister[[#This Row],[Dependency area]]=""),"","DR-"&amp;TEXT($A193,"000"))</f>
        <v/>
      </c>
      <c r="C193" s="37"/>
      <c r="D193" s="35"/>
      <c r="E193" s="38"/>
      <c r="F193" s="34"/>
      <c r="G193" s="1"/>
      <c r="H193" s="1"/>
      <c r="I193" s="1"/>
      <c r="J193" s="1"/>
      <c r="K193" s="141"/>
      <c r="L193" s="34"/>
      <c r="M193" s="133"/>
      <c r="N193" s="133"/>
      <c r="O193" s="142"/>
      <c r="P193" s="273" t="str">
        <f t="shared" si="11"/>
        <v/>
      </c>
      <c r="Q193" s="274" t="str">
        <f t="shared" ca="1" si="12"/>
        <v/>
      </c>
      <c r="R193" s="34"/>
      <c r="S193" s="274" t="str">
        <f t="shared" si="13"/>
        <v/>
      </c>
      <c r="T193" s="277" t="str">
        <f t="shared" si="14"/>
        <v/>
      </c>
    </row>
    <row r="194" spans="1:20" x14ac:dyDescent="0.35">
      <c r="A194" s="270">
        <f t="shared" si="10"/>
        <v>190</v>
      </c>
      <c r="B194" s="272" t="str">
        <f>IF(AND(ITDRRegister[[#This Row],[Dependency category]]="",ITDRRegister[[#This Row],[Dependency area]]=""),"","DR-"&amp;TEXT($A194,"000"))</f>
        <v/>
      </c>
      <c r="C194" s="37"/>
      <c r="D194" s="35"/>
      <c r="E194" s="38"/>
      <c r="F194" s="34"/>
      <c r="G194" s="1"/>
      <c r="H194" s="1"/>
      <c r="I194" s="1"/>
      <c r="J194" s="1"/>
      <c r="K194" s="141"/>
      <c r="L194" s="34"/>
      <c r="M194" s="133"/>
      <c r="N194" s="133"/>
      <c r="O194" s="142"/>
      <c r="P194" s="273" t="str">
        <f t="shared" si="11"/>
        <v/>
      </c>
      <c r="Q194" s="274" t="str">
        <f t="shared" ca="1" si="12"/>
        <v/>
      </c>
      <c r="R194" s="34"/>
      <c r="S194" s="274" t="str">
        <f t="shared" si="13"/>
        <v/>
      </c>
      <c r="T194" s="277" t="str">
        <f t="shared" si="14"/>
        <v/>
      </c>
    </row>
    <row r="195" spans="1:20" x14ac:dyDescent="0.35">
      <c r="A195" s="270">
        <f t="shared" si="10"/>
        <v>191</v>
      </c>
      <c r="B195" s="272" t="str">
        <f>IF(AND(ITDRRegister[[#This Row],[Dependency category]]="",ITDRRegister[[#This Row],[Dependency area]]=""),"","DR-"&amp;TEXT($A195,"000"))</f>
        <v/>
      </c>
      <c r="C195" s="37"/>
      <c r="D195" s="35"/>
      <c r="E195" s="38"/>
      <c r="F195" s="34"/>
      <c r="G195" s="1"/>
      <c r="H195" s="1"/>
      <c r="I195" s="1"/>
      <c r="J195" s="1"/>
      <c r="K195" s="141"/>
      <c r="L195" s="34"/>
      <c r="M195" s="133"/>
      <c r="N195" s="133"/>
      <c r="O195" s="142"/>
      <c r="P195" s="273" t="str">
        <f t="shared" si="11"/>
        <v/>
      </c>
      <c r="Q195" s="274" t="str">
        <f t="shared" ca="1" si="12"/>
        <v/>
      </c>
      <c r="R195" s="34"/>
      <c r="S195" s="274" t="str">
        <f t="shared" si="13"/>
        <v/>
      </c>
      <c r="T195" s="277" t="str">
        <f t="shared" si="14"/>
        <v/>
      </c>
    </row>
    <row r="196" spans="1:20" x14ac:dyDescent="0.35">
      <c r="A196" s="270">
        <f t="shared" si="10"/>
        <v>192</v>
      </c>
      <c r="B196" s="272" t="str">
        <f>IF(AND(ITDRRegister[[#This Row],[Dependency category]]="",ITDRRegister[[#This Row],[Dependency area]]=""),"","DR-"&amp;TEXT($A196,"000"))</f>
        <v/>
      </c>
      <c r="C196" s="37"/>
      <c r="D196" s="35"/>
      <c r="E196" s="38"/>
      <c r="F196" s="34"/>
      <c r="G196" s="1"/>
      <c r="H196" s="1"/>
      <c r="I196" s="1"/>
      <c r="J196" s="1"/>
      <c r="K196" s="141"/>
      <c r="L196" s="34"/>
      <c r="M196" s="133"/>
      <c r="N196" s="133"/>
      <c r="O196" s="142"/>
      <c r="P196" s="273" t="str">
        <f t="shared" si="11"/>
        <v/>
      </c>
      <c r="Q196" s="274" t="str">
        <f t="shared" ca="1" si="12"/>
        <v/>
      </c>
      <c r="R196" s="34"/>
      <c r="S196" s="274" t="str">
        <f t="shared" si="13"/>
        <v/>
      </c>
      <c r="T196" s="277" t="str">
        <f t="shared" si="14"/>
        <v/>
      </c>
    </row>
    <row r="197" spans="1:20" x14ac:dyDescent="0.35">
      <c r="A197" s="270">
        <f t="shared" si="10"/>
        <v>193</v>
      </c>
      <c r="B197" s="272" t="str">
        <f>IF(AND(ITDRRegister[[#This Row],[Dependency category]]="",ITDRRegister[[#This Row],[Dependency area]]=""),"","DR-"&amp;TEXT($A197,"000"))</f>
        <v/>
      </c>
      <c r="C197" s="37"/>
      <c r="D197" s="35"/>
      <c r="E197" s="38"/>
      <c r="F197" s="34"/>
      <c r="G197" s="1"/>
      <c r="H197" s="1"/>
      <c r="I197" s="1"/>
      <c r="J197" s="1"/>
      <c r="K197" s="141"/>
      <c r="L197" s="34"/>
      <c r="M197" s="133"/>
      <c r="N197" s="133"/>
      <c r="O197" s="142"/>
      <c r="P197" s="273" t="str">
        <f t="shared" si="11"/>
        <v/>
      </c>
      <c r="Q197" s="274" t="str">
        <f t="shared" ca="1" si="12"/>
        <v/>
      </c>
      <c r="R197" s="34"/>
      <c r="S197" s="274" t="str">
        <f t="shared" si="13"/>
        <v/>
      </c>
      <c r="T197" s="277" t="str">
        <f t="shared" si="14"/>
        <v/>
      </c>
    </row>
    <row r="198" spans="1:20" x14ac:dyDescent="0.35">
      <c r="A198" s="270">
        <f t="shared" ref="A198:A204" si="15">ROW()-4</f>
        <v>194</v>
      </c>
      <c r="B198" s="272" t="str">
        <f>IF(AND(ITDRRegister[[#This Row],[Dependency category]]="",ITDRRegister[[#This Row],[Dependency area]]=""),"","DR-"&amp;TEXT($A198,"000"))</f>
        <v/>
      </c>
      <c r="C198" s="37"/>
      <c r="D198" s="35"/>
      <c r="E198" s="38"/>
      <c r="F198" s="34"/>
      <c r="G198" s="1"/>
      <c r="H198" s="1"/>
      <c r="I198" s="1"/>
      <c r="J198" s="1"/>
      <c r="K198" s="141"/>
      <c r="L198" s="34"/>
      <c r="M198" s="133"/>
      <c r="N198" s="133"/>
      <c r="O198" s="142"/>
      <c r="P198" s="273" t="str">
        <f t="shared" ref="P198:P204" si="16">IF($M198="","",EDATE($M198,12))</f>
        <v/>
      </c>
      <c r="Q198" s="274" t="str">
        <f t="shared" ref="Q198:Q204" ca="1" si="17">IF($E198="","",IF($K198="None (gap)","GAP - no DR",IF(OR($S198="Not Assessed",$T198="Not Assessed"),"Recovery Targets Incomplete",IF($M198="","Not Tested",IF(AND($P198&lt;&gt;"",$P198&lt;TODAY()),"Test Overdue",IF($O198="","Not Tested",IF($O198&lt;&gt;"Pass","Retest Required",IF(OR($S198&lt;&gt;"RTO Complied",$T198&lt;&gt;"RPO Complied"),"Recovery Not Compliant","Tested &amp; Current"))))))))</f>
        <v/>
      </c>
      <c r="R198" s="34"/>
      <c r="S198" s="274" t="str">
        <f t="shared" ref="S198:S204" si="18">IF($E198="","",IF(OR(NOT(ISNUMBER($G198)),NOT(ISNUMBER($I198))),"Not Assessed",IF($I198&lt;=$G198,"RTO Complied","RTO Not Complied")))</f>
        <v/>
      </c>
      <c r="T198" s="277" t="str">
        <f t="shared" ref="T198:T204" si="19">IF($E198="","",IF(OR(NOT(ISNUMBER($H198)),NOT(ISNUMBER($J198))),"Not Assessed",IF($J198&lt;=$H198,"RPO Complied","RPO Not Complied")))</f>
        <v/>
      </c>
    </row>
    <row r="199" spans="1:20" x14ac:dyDescent="0.35">
      <c r="A199" s="270">
        <f t="shared" si="15"/>
        <v>195</v>
      </c>
      <c r="B199" s="272" t="str">
        <f>IF(AND(ITDRRegister[[#This Row],[Dependency category]]="",ITDRRegister[[#This Row],[Dependency area]]=""),"","DR-"&amp;TEXT($A199,"000"))</f>
        <v/>
      </c>
      <c r="C199" s="37"/>
      <c r="D199" s="35"/>
      <c r="E199" s="38"/>
      <c r="F199" s="34"/>
      <c r="G199" s="1"/>
      <c r="H199" s="1"/>
      <c r="I199" s="1"/>
      <c r="J199" s="1"/>
      <c r="K199" s="141"/>
      <c r="L199" s="34"/>
      <c r="M199" s="133"/>
      <c r="N199" s="133"/>
      <c r="O199" s="142"/>
      <c r="P199" s="273" t="str">
        <f t="shared" si="16"/>
        <v/>
      </c>
      <c r="Q199" s="274" t="str">
        <f t="shared" ca="1" si="17"/>
        <v/>
      </c>
      <c r="R199" s="34"/>
      <c r="S199" s="274" t="str">
        <f t="shared" si="18"/>
        <v/>
      </c>
      <c r="T199" s="277" t="str">
        <f t="shared" si="19"/>
        <v/>
      </c>
    </row>
    <row r="200" spans="1:20" x14ac:dyDescent="0.35">
      <c r="A200" s="270">
        <f t="shared" si="15"/>
        <v>196</v>
      </c>
      <c r="B200" s="272" t="str">
        <f>IF(AND(ITDRRegister[[#This Row],[Dependency category]]="",ITDRRegister[[#This Row],[Dependency area]]=""),"","DR-"&amp;TEXT($A200,"000"))</f>
        <v/>
      </c>
      <c r="C200" s="37"/>
      <c r="D200" s="35"/>
      <c r="E200" s="38"/>
      <c r="F200" s="34"/>
      <c r="G200" s="1"/>
      <c r="H200" s="1"/>
      <c r="I200" s="1"/>
      <c r="J200" s="1"/>
      <c r="K200" s="141"/>
      <c r="L200" s="34"/>
      <c r="M200" s="133"/>
      <c r="N200" s="133"/>
      <c r="O200" s="142"/>
      <c r="P200" s="273" t="str">
        <f t="shared" si="16"/>
        <v/>
      </c>
      <c r="Q200" s="274" t="str">
        <f t="shared" ca="1" si="17"/>
        <v/>
      </c>
      <c r="R200" s="34"/>
      <c r="S200" s="274" t="str">
        <f t="shared" si="18"/>
        <v/>
      </c>
      <c r="T200" s="277" t="str">
        <f t="shared" si="19"/>
        <v/>
      </c>
    </row>
    <row r="201" spans="1:20" x14ac:dyDescent="0.35">
      <c r="A201" s="270">
        <f t="shared" si="15"/>
        <v>197</v>
      </c>
      <c r="B201" s="272" t="str">
        <f>IF(AND(ITDRRegister[[#This Row],[Dependency category]]="",ITDRRegister[[#This Row],[Dependency area]]=""),"","DR-"&amp;TEXT($A201,"000"))</f>
        <v/>
      </c>
      <c r="C201" s="37"/>
      <c r="D201" s="35"/>
      <c r="E201" s="38"/>
      <c r="F201" s="34"/>
      <c r="G201" s="1"/>
      <c r="H201" s="1"/>
      <c r="I201" s="1"/>
      <c r="J201" s="1"/>
      <c r="K201" s="141"/>
      <c r="L201" s="34"/>
      <c r="M201" s="133"/>
      <c r="N201" s="133"/>
      <c r="O201" s="142"/>
      <c r="P201" s="273" t="str">
        <f t="shared" si="16"/>
        <v/>
      </c>
      <c r="Q201" s="274" t="str">
        <f t="shared" ca="1" si="17"/>
        <v/>
      </c>
      <c r="R201" s="34"/>
      <c r="S201" s="274" t="str">
        <f t="shared" si="18"/>
        <v/>
      </c>
      <c r="T201" s="277" t="str">
        <f t="shared" si="19"/>
        <v/>
      </c>
    </row>
    <row r="202" spans="1:20" x14ac:dyDescent="0.35">
      <c r="A202" s="270">
        <f t="shared" si="15"/>
        <v>198</v>
      </c>
      <c r="B202" s="272" t="str">
        <f>IF(AND(ITDRRegister[[#This Row],[Dependency category]]="",ITDRRegister[[#This Row],[Dependency area]]=""),"","DR-"&amp;TEXT($A202,"000"))</f>
        <v/>
      </c>
      <c r="C202" s="37"/>
      <c r="D202" s="35"/>
      <c r="E202" s="38"/>
      <c r="F202" s="34"/>
      <c r="G202" s="1"/>
      <c r="H202" s="1"/>
      <c r="I202" s="1"/>
      <c r="J202" s="1"/>
      <c r="K202" s="141"/>
      <c r="L202" s="34"/>
      <c r="M202" s="133"/>
      <c r="N202" s="133"/>
      <c r="O202" s="142"/>
      <c r="P202" s="273" t="str">
        <f t="shared" si="16"/>
        <v/>
      </c>
      <c r="Q202" s="274" t="str">
        <f t="shared" ca="1" si="17"/>
        <v/>
      </c>
      <c r="R202" s="34"/>
      <c r="S202" s="274" t="str">
        <f t="shared" si="18"/>
        <v/>
      </c>
      <c r="T202" s="277" t="str">
        <f t="shared" si="19"/>
        <v/>
      </c>
    </row>
    <row r="203" spans="1:20" x14ac:dyDescent="0.35">
      <c r="A203" s="270">
        <f t="shared" si="15"/>
        <v>199</v>
      </c>
      <c r="B203" s="272" t="str">
        <f>IF(AND(ITDRRegister[[#This Row],[Dependency category]]="",ITDRRegister[[#This Row],[Dependency area]]=""),"","DR-"&amp;TEXT($A203,"000"))</f>
        <v/>
      </c>
      <c r="C203" s="37"/>
      <c r="D203" s="35"/>
      <c r="E203" s="38"/>
      <c r="F203" s="34"/>
      <c r="G203" s="1"/>
      <c r="H203" s="1"/>
      <c r="I203" s="1"/>
      <c r="J203" s="1"/>
      <c r="K203" s="141"/>
      <c r="L203" s="34"/>
      <c r="M203" s="133"/>
      <c r="N203" s="133"/>
      <c r="O203" s="142"/>
      <c r="P203" s="273" t="str">
        <f t="shared" si="16"/>
        <v/>
      </c>
      <c r="Q203" s="274" t="str">
        <f t="shared" ca="1" si="17"/>
        <v/>
      </c>
      <c r="R203" s="34"/>
      <c r="S203" s="274" t="str">
        <f t="shared" si="18"/>
        <v/>
      </c>
      <c r="T203" s="277" t="str">
        <f t="shared" si="19"/>
        <v/>
      </c>
    </row>
    <row r="204" spans="1:20" x14ac:dyDescent="0.35">
      <c r="A204" s="270">
        <f t="shared" si="15"/>
        <v>200</v>
      </c>
      <c r="B204" s="271" t="str">
        <f>IF(AND(ITDRRegister[[#This Row],[Dependency category]]="",ITDRRegister[[#This Row],[Dependency area]]=""),"","DR-"&amp;TEXT($A204,"000"))</f>
        <v/>
      </c>
      <c r="C204" s="186"/>
      <c r="D204" s="187"/>
      <c r="E204" s="188"/>
      <c r="F204" s="189"/>
      <c r="G204" s="190"/>
      <c r="H204" s="190"/>
      <c r="I204" s="190"/>
      <c r="J204" s="190"/>
      <c r="K204" s="191"/>
      <c r="L204" s="189"/>
      <c r="M204" s="192"/>
      <c r="N204" s="192"/>
      <c r="O204" s="193"/>
      <c r="P204" s="275" t="str">
        <f t="shared" si="16"/>
        <v/>
      </c>
      <c r="Q204" s="276" t="str">
        <f t="shared" ca="1" si="17"/>
        <v/>
      </c>
      <c r="R204" s="189"/>
      <c r="S204" s="276" t="str">
        <f t="shared" si="18"/>
        <v/>
      </c>
      <c r="T204" s="278" t="str">
        <f t="shared" si="19"/>
        <v/>
      </c>
    </row>
  </sheetData>
  <mergeCells count="2">
    <mergeCell ref="A1:R1"/>
    <mergeCell ref="A2:R2"/>
  </mergeCells>
  <conditionalFormatting sqref="Q5:Q204">
    <cfRule type="cellIs" dxfId="103" priority="5" operator="equal">
      <formula>"Retest required"</formula>
    </cfRule>
    <cfRule type="cellIs" dxfId="102" priority="7" operator="equal">
      <formula>"Correction in progress"</formula>
    </cfRule>
    <cfRule type="cellIs" dxfId="101" priority="15" operator="equal">
      <formula>"Tested &amp; Current"</formula>
    </cfRule>
    <cfRule type="cellIs" dxfId="100" priority="16" operator="equal">
      <formula>"Test Overdue"</formula>
    </cfRule>
    <cfRule type="cellIs" dxfId="99" priority="17" operator="equal">
      <formula>"GAP - no DR"</formula>
    </cfRule>
    <cfRule type="cellIs" dxfId="98" priority="18" operator="equal">
      <formula>"Not Tested"</formula>
    </cfRule>
  </conditionalFormatting>
  <conditionalFormatting sqref="S5:T204">
    <cfRule type="cellIs" dxfId="97" priority="1" operator="equal">
      <formula>"Tested &amp; Current"</formula>
    </cfRule>
    <cfRule type="cellIs" dxfId="96" priority="2" operator="equal">
      <formula>"Test Overdue"</formula>
    </cfRule>
    <cfRule type="cellIs" dxfId="95" priority="3" operator="equal">
      <formula>"GAP - no DR"</formula>
    </cfRule>
    <cfRule type="cellIs" dxfId="94" priority="4" operator="equal">
      <formula>"Not Tested"</formula>
    </cfRule>
  </conditionalFormatting>
  <dataValidations count="6">
    <dataValidation allowBlank="1" sqref="F5:F204" xr:uid="{00000000-0002-0000-1500-000000000000}"/>
    <dataValidation type="list" allowBlank="1" sqref="K5:K204" xr:uid="{00000000-0002-0000-1500-000002000000}">
      <formula1>lstDRStrategy</formula1>
      <formula2>0</formula2>
    </dataValidation>
    <dataValidation type="list" allowBlank="1" sqref="O5:O204" xr:uid="{00000000-0002-0000-1500-000003000000}">
      <formula1>lstTestResult</formula1>
    </dataValidation>
    <dataValidation type="list" allowBlank="1" showInputMessage="1" showErrorMessage="1" sqref="D5:D204" xr:uid="{1F5A2905-05FD-4B16-A3A1-53F431C9858B}">
      <formula1>IF(C5="ICT",ICT_List,IF(C5="Equipment / Building / Utilities",Equip_list,""))</formula1>
    </dataValidation>
    <dataValidation type="list" allowBlank="1" showInputMessage="1" showErrorMessage="1" sqref="E5:E204" xr:uid="{F3F02D7E-4677-4905-A394-762952068E24}">
      <formula1>IF(AND(C5="ICT",D5="Application"),I_A,IF(AND(C5="ICT",D5="Service"),I_S,IF(AND(C5="Equipment / Building / Utilities",D5="Equipment / Building / Utilities"),E_E,IF(AND(C5="Equipment / Building / Utilities",D5="Application"),E_A,"No"))))</formula1>
    </dataValidation>
    <dataValidation type="custom" allowBlank="1" showInputMessage="1" showErrorMessage="1" sqref="M5:M204" xr:uid="{7D61F23F-E8AA-429B-9C23-E867EEA9F385}">
      <formula1>OR($E5="",M5="",AND(ISNUMBER(M5),M5&lt;=TODAY()))</formula1>
    </dataValidation>
  </dataValidations>
  <pageMargins left="0.75" right="0.75" top="1" bottom="1" header="0.511811023622047" footer="0.51180555555555596"/>
  <pageSetup paperSize="9" orientation="portrait" horizontalDpi="300" verticalDpi="300"/>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D826D8A-67F7-49BB-8FA1-B0E0225A3D03}">
          <x14:formula1>
            <xm:f>'06. Application &amp; Equipment'!$A$10:$A$11</xm:f>
          </x14:formula1>
          <xm:sqref>C5:C204</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9137"/>
  </sheetPr>
  <dimension ref="A1:R111"/>
  <sheetViews>
    <sheetView showGridLines="0" zoomScaleNormal="100" workbookViewId="0">
      <pane xSplit="4" ySplit="5" topLeftCell="E6" activePane="bottomRight" state="frozen"/>
      <selection pane="topRight" activeCell="F1" sqref="F1"/>
      <selection pane="bottomLeft" activeCell="A6" sqref="A6"/>
      <selection pane="bottomRight" activeCell="E3" sqref="E1:E1048576"/>
    </sheetView>
  </sheetViews>
  <sheetFormatPr defaultColWidth="8.54296875" defaultRowHeight="14.5" x14ac:dyDescent="0.35"/>
  <cols>
    <col min="1" max="1" width="8" bestFit="1" customWidth="1"/>
    <col min="2" max="2" width="11.1796875" bestFit="1" customWidth="1"/>
    <col min="3" max="3" width="10.90625" bestFit="1" customWidth="1"/>
    <col min="4" max="4" width="18.81640625" bestFit="1" customWidth="1"/>
    <col min="5" max="5" width="28.6328125" bestFit="1" customWidth="1"/>
    <col min="6" max="6" width="29.453125" bestFit="1" customWidth="1"/>
    <col min="7" max="7" width="15" bestFit="1" customWidth="1"/>
    <col min="8" max="8" width="18.08984375" bestFit="1" customWidth="1"/>
    <col min="9" max="9" width="20.7265625" bestFit="1" customWidth="1"/>
    <col min="10" max="10" width="12" bestFit="1" customWidth="1"/>
    <col min="11" max="11" width="17.54296875" bestFit="1" customWidth="1"/>
    <col min="12" max="12" width="23" bestFit="1" customWidth="1"/>
    <col min="13" max="13" width="21.54296875" bestFit="1" customWidth="1"/>
    <col min="14" max="14" width="17.453125" bestFit="1" customWidth="1"/>
    <col min="15" max="15" width="19.6328125" bestFit="1" customWidth="1"/>
    <col min="16" max="16" width="17.453125" bestFit="1" customWidth="1"/>
    <col min="17" max="17" width="16.90625" bestFit="1" customWidth="1"/>
    <col min="18" max="18" width="10.453125" bestFit="1" customWidth="1"/>
  </cols>
  <sheetData>
    <row r="1" spans="1:18" ht="18.5" x14ac:dyDescent="0.35">
      <c r="A1" s="314" t="s">
        <v>371</v>
      </c>
      <c r="B1" s="314"/>
      <c r="C1" s="314"/>
      <c r="D1" s="314"/>
      <c r="E1" s="314"/>
      <c r="F1" s="314"/>
      <c r="G1" s="314"/>
      <c r="H1" s="314"/>
      <c r="I1" s="314"/>
      <c r="J1" s="314"/>
      <c r="K1" s="314"/>
      <c r="L1" s="314"/>
      <c r="M1" s="314"/>
      <c r="N1" s="314"/>
      <c r="O1" s="314"/>
      <c r="P1" s="314"/>
    </row>
    <row r="2" spans="1:18" x14ac:dyDescent="0.35">
      <c r="A2" s="316" t="s">
        <v>372</v>
      </c>
      <c r="B2" s="316"/>
      <c r="C2" s="316"/>
      <c r="D2" s="316"/>
      <c r="E2" s="316"/>
      <c r="F2" s="316"/>
      <c r="G2" s="316"/>
      <c r="H2" s="316"/>
      <c r="I2" s="316"/>
      <c r="J2" s="316"/>
      <c r="K2" s="316"/>
      <c r="L2" s="316"/>
      <c r="M2" s="316"/>
      <c r="N2" s="316"/>
      <c r="O2" s="316"/>
      <c r="P2" s="316"/>
    </row>
    <row r="4" spans="1:18" x14ac:dyDescent="0.35">
      <c r="A4" s="382" t="s">
        <v>373</v>
      </c>
      <c r="B4" s="383"/>
      <c r="C4" s="383"/>
      <c r="D4" s="384"/>
      <c r="E4" s="344" t="s">
        <v>374</v>
      </c>
      <c r="F4" s="378"/>
      <c r="G4" s="382" t="s">
        <v>375</v>
      </c>
      <c r="H4" s="342"/>
      <c r="I4" s="342"/>
      <c r="J4" s="382" t="s">
        <v>376</v>
      </c>
      <c r="K4" s="342"/>
      <c r="L4" s="385"/>
      <c r="M4" s="385"/>
      <c r="N4" s="385"/>
      <c r="O4" s="385"/>
      <c r="P4" s="385"/>
    </row>
    <row r="5" spans="1:18" x14ac:dyDescent="0.35">
      <c r="A5" s="169" t="s">
        <v>237</v>
      </c>
      <c r="B5" s="2" t="s">
        <v>769</v>
      </c>
      <c r="C5" s="18" t="s">
        <v>760</v>
      </c>
      <c r="D5" s="2" t="s">
        <v>241</v>
      </c>
      <c r="E5" s="18" t="s">
        <v>770</v>
      </c>
      <c r="F5" s="18" t="s">
        <v>771</v>
      </c>
      <c r="G5" s="2" t="s">
        <v>761</v>
      </c>
      <c r="H5" s="2" t="s">
        <v>377</v>
      </c>
      <c r="I5" s="2" t="s">
        <v>762</v>
      </c>
      <c r="J5" s="2" t="s">
        <v>379</v>
      </c>
      <c r="K5" s="2" t="s">
        <v>380</v>
      </c>
      <c r="L5" s="18" t="s">
        <v>772</v>
      </c>
      <c r="M5" s="18" t="s">
        <v>773</v>
      </c>
      <c r="N5" s="2" t="s">
        <v>774</v>
      </c>
      <c r="O5" s="2" t="s">
        <v>775</v>
      </c>
      <c r="P5" s="18" t="s">
        <v>776</v>
      </c>
      <c r="Q5" t="s">
        <v>764</v>
      </c>
      <c r="R5" t="s">
        <v>318</v>
      </c>
    </row>
    <row r="6" spans="1:18" ht="37.5" customHeight="1" x14ac:dyDescent="0.35">
      <c r="A6" s="279">
        <v>1</v>
      </c>
      <c r="B6" s="280" t="str">
        <f t="shared" ref="B6:B37" si="0">IF($C6="","","RR-"&amp;TEXT($A6,"000"))</f>
        <v>RR-001</v>
      </c>
      <c r="C6" s="91" t="s">
        <v>961</v>
      </c>
      <c r="D6" s="281" t="str">
        <f>IF($C6="","",_xlfn.XLOOKUP($C6,StrategiesSolutions[S&amp;S ID],StrategiesSolutions[Products / Services],""))</f>
        <v>cb</v>
      </c>
      <c r="E6" s="93"/>
      <c r="F6" s="93"/>
      <c r="G6" s="282" t="str">
        <f>IF($C6="","",_xlfn.XLOOKUP($C6,StrategiesSolutions[S&amp;S ID],StrategiesSolutions[Dependency],""))</f>
        <v>People</v>
      </c>
      <c r="H6" s="281" t="str">
        <f>IF($C6="","",_xlfn.XLOOKUP($C6,StrategiesSolutions[S&amp;S ID],StrategiesSolutions[Risk Assumption],""))</f>
        <v>Workforce evacuation</v>
      </c>
      <c r="I6" s="281" t="str">
        <f>IF($C6="","",_xlfn.XLOOKUP($C6,StrategiesSolutions[S&amp;S ID],StrategiesSolutions[Disruption Scenario],""))</f>
        <v>Inability to deliver the associated products/services due to [Workforce evacuation]</v>
      </c>
      <c r="J6" s="281" t="str">
        <f>IF($C6="","",_xlfn.XLOOKUP($C6,StrategiesSolutions[S&amp;S ID],StrategiesSolutions[Strategy],""))</f>
        <v>Alternative Site / Relocation</v>
      </c>
      <c r="K6" s="281" t="str">
        <f>IF($C6="","",_xlfn.LET(_xlpm.x,_xlfn.XLOOKUP($C6,StrategiesSolutions[S&amp;S ID],StrategiesSolutions[Strategy Details / Do nothing Justification],""),IF(_xlpm.x=0,"",_xlpm.x)))</f>
        <v/>
      </c>
      <c r="L6" s="95"/>
      <c r="M6" s="95"/>
      <c r="N6" s="285"/>
      <c r="O6" s="283" t="str">
        <f>IF($M6="","",EDATE($M6,12))</f>
        <v/>
      </c>
      <c r="P6" s="284" t="str">
        <f ca="1">IF($C6="","",_xlfn.LET(_xlpm.ssStatus,_xlfn.XLOOKUP($C6,StrategiesSolutions[S&amp;S ID],StrategiesSolutions[Status],""),IF($L6="","Not Scheduled",IF($M6="",IF($L6&lt;TODAY(),"Overdue","Scheduled"),IF($N6="","Result Required",IF(OR($E6="",$F6="",$Q6=""),"Incomplete Exercise",IF($N6="Fail","Failed",IF(OR(OR($N6="Pass with Findings",$N6="Pass with finding"),_xlpm.ssStatus&lt;&gt;"Completed"),"Pass with Findings","Passed"))))))))</f>
        <v>Not Scheduled</v>
      </c>
      <c r="Q6" t="str">
        <f>IF($C6="","",IF(COUNTIFS($C$6:$C$105,$C6,$D$6:$D$105,$D6,$E$6:$E$105,$E6)&gt;1,"DUPLICATE","OK"))</f>
        <v>OK</v>
      </c>
    </row>
    <row r="7" spans="1:18" x14ac:dyDescent="0.35">
      <c r="A7" s="279">
        <v>2</v>
      </c>
      <c r="B7" s="280" t="str">
        <f t="shared" si="0"/>
        <v/>
      </c>
      <c r="C7" s="91"/>
      <c r="D7" s="281" t="str">
        <f>IF($C7="","",_xlfn.XLOOKUP($C7,StrategiesSolutions[S&amp;S ID],StrategiesSolutions[Products / Services],""))</f>
        <v/>
      </c>
      <c r="E7" s="93"/>
      <c r="F7" s="93"/>
      <c r="G7" s="282" t="str">
        <f>IF($C7="","",_xlfn.XLOOKUP($C7,StrategiesSolutions[S&amp;S ID],StrategiesSolutions[Dependency],""))</f>
        <v/>
      </c>
      <c r="H7" s="281" t="str">
        <f>IF($C7="","",_xlfn.XLOOKUP($C7,StrategiesSolutions[S&amp;S ID],StrategiesSolutions[Risk Assumption],""))</f>
        <v/>
      </c>
      <c r="I7" s="281" t="str">
        <f>IF($C7="","",_xlfn.XLOOKUP($C7,StrategiesSolutions[S&amp;S ID],StrategiesSolutions[Disruption Scenario],""))</f>
        <v/>
      </c>
      <c r="J7" s="281" t="str">
        <f>IF($C7="","",_xlfn.XLOOKUP($C7,StrategiesSolutions[S&amp;S ID],StrategiesSolutions[Strategy],""))</f>
        <v/>
      </c>
      <c r="K7" s="281" t="str">
        <f>IF($C7="","",_xlfn.LET(_xlpm.x,_xlfn.XLOOKUP($C7,StrategiesSolutions[S&amp;S ID],StrategiesSolutions[Strategy Details / Do nothing Justification],""),IF(_xlpm.x=0,"",_xlpm.x)))</f>
        <v/>
      </c>
      <c r="L7" s="95"/>
      <c r="M7" s="95"/>
      <c r="N7" s="285"/>
      <c r="O7" s="283" t="str">
        <f t="shared" ref="O7:O70" si="1">IF($M7="","",EDATE($M7,12))</f>
        <v/>
      </c>
      <c r="P7" s="284" t="str">
        <f ca="1">IF($C7="","",_xlfn.LET(_xlpm.ssStatus,_xlfn.XLOOKUP($C7,StrategiesSolutions[S&amp;S ID],StrategiesSolutions[Status],""),IF($L7="","Not Scheduled",IF($M7="",IF($L7&lt;TODAY(),"Overdue","Scheduled"),IF($N7="","Result Required",IF(OR($E7="",$F7="",$Q7=""),"Incomplete Exercise",IF($N7="Fail","Failed",IF(OR(OR($N7="Pass with Findings",$N7="Pass with finding"),_xlpm.ssStatus&lt;&gt;"Completed"),"Pass with Findings","Passed"))))))))</f>
        <v/>
      </c>
      <c r="Q7" t="str">
        <f t="shared" ref="Q7:Q70" si="2">IF($C7="","",IF(COUNTIFS($C$6:$C$105,$C7,$D$6:$D$105,$D7,$E$6:$E$105,$E7)&gt;1,"DUPLICATE","OK"))</f>
        <v/>
      </c>
    </row>
    <row r="8" spans="1:18" x14ac:dyDescent="0.35">
      <c r="A8" s="279">
        <v>3</v>
      </c>
      <c r="B8" s="280" t="str">
        <f t="shared" si="0"/>
        <v/>
      </c>
      <c r="C8" s="91"/>
      <c r="D8" s="281" t="str">
        <f>IF($C8="","",_xlfn.XLOOKUP($C8,StrategiesSolutions[S&amp;S ID],StrategiesSolutions[Products / Services],""))</f>
        <v/>
      </c>
      <c r="E8" s="93"/>
      <c r="F8" s="93"/>
      <c r="G8" s="282" t="str">
        <f>IF($C8="","",_xlfn.XLOOKUP($C8,StrategiesSolutions[S&amp;S ID],StrategiesSolutions[Dependency],""))</f>
        <v/>
      </c>
      <c r="H8" s="281" t="str">
        <f>IF($C8="","",_xlfn.XLOOKUP($C8,StrategiesSolutions[S&amp;S ID],StrategiesSolutions[Risk Assumption],""))</f>
        <v/>
      </c>
      <c r="I8" s="281" t="str">
        <f>IF($C8="","",_xlfn.XLOOKUP($C8,StrategiesSolutions[S&amp;S ID],StrategiesSolutions[Disruption Scenario],""))</f>
        <v/>
      </c>
      <c r="J8" s="281" t="str">
        <f>IF($C8="","",_xlfn.XLOOKUP($C8,StrategiesSolutions[S&amp;S ID],StrategiesSolutions[Strategy],""))</f>
        <v/>
      </c>
      <c r="K8" s="281" t="str">
        <f>IF($C8="","",_xlfn.LET(_xlpm.x,_xlfn.XLOOKUP($C8,StrategiesSolutions[S&amp;S ID],StrategiesSolutions[Strategy Details / Do nothing Justification],""),IF(_xlpm.x=0,"",_xlpm.x)))</f>
        <v/>
      </c>
      <c r="L8" s="95"/>
      <c r="M8" s="95"/>
      <c r="N8" s="285"/>
      <c r="O8" s="283" t="str">
        <f t="shared" si="1"/>
        <v/>
      </c>
      <c r="P8" s="284" t="str">
        <f ca="1">IF($C8="","",_xlfn.LET(_xlpm.ssStatus,_xlfn.XLOOKUP($C8,StrategiesSolutions[S&amp;S ID],StrategiesSolutions[Status],""),IF($L8="","Not Scheduled",IF($M8="",IF($L8&lt;TODAY(),"Overdue","Scheduled"),IF($N8="","Result Required",IF(OR($E8="",$F8="",$Q8=""),"Incomplete Exercise",IF($N8="Fail","Failed",IF(OR(OR($N8="Pass with Findings",$N8="Pass with finding"),_xlpm.ssStatus&lt;&gt;"Completed"),"Pass with Findings","Passed"))))))))</f>
        <v/>
      </c>
      <c r="Q8" t="str">
        <f t="shared" si="2"/>
        <v/>
      </c>
    </row>
    <row r="9" spans="1:18" x14ac:dyDescent="0.35">
      <c r="A9" s="279">
        <v>4</v>
      </c>
      <c r="B9" s="280" t="str">
        <f t="shared" si="0"/>
        <v/>
      </c>
      <c r="C9" s="91"/>
      <c r="D9" s="281" t="str">
        <f>IF($C9="","",_xlfn.XLOOKUP($C9,StrategiesSolutions[S&amp;S ID],StrategiesSolutions[Products / Services],""))</f>
        <v/>
      </c>
      <c r="E9" s="93"/>
      <c r="F9" s="93"/>
      <c r="G9" s="282" t="str">
        <f>IF($C9="","",_xlfn.XLOOKUP($C9,StrategiesSolutions[S&amp;S ID],StrategiesSolutions[Dependency],""))</f>
        <v/>
      </c>
      <c r="H9" s="281" t="str">
        <f>IF($C9="","",_xlfn.XLOOKUP($C9,StrategiesSolutions[S&amp;S ID],StrategiesSolutions[Risk Assumption],""))</f>
        <v/>
      </c>
      <c r="I9" s="281" t="str">
        <f>IF($C9="","",_xlfn.XLOOKUP($C9,StrategiesSolutions[S&amp;S ID],StrategiesSolutions[Disruption Scenario],""))</f>
        <v/>
      </c>
      <c r="J9" s="281" t="str">
        <f>IF($C9="","",_xlfn.XLOOKUP($C9,StrategiesSolutions[S&amp;S ID],StrategiesSolutions[Strategy],""))</f>
        <v/>
      </c>
      <c r="K9" s="281" t="str">
        <f>IF($C9="","",_xlfn.LET(_xlpm.x,_xlfn.XLOOKUP($C9,StrategiesSolutions[S&amp;S ID],StrategiesSolutions[Strategy Details / Do nothing Justification],""),IF(_xlpm.x=0,"",_xlpm.x)))</f>
        <v/>
      </c>
      <c r="L9" s="95"/>
      <c r="M9" s="95"/>
      <c r="N9" s="285"/>
      <c r="O9" s="283" t="str">
        <f t="shared" si="1"/>
        <v/>
      </c>
      <c r="P9" s="284" t="str">
        <f ca="1">IF($C9="","",_xlfn.LET(_xlpm.ssStatus,_xlfn.XLOOKUP($C9,StrategiesSolutions[S&amp;S ID],StrategiesSolutions[Status],""),IF($L9="","Not Scheduled",IF($M9="",IF($L9&lt;TODAY(),"Overdue","Scheduled"),IF($N9="","Result Required",IF(OR($E9="",$F9="",$Q9=""),"Incomplete Exercise",IF($N9="Fail","Failed",IF(OR(OR($N9="Pass with Findings",$N9="Pass with finding"),_xlpm.ssStatus&lt;&gt;"Completed"),"Pass with Findings","Passed"))))))))</f>
        <v/>
      </c>
      <c r="Q9" t="str">
        <f t="shared" si="2"/>
        <v/>
      </c>
    </row>
    <row r="10" spans="1:18" x14ac:dyDescent="0.35">
      <c r="A10" s="279">
        <v>5</v>
      </c>
      <c r="B10" s="280" t="str">
        <f t="shared" si="0"/>
        <v/>
      </c>
      <c r="C10" s="91"/>
      <c r="D10" s="281" t="str">
        <f>IF($C10="","",_xlfn.XLOOKUP($C10,StrategiesSolutions[S&amp;S ID],StrategiesSolutions[Products / Services],""))</f>
        <v/>
      </c>
      <c r="E10" s="93"/>
      <c r="F10" s="93"/>
      <c r="G10" s="282" t="str">
        <f>IF($C10="","",_xlfn.XLOOKUP($C10,StrategiesSolutions[S&amp;S ID],StrategiesSolutions[Dependency],""))</f>
        <v/>
      </c>
      <c r="H10" s="281" t="str">
        <f>IF($C10="","",_xlfn.XLOOKUP($C10,StrategiesSolutions[S&amp;S ID],StrategiesSolutions[Risk Assumption],""))</f>
        <v/>
      </c>
      <c r="I10" s="281" t="str">
        <f>IF($C10="","",_xlfn.XLOOKUP($C10,StrategiesSolutions[S&amp;S ID],StrategiesSolutions[Disruption Scenario],""))</f>
        <v/>
      </c>
      <c r="J10" s="281" t="str">
        <f>IF($C10="","",_xlfn.XLOOKUP($C10,StrategiesSolutions[S&amp;S ID],StrategiesSolutions[Strategy],""))</f>
        <v/>
      </c>
      <c r="K10" s="281" t="str">
        <f>IF($C10="","",_xlfn.LET(_xlpm.x,_xlfn.XLOOKUP($C10,StrategiesSolutions[S&amp;S ID],StrategiesSolutions[Strategy Details / Do nothing Justification],""),IF(_xlpm.x=0,"",_xlpm.x)))</f>
        <v/>
      </c>
      <c r="L10" s="95"/>
      <c r="M10" s="95"/>
      <c r="N10" s="285"/>
      <c r="O10" s="283" t="str">
        <f t="shared" si="1"/>
        <v/>
      </c>
      <c r="P10" s="284" t="str">
        <f ca="1">IF($C10="","",_xlfn.LET(_xlpm.ssStatus,_xlfn.XLOOKUP($C10,StrategiesSolutions[S&amp;S ID],StrategiesSolutions[Status],""),IF($L10="","Not Scheduled",IF($M10="",IF($L10&lt;TODAY(),"Overdue","Scheduled"),IF($N10="","Result Required",IF(OR($E10="",$F10="",$Q10=""),"Incomplete Exercise",IF($N10="Fail","Failed",IF(OR(OR($N10="Pass with Findings",$N10="Pass with finding"),_xlpm.ssStatus&lt;&gt;"Completed"),"Pass with Findings","Passed"))))))))</f>
        <v/>
      </c>
      <c r="Q10" t="str">
        <f t="shared" si="2"/>
        <v/>
      </c>
    </row>
    <row r="11" spans="1:18" x14ac:dyDescent="0.35">
      <c r="A11" s="279">
        <v>6</v>
      </c>
      <c r="B11" s="280" t="str">
        <f t="shared" si="0"/>
        <v/>
      </c>
      <c r="C11" s="91"/>
      <c r="D11" s="281" t="str">
        <f>IF($C11="","",_xlfn.XLOOKUP($C11,StrategiesSolutions[S&amp;S ID],StrategiesSolutions[Products / Services],""))</f>
        <v/>
      </c>
      <c r="E11" s="93"/>
      <c r="F11" s="93"/>
      <c r="G11" s="282" t="str">
        <f>IF($C11="","",_xlfn.XLOOKUP($C11,StrategiesSolutions[S&amp;S ID],StrategiesSolutions[Dependency],""))</f>
        <v/>
      </c>
      <c r="H11" s="281" t="str">
        <f>IF($C11="","",_xlfn.XLOOKUP($C11,StrategiesSolutions[S&amp;S ID],StrategiesSolutions[Risk Assumption],""))</f>
        <v/>
      </c>
      <c r="I11" s="281" t="str">
        <f>IF($C11="","",_xlfn.XLOOKUP($C11,StrategiesSolutions[S&amp;S ID],StrategiesSolutions[Disruption Scenario],""))</f>
        <v/>
      </c>
      <c r="J11" s="281" t="str">
        <f>IF($C11="","",_xlfn.XLOOKUP($C11,StrategiesSolutions[S&amp;S ID],StrategiesSolutions[Strategy],""))</f>
        <v/>
      </c>
      <c r="K11" s="281" t="str">
        <f>IF($C11="","",_xlfn.LET(_xlpm.x,_xlfn.XLOOKUP($C11,StrategiesSolutions[S&amp;S ID],StrategiesSolutions[Strategy Details / Do nothing Justification],""),IF(_xlpm.x=0,"",_xlpm.x)))</f>
        <v/>
      </c>
      <c r="L11" s="95"/>
      <c r="M11" s="95"/>
      <c r="N11" s="285"/>
      <c r="O11" s="283" t="str">
        <f t="shared" si="1"/>
        <v/>
      </c>
      <c r="P11" s="284" t="str">
        <f ca="1">IF($C11="","",_xlfn.LET(_xlpm.ssStatus,_xlfn.XLOOKUP($C11,StrategiesSolutions[S&amp;S ID],StrategiesSolutions[Status],""),IF($L11="","Not Scheduled",IF($M11="",IF($L11&lt;TODAY(),"Overdue","Scheduled"),IF($N11="","Result Required",IF(OR($E11="",$F11="",$Q11=""),"Incomplete Exercise",IF($N11="Fail","Failed",IF(OR(OR($N11="Pass with Findings",$N11="Pass with finding"),_xlpm.ssStatus&lt;&gt;"Completed"),"Pass with Findings","Passed"))))))))</f>
        <v/>
      </c>
      <c r="Q11" t="str">
        <f t="shared" si="2"/>
        <v/>
      </c>
    </row>
    <row r="12" spans="1:18" x14ac:dyDescent="0.35">
      <c r="A12" s="279">
        <v>7</v>
      </c>
      <c r="B12" s="280" t="str">
        <f t="shared" si="0"/>
        <v/>
      </c>
      <c r="C12" s="91"/>
      <c r="D12" s="281" t="str">
        <f>IF($C12="","",_xlfn.XLOOKUP($C12,StrategiesSolutions[S&amp;S ID],StrategiesSolutions[Products / Services],""))</f>
        <v/>
      </c>
      <c r="E12" s="93"/>
      <c r="F12" s="93"/>
      <c r="G12" s="282" t="str">
        <f>IF($C12="","",_xlfn.XLOOKUP($C12,StrategiesSolutions[S&amp;S ID],StrategiesSolutions[Dependency],""))</f>
        <v/>
      </c>
      <c r="H12" s="281" t="str">
        <f>IF($C12="","",_xlfn.XLOOKUP($C12,StrategiesSolutions[S&amp;S ID],StrategiesSolutions[Risk Assumption],""))</f>
        <v/>
      </c>
      <c r="I12" s="281" t="str">
        <f>IF($C12="","",_xlfn.XLOOKUP($C12,StrategiesSolutions[S&amp;S ID],StrategiesSolutions[Disruption Scenario],""))</f>
        <v/>
      </c>
      <c r="J12" s="281" t="str">
        <f>IF($C12="","",_xlfn.XLOOKUP($C12,StrategiesSolutions[S&amp;S ID],StrategiesSolutions[Strategy],""))</f>
        <v/>
      </c>
      <c r="K12" s="281" t="str">
        <f>IF($C12="","",_xlfn.LET(_xlpm.x,_xlfn.XLOOKUP($C12,StrategiesSolutions[S&amp;S ID],StrategiesSolutions[Strategy Details / Do nothing Justification],""),IF(_xlpm.x=0,"",_xlpm.x)))</f>
        <v/>
      </c>
      <c r="L12" s="95"/>
      <c r="M12" s="95"/>
      <c r="N12" s="285"/>
      <c r="O12" s="283" t="str">
        <f t="shared" si="1"/>
        <v/>
      </c>
      <c r="P12" s="284" t="str">
        <f ca="1">IF($C12="","",_xlfn.LET(_xlpm.ssStatus,_xlfn.XLOOKUP($C12,StrategiesSolutions[S&amp;S ID],StrategiesSolutions[Status],""),IF($L12="","Not Scheduled",IF($M12="",IF($L12&lt;TODAY(),"Overdue","Scheduled"),IF($N12="","Result Required",IF(OR($E12="",$F12="",$Q12=""),"Incomplete Exercise",IF($N12="Fail","Failed",IF(OR(OR($N12="Pass with Findings",$N12="Pass with finding"),_xlpm.ssStatus&lt;&gt;"Completed"),"Pass with Findings","Passed"))))))))</f>
        <v/>
      </c>
      <c r="Q12" t="str">
        <f t="shared" si="2"/>
        <v/>
      </c>
    </row>
    <row r="13" spans="1:18" x14ac:dyDescent="0.35">
      <c r="A13" s="279">
        <v>8</v>
      </c>
      <c r="B13" s="280" t="str">
        <f t="shared" si="0"/>
        <v/>
      </c>
      <c r="C13" s="91"/>
      <c r="D13" s="281" t="str">
        <f>IF($C13="","",_xlfn.XLOOKUP($C13,StrategiesSolutions[S&amp;S ID],StrategiesSolutions[Products / Services],""))</f>
        <v/>
      </c>
      <c r="E13" s="93"/>
      <c r="F13" s="93"/>
      <c r="G13" s="282" t="str">
        <f>IF($C13="","",_xlfn.XLOOKUP($C13,StrategiesSolutions[S&amp;S ID],StrategiesSolutions[Dependency],""))</f>
        <v/>
      </c>
      <c r="H13" s="281" t="str">
        <f>IF($C13="","",_xlfn.XLOOKUP($C13,StrategiesSolutions[S&amp;S ID],StrategiesSolutions[Risk Assumption],""))</f>
        <v/>
      </c>
      <c r="I13" s="281" t="str">
        <f>IF($C13="","",_xlfn.XLOOKUP($C13,StrategiesSolutions[S&amp;S ID],StrategiesSolutions[Disruption Scenario],""))</f>
        <v/>
      </c>
      <c r="J13" s="281" t="str">
        <f>IF($C13="","",_xlfn.XLOOKUP($C13,StrategiesSolutions[S&amp;S ID],StrategiesSolutions[Strategy],""))</f>
        <v/>
      </c>
      <c r="K13" s="281" t="str">
        <f>IF($C13="","",_xlfn.LET(_xlpm.x,_xlfn.XLOOKUP($C13,StrategiesSolutions[S&amp;S ID],StrategiesSolutions[Strategy Details / Do nothing Justification],""),IF(_xlpm.x=0,"",_xlpm.x)))</f>
        <v/>
      </c>
      <c r="L13" s="95"/>
      <c r="M13" s="95"/>
      <c r="N13" s="285"/>
      <c r="O13" s="283" t="str">
        <f t="shared" si="1"/>
        <v/>
      </c>
      <c r="P13" s="284" t="str">
        <f ca="1">IF($C13="","",_xlfn.LET(_xlpm.ssStatus,_xlfn.XLOOKUP($C13,StrategiesSolutions[S&amp;S ID],StrategiesSolutions[Status],""),IF($L13="","Not Scheduled",IF($M13="",IF($L13&lt;TODAY(),"Overdue","Scheduled"),IF($N13="","Result Required",IF(OR($E13="",$F13="",$Q13=""),"Incomplete Exercise",IF($N13="Fail","Failed",IF(OR(OR($N13="Pass with Findings",$N13="Pass with finding"),_xlpm.ssStatus&lt;&gt;"Completed"),"Pass with Findings","Passed"))))))))</f>
        <v/>
      </c>
      <c r="Q13" t="str">
        <f t="shared" si="2"/>
        <v/>
      </c>
    </row>
    <row r="14" spans="1:18" x14ac:dyDescent="0.35">
      <c r="A14" s="279">
        <v>9</v>
      </c>
      <c r="B14" s="280" t="str">
        <f t="shared" si="0"/>
        <v/>
      </c>
      <c r="C14" s="91"/>
      <c r="D14" s="281" t="str">
        <f>IF($C14="","",_xlfn.XLOOKUP($C14,StrategiesSolutions[S&amp;S ID],StrategiesSolutions[Products / Services],""))</f>
        <v/>
      </c>
      <c r="E14" s="93"/>
      <c r="F14" s="93"/>
      <c r="G14" s="282" t="str">
        <f>IF($C14="","",_xlfn.XLOOKUP($C14,StrategiesSolutions[S&amp;S ID],StrategiesSolutions[Dependency],""))</f>
        <v/>
      </c>
      <c r="H14" s="281" t="str">
        <f>IF($C14="","",_xlfn.XLOOKUP($C14,StrategiesSolutions[S&amp;S ID],StrategiesSolutions[Risk Assumption],""))</f>
        <v/>
      </c>
      <c r="I14" s="281" t="str">
        <f>IF($C14="","",_xlfn.XLOOKUP($C14,StrategiesSolutions[S&amp;S ID],StrategiesSolutions[Disruption Scenario],""))</f>
        <v/>
      </c>
      <c r="J14" s="281" t="str">
        <f>IF($C14="","",_xlfn.XLOOKUP($C14,StrategiesSolutions[S&amp;S ID],StrategiesSolutions[Strategy],""))</f>
        <v/>
      </c>
      <c r="K14" s="281" t="str">
        <f>IF($C14="","",_xlfn.LET(_xlpm.x,_xlfn.XLOOKUP($C14,StrategiesSolutions[S&amp;S ID],StrategiesSolutions[Strategy Details / Do nothing Justification],""),IF(_xlpm.x=0,"",_xlpm.x)))</f>
        <v/>
      </c>
      <c r="L14" s="95"/>
      <c r="M14" s="95"/>
      <c r="N14" s="285"/>
      <c r="O14" s="283" t="str">
        <f t="shared" si="1"/>
        <v/>
      </c>
      <c r="P14" s="284" t="str">
        <f ca="1">IF($C14="","",_xlfn.LET(_xlpm.ssStatus,_xlfn.XLOOKUP($C14,StrategiesSolutions[S&amp;S ID],StrategiesSolutions[Status],""),IF($L14="","Not Scheduled",IF($M14="",IF($L14&lt;TODAY(),"Overdue","Scheduled"),IF($N14="","Result Required",IF(OR($E14="",$F14="",$Q14=""),"Incomplete Exercise",IF($N14="Fail","Failed",IF(OR(OR($N14="Pass with Findings",$N14="Pass with finding"),_xlpm.ssStatus&lt;&gt;"Completed"),"Pass with Findings","Passed"))))))))</f>
        <v/>
      </c>
      <c r="Q14" t="str">
        <f t="shared" si="2"/>
        <v/>
      </c>
    </row>
    <row r="15" spans="1:18" x14ac:dyDescent="0.35">
      <c r="A15" s="279">
        <v>10</v>
      </c>
      <c r="B15" s="280" t="str">
        <f t="shared" si="0"/>
        <v/>
      </c>
      <c r="C15" s="91"/>
      <c r="D15" s="281" t="str">
        <f>IF($C15="","",_xlfn.XLOOKUP($C15,StrategiesSolutions[S&amp;S ID],StrategiesSolutions[Products / Services],""))</f>
        <v/>
      </c>
      <c r="E15" s="93"/>
      <c r="F15" s="93"/>
      <c r="G15" s="282" t="str">
        <f>IF($C15="","",_xlfn.XLOOKUP($C15,StrategiesSolutions[S&amp;S ID],StrategiesSolutions[Dependency],""))</f>
        <v/>
      </c>
      <c r="H15" s="281" t="str">
        <f>IF($C15="","",_xlfn.XLOOKUP($C15,StrategiesSolutions[S&amp;S ID],StrategiesSolutions[Risk Assumption],""))</f>
        <v/>
      </c>
      <c r="I15" s="281" t="str">
        <f>IF($C15="","",_xlfn.XLOOKUP($C15,StrategiesSolutions[S&amp;S ID],StrategiesSolutions[Disruption Scenario],""))</f>
        <v/>
      </c>
      <c r="J15" s="281" t="str">
        <f>IF($C15="","",_xlfn.XLOOKUP($C15,StrategiesSolutions[S&amp;S ID],StrategiesSolutions[Strategy],""))</f>
        <v/>
      </c>
      <c r="K15" s="281" t="str">
        <f>IF($C15="","",_xlfn.LET(_xlpm.x,_xlfn.XLOOKUP($C15,StrategiesSolutions[S&amp;S ID],StrategiesSolutions[Strategy Details / Do nothing Justification],""),IF(_xlpm.x=0,"",_xlpm.x)))</f>
        <v/>
      </c>
      <c r="L15" s="95"/>
      <c r="M15" s="95"/>
      <c r="N15" s="285"/>
      <c r="O15" s="283" t="str">
        <f t="shared" si="1"/>
        <v/>
      </c>
      <c r="P15" s="284" t="str">
        <f ca="1">IF($C15="","",_xlfn.LET(_xlpm.ssStatus,_xlfn.XLOOKUP($C15,StrategiesSolutions[S&amp;S ID],StrategiesSolutions[Status],""),IF($L15="","Not Scheduled",IF($M15="",IF($L15&lt;TODAY(),"Overdue","Scheduled"),IF($N15="","Result Required",IF(OR($E15="",$F15="",$Q15=""),"Incomplete Exercise",IF($N15="Fail","Failed",IF(OR(OR($N15="Pass with Findings",$N15="Pass with finding"),_xlpm.ssStatus&lt;&gt;"Completed"),"Pass with Findings","Passed"))))))))</f>
        <v/>
      </c>
      <c r="Q15" t="str">
        <f t="shared" si="2"/>
        <v/>
      </c>
    </row>
    <row r="16" spans="1:18" x14ac:dyDescent="0.35">
      <c r="A16" s="279">
        <v>11</v>
      </c>
      <c r="B16" s="280" t="str">
        <f t="shared" si="0"/>
        <v/>
      </c>
      <c r="C16" s="91"/>
      <c r="D16" s="281" t="str">
        <f>IF($C16="","",_xlfn.XLOOKUP($C16,StrategiesSolutions[S&amp;S ID],StrategiesSolutions[Products / Services],""))</f>
        <v/>
      </c>
      <c r="E16" s="93"/>
      <c r="F16" s="93"/>
      <c r="G16" s="282" t="str">
        <f>IF($C16="","",_xlfn.XLOOKUP($C16,StrategiesSolutions[S&amp;S ID],StrategiesSolutions[Dependency],""))</f>
        <v/>
      </c>
      <c r="H16" s="281" t="str">
        <f>IF($C16="","",_xlfn.XLOOKUP($C16,StrategiesSolutions[S&amp;S ID],StrategiesSolutions[Risk Assumption],""))</f>
        <v/>
      </c>
      <c r="I16" s="281" t="str">
        <f>IF($C16="","",_xlfn.XLOOKUP($C16,StrategiesSolutions[S&amp;S ID],StrategiesSolutions[Disruption Scenario],""))</f>
        <v/>
      </c>
      <c r="J16" s="281" t="str">
        <f>IF($C16="","",_xlfn.XLOOKUP($C16,StrategiesSolutions[S&amp;S ID],StrategiesSolutions[Strategy],""))</f>
        <v/>
      </c>
      <c r="K16" s="281" t="str">
        <f>IF($C16="","",_xlfn.LET(_xlpm.x,_xlfn.XLOOKUP($C16,StrategiesSolutions[S&amp;S ID],StrategiesSolutions[Strategy Details / Do nothing Justification],""),IF(_xlpm.x=0,"",_xlpm.x)))</f>
        <v/>
      </c>
      <c r="L16" s="95"/>
      <c r="M16" s="95"/>
      <c r="N16" s="285"/>
      <c r="O16" s="283" t="str">
        <f t="shared" si="1"/>
        <v/>
      </c>
      <c r="P16" s="284" t="str">
        <f ca="1">IF($C16="","",_xlfn.LET(_xlpm.ssStatus,_xlfn.XLOOKUP($C16,StrategiesSolutions[S&amp;S ID],StrategiesSolutions[Status],""),IF($L16="","Not Scheduled",IF($M16="",IF($L16&lt;TODAY(),"Overdue","Scheduled"),IF($N16="","Result Required",IF(OR($E16="",$F16="",$Q16=""),"Incomplete Exercise",IF($N16="Fail","Failed",IF(OR(OR($N16="Pass with Findings",$N16="Pass with finding"),_xlpm.ssStatus&lt;&gt;"Completed"),"Pass with Findings","Passed"))))))))</f>
        <v/>
      </c>
      <c r="Q16" t="str">
        <f t="shared" si="2"/>
        <v/>
      </c>
    </row>
    <row r="17" spans="1:17" x14ac:dyDescent="0.35">
      <c r="A17" s="279">
        <v>12</v>
      </c>
      <c r="B17" s="280" t="str">
        <f t="shared" si="0"/>
        <v/>
      </c>
      <c r="C17" s="91"/>
      <c r="D17" s="281" t="str">
        <f>IF($C17="","",_xlfn.XLOOKUP($C17,StrategiesSolutions[S&amp;S ID],StrategiesSolutions[Products / Services],""))</f>
        <v/>
      </c>
      <c r="E17" s="93"/>
      <c r="F17" s="93"/>
      <c r="G17" s="282" t="str">
        <f>IF($C17="","",_xlfn.XLOOKUP($C17,StrategiesSolutions[S&amp;S ID],StrategiesSolutions[Dependency],""))</f>
        <v/>
      </c>
      <c r="H17" s="281" t="str">
        <f>IF($C17="","",_xlfn.XLOOKUP($C17,StrategiesSolutions[S&amp;S ID],StrategiesSolutions[Risk Assumption],""))</f>
        <v/>
      </c>
      <c r="I17" s="281" t="str">
        <f>IF($C17="","",_xlfn.XLOOKUP($C17,StrategiesSolutions[S&amp;S ID],StrategiesSolutions[Disruption Scenario],""))</f>
        <v/>
      </c>
      <c r="J17" s="281" t="str">
        <f>IF($C17="","",_xlfn.XLOOKUP($C17,StrategiesSolutions[S&amp;S ID],StrategiesSolutions[Strategy],""))</f>
        <v/>
      </c>
      <c r="K17" s="281" t="str">
        <f>IF($C17="","",_xlfn.LET(_xlpm.x,_xlfn.XLOOKUP($C17,StrategiesSolutions[S&amp;S ID],StrategiesSolutions[Strategy Details / Do nothing Justification],""),IF(_xlpm.x=0,"",_xlpm.x)))</f>
        <v/>
      </c>
      <c r="L17" s="95"/>
      <c r="M17" s="95"/>
      <c r="N17" s="285"/>
      <c r="O17" s="283" t="str">
        <f t="shared" si="1"/>
        <v/>
      </c>
      <c r="P17" s="284" t="str">
        <f ca="1">IF($C17="","",_xlfn.LET(_xlpm.ssStatus,_xlfn.XLOOKUP($C17,StrategiesSolutions[S&amp;S ID],StrategiesSolutions[Status],""),IF($L17="","Not Scheduled",IF($M17="",IF($L17&lt;TODAY(),"Overdue","Scheduled"),IF($N17="","Result Required",IF(OR($E17="",$F17="",$Q17=""),"Incomplete Exercise",IF($N17="Fail","Failed",IF(OR(OR($N17="Pass with Findings",$N17="Pass with finding"),_xlpm.ssStatus&lt;&gt;"Completed"),"Pass with Findings","Passed"))))))))</f>
        <v/>
      </c>
      <c r="Q17" t="str">
        <f t="shared" si="2"/>
        <v/>
      </c>
    </row>
    <row r="18" spans="1:17" x14ac:dyDescent="0.35">
      <c r="A18" s="279">
        <v>13</v>
      </c>
      <c r="B18" s="280" t="str">
        <f t="shared" si="0"/>
        <v/>
      </c>
      <c r="C18" s="91"/>
      <c r="D18" s="281" t="str">
        <f>IF($C18="","",_xlfn.XLOOKUP($C18,StrategiesSolutions[S&amp;S ID],StrategiesSolutions[Products / Services],""))</f>
        <v/>
      </c>
      <c r="E18" s="93"/>
      <c r="F18" s="93"/>
      <c r="G18" s="282" t="str">
        <f>IF($C18="","",_xlfn.XLOOKUP($C18,StrategiesSolutions[S&amp;S ID],StrategiesSolutions[Dependency],""))</f>
        <v/>
      </c>
      <c r="H18" s="281" t="str">
        <f>IF($C18="","",_xlfn.XLOOKUP($C18,StrategiesSolutions[S&amp;S ID],StrategiesSolutions[Risk Assumption],""))</f>
        <v/>
      </c>
      <c r="I18" s="281" t="str">
        <f>IF($C18="","",_xlfn.XLOOKUP($C18,StrategiesSolutions[S&amp;S ID],StrategiesSolutions[Disruption Scenario],""))</f>
        <v/>
      </c>
      <c r="J18" s="281" t="str">
        <f>IF($C18="","",_xlfn.XLOOKUP($C18,StrategiesSolutions[S&amp;S ID],StrategiesSolutions[Strategy],""))</f>
        <v/>
      </c>
      <c r="K18" s="281" t="str">
        <f>IF($C18="","",_xlfn.LET(_xlpm.x,_xlfn.XLOOKUP($C18,StrategiesSolutions[S&amp;S ID],StrategiesSolutions[Strategy Details / Do nothing Justification],""),IF(_xlpm.x=0,"",_xlpm.x)))</f>
        <v/>
      </c>
      <c r="L18" s="95"/>
      <c r="M18" s="95"/>
      <c r="N18" s="285"/>
      <c r="O18" s="283" t="str">
        <f t="shared" si="1"/>
        <v/>
      </c>
      <c r="P18" s="284" t="str">
        <f ca="1">IF($C18="","",_xlfn.LET(_xlpm.ssStatus,_xlfn.XLOOKUP($C18,StrategiesSolutions[S&amp;S ID],StrategiesSolutions[Status],""),IF($L18="","Not Scheduled",IF($M18="",IF($L18&lt;TODAY(),"Overdue","Scheduled"),IF($N18="","Result Required",IF(OR($E18="",$F18="",$Q18=""),"Incomplete Exercise",IF($N18="Fail","Failed",IF(OR(OR($N18="Pass with Findings",$N18="Pass with finding"),_xlpm.ssStatus&lt;&gt;"Completed"),"Pass with Findings","Passed"))))))))</f>
        <v/>
      </c>
      <c r="Q18" t="str">
        <f t="shared" si="2"/>
        <v/>
      </c>
    </row>
    <row r="19" spans="1:17" x14ac:dyDescent="0.35">
      <c r="A19" s="279">
        <v>14</v>
      </c>
      <c r="B19" s="280" t="str">
        <f t="shared" si="0"/>
        <v/>
      </c>
      <c r="C19" s="91"/>
      <c r="D19" s="281" t="str">
        <f>IF($C19="","",_xlfn.XLOOKUP($C19,StrategiesSolutions[S&amp;S ID],StrategiesSolutions[Products / Services],""))</f>
        <v/>
      </c>
      <c r="E19" s="93"/>
      <c r="F19" s="93"/>
      <c r="G19" s="282" t="str">
        <f>IF($C19="","",_xlfn.XLOOKUP($C19,StrategiesSolutions[S&amp;S ID],StrategiesSolutions[Dependency],""))</f>
        <v/>
      </c>
      <c r="H19" s="281" t="str">
        <f>IF($C19="","",_xlfn.XLOOKUP($C19,StrategiesSolutions[S&amp;S ID],StrategiesSolutions[Risk Assumption],""))</f>
        <v/>
      </c>
      <c r="I19" s="281" t="str">
        <f>IF($C19="","",_xlfn.XLOOKUP($C19,StrategiesSolutions[S&amp;S ID],StrategiesSolutions[Disruption Scenario],""))</f>
        <v/>
      </c>
      <c r="J19" s="281" t="str">
        <f>IF($C19="","",_xlfn.XLOOKUP($C19,StrategiesSolutions[S&amp;S ID],StrategiesSolutions[Strategy],""))</f>
        <v/>
      </c>
      <c r="K19" s="281" t="str">
        <f>IF($C19="","",_xlfn.LET(_xlpm.x,_xlfn.XLOOKUP($C19,StrategiesSolutions[S&amp;S ID],StrategiesSolutions[Strategy Details / Do nothing Justification],""),IF(_xlpm.x=0,"",_xlpm.x)))</f>
        <v/>
      </c>
      <c r="L19" s="95"/>
      <c r="M19" s="95"/>
      <c r="N19" s="285"/>
      <c r="O19" s="283" t="str">
        <f t="shared" si="1"/>
        <v/>
      </c>
      <c r="P19" s="284" t="str">
        <f ca="1">IF($C19="","",_xlfn.LET(_xlpm.ssStatus,_xlfn.XLOOKUP($C19,StrategiesSolutions[S&amp;S ID],StrategiesSolutions[Status],""),IF($L19="","Not Scheduled",IF($M19="",IF($L19&lt;TODAY(),"Overdue","Scheduled"),IF($N19="","Result Required",IF(OR($E19="",$F19="",$Q19=""),"Incomplete Exercise",IF($N19="Fail","Failed",IF(OR(OR($N19="Pass with Findings",$N19="Pass with finding"),_xlpm.ssStatus&lt;&gt;"Completed"),"Pass with Findings","Passed"))))))))</f>
        <v/>
      </c>
      <c r="Q19" t="str">
        <f t="shared" si="2"/>
        <v/>
      </c>
    </row>
    <row r="20" spans="1:17" x14ac:dyDescent="0.35">
      <c r="A20" s="279">
        <v>15</v>
      </c>
      <c r="B20" s="280" t="str">
        <f t="shared" si="0"/>
        <v/>
      </c>
      <c r="C20" s="91"/>
      <c r="D20" s="281" t="str">
        <f>IF($C20="","",_xlfn.XLOOKUP($C20,StrategiesSolutions[S&amp;S ID],StrategiesSolutions[Products / Services],""))</f>
        <v/>
      </c>
      <c r="E20" s="93"/>
      <c r="F20" s="93"/>
      <c r="G20" s="282" t="str">
        <f>IF($C20="","",_xlfn.XLOOKUP($C20,StrategiesSolutions[S&amp;S ID],StrategiesSolutions[Dependency],""))</f>
        <v/>
      </c>
      <c r="H20" s="281" t="str">
        <f>IF($C20="","",_xlfn.XLOOKUP($C20,StrategiesSolutions[S&amp;S ID],StrategiesSolutions[Risk Assumption],""))</f>
        <v/>
      </c>
      <c r="I20" s="281" t="str">
        <f>IF($C20="","",_xlfn.XLOOKUP($C20,StrategiesSolutions[S&amp;S ID],StrategiesSolutions[Disruption Scenario],""))</f>
        <v/>
      </c>
      <c r="J20" s="281" t="str">
        <f>IF($C20="","",_xlfn.XLOOKUP($C20,StrategiesSolutions[S&amp;S ID],StrategiesSolutions[Strategy],""))</f>
        <v/>
      </c>
      <c r="K20" s="281" t="str">
        <f>IF($C20="","",_xlfn.LET(_xlpm.x,_xlfn.XLOOKUP($C20,StrategiesSolutions[S&amp;S ID],StrategiesSolutions[Strategy Details / Do nothing Justification],""),IF(_xlpm.x=0,"",_xlpm.x)))</f>
        <v/>
      </c>
      <c r="L20" s="95"/>
      <c r="M20" s="95"/>
      <c r="N20" s="285"/>
      <c r="O20" s="283" t="str">
        <f t="shared" si="1"/>
        <v/>
      </c>
      <c r="P20" s="284" t="str">
        <f ca="1">IF($C20="","",_xlfn.LET(_xlpm.ssStatus,_xlfn.XLOOKUP($C20,StrategiesSolutions[S&amp;S ID],StrategiesSolutions[Status],""),IF($L20="","Not Scheduled",IF($M20="",IF($L20&lt;TODAY(),"Overdue","Scheduled"),IF($N20="","Result Required",IF(OR($E20="",$F20="",$Q20=""),"Incomplete Exercise",IF($N20="Fail","Failed",IF(OR(OR($N20="Pass with Findings",$N20="Pass with finding"),_xlpm.ssStatus&lt;&gt;"Completed"),"Pass with Findings","Passed"))))))))</f>
        <v/>
      </c>
      <c r="Q20" t="str">
        <f t="shared" si="2"/>
        <v/>
      </c>
    </row>
    <row r="21" spans="1:17" x14ac:dyDescent="0.35">
      <c r="A21" s="279">
        <v>16</v>
      </c>
      <c r="B21" s="280" t="str">
        <f t="shared" si="0"/>
        <v/>
      </c>
      <c r="C21" s="91"/>
      <c r="D21" s="281" t="str">
        <f>IF($C21="","",_xlfn.XLOOKUP($C21,StrategiesSolutions[S&amp;S ID],StrategiesSolutions[Products / Services],""))</f>
        <v/>
      </c>
      <c r="E21" s="93"/>
      <c r="F21" s="93"/>
      <c r="G21" s="282" t="str">
        <f>IF($C21="","",_xlfn.XLOOKUP($C21,StrategiesSolutions[S&amp;S ID],StrategiesSolutions[Dependency],""))</f>
        <v/>
      </c>
      <c r="H21" s="281" t="str">
        <f>IF($C21="","",_xlfn.XLOOKUP($C21,StrategiesSolutions[S&amp;S ID],StrategiesSolutions[Risk Assumption],""))</f>
        <v/>
      </c>
      <c r="I21" s="281" t="str">
        <f>IF($C21="","",_xlfn.XLOOKUP($C21,StrategiesSolutions[S&amp;S ID],StrategiesSolutions[Disruption Scenario],""))</f>
        <v/>
      </c>
      <c r="J21" s="281" t="str">
        <f>IF($C21="","",_xlfn.XLOOKUP($C21,StrategiesSolutions[S&amp;S ID],StrategiesSolutions[Strategy],""))</f>
        <v/>
      </c>
      <c r="K21" s="281" t="str">
        <f>IF($C21="","",_xlfn.LET(_xlpm.x,_xlfn.XLOOKUP($C21,StrategiesSolutions[S&amp;S ID],StrategiesSolutions[Strategy Details / Do nothing Justification],""),IF(_xlpm.x=0,"",_xlpm.x)))</f>
        <v/>
      </c>
      <c r="L21" s="95"/>
      <c r="M21" s="95"/>
      <c r="N21" s="285"/>
      <c r="O21" s="283" t="str">
        <f t="shared" si="1"/>
        <v/>
      </c>
      <c r="P21" s="284" t="str">
        <f ca="1">IF($C21="","",_xlfn.LET(_xlpm.ssStatus,_xlfn.XLOOKUP($C21,StrategiesSolutions[S&amp;S ID],StrategiesSolutions[Status],""),IF($L21="","Not Scheduled",IF($M21="",IF($L21&lt;TODAY(),"Overdue","Scheduled"),IF($N21="","Result Required",IF(OR($E21="",$F21="",$Q21=""),"Incomplete Exercise",IF($N21="Fail","Failed",IF(OR(OR($N21="Pass with Findings",$N21="Pass with finding"),_xlpm.ssStatus&lt;&gt;"Completed"),"Pass with Findings","Passed"))))))))</f>
        <v/>
      </c>
      <c r="Q21" t="str">
        <f t="shared" si="2"/>
        <v/>
      </c>
    </row>
    <row r="22" spans="1:17" x14ac:dyDescent="0.35">
      <c r="A22" s="279">
        <v>17</v>
      </c>
      <c r="B22" s="280" t="str">
        <f t="shared" si="0"/>
        <v/>
      </c>
      <c r="C22" s="91"/>
      <c r="D22" s="281" t="str">
        <f>IF($C22="","",_xlfn.XLOOKUP($C22,StrategiesSolutions[S&amp;S ID],StrategiesSolutions[Products / Services],""))</f>
        <v/>
      </c>
      <c r="E22" s="93"/>
      <c r="F22" s="93"/>
      <c r="G22" s="282" t="str">
        <f>IF($C22="","",_xlfn.XLOOKUP($C22,StrategiesSolutions[S&amp;S ID],StrategiesSolutions[Dependency],""))</f>
        <v/>
      </c>
      <c r="H22" s="281" t="str">
        <f>IF($C22="","",_xlfn.XLOOKUP($C22,StrategiesSolutions[S&amp;S ID],StrategiesSolutions[Risk Assumption],""))</f>
        <v/>
      </c>
      <c r="I22" s="281" t="str">
        <f>IF($C22="","",_xlfn.XLOOKUP($C22,StrategiesSolutions[S&amp;S ID],StrategiesSolutions[Disruption Scenario],""))</f>
        <v/>
      </c>
      <c r="J22" s="281" t="str">
        <f>IF($C22="","",_xlfn.XLOOKUP($C22,StrategiesSolutions[S&amp;S ID],StrategiesSolutions[Strategy],""))</f>
        <v/>
      </c>
      <c r="K22" s="281" t="str">
        <f>IF($C22="","",_xlfn.LET(_xlpm.x,_xlfn.XLOOKUP($C22,StrategiesSolutions[S&amp;S ID],StrategiesSolutions[Strategy Details / Do nothing Justification],""),IF(_xlpm.x=0,"",_xlpm.x)))</f>
        <v/>
      </c>
      <c r="L22" s="95"/>
      <c r="M22" s="95"/>
      <c r="N22" s="285"/>
      <c r="O22" s="283" t="str">
        <f t="shared" si="1"/>
        <v/>
      </c>
      <c r="P22" s="284" t="str">
        <f ca="1">IF($C22="","",_xlfn.LET(_xlpm.ssStatus,_xlfn.XLOOKUP($C22,StrategiesSolutions[S&amp;S ID],StrategiesSolutions[Status],""),IF($L22="","Not Scheduled",IF($M22="",IF($L22&lt;TODAY(),"Overdue","Scheduled"),IF($N22="","Result Required",IF(OR($E22="",$F22="",$Q22=""),"Incomplete Exercise",IF($N22="Fail","Failed",IF(OR(OR($N22="Pass with Findings",$N22="Pass with finding"),_xlpm.ssStatus&lt;&gt;"Completed"),"Pass with Findings","Passed"))))))))</f>
        <v/>
      </c>
      <c r="Q22" t="str">
        <f t="shared" si="2"/>
        <v/>
      </c>
    </row>
    <row r="23" spans="1:17" x14ac:dyDescent="0.35">
      <c r="A23" s="279">
        <v>18</v>
      </c>
      <c r="B23" s="280" t="str">
        <f t="shared" si="0"/>
        <v/>
      </c>
      <c r="C23" s="91"/>
      <c r="D23" s="281" t="str">
        <f>IF($C23="","",_xlfn.XLOOKUP($C23,StrategiesSolutions[S&amp;S ID],StrategiesSolutions[Products / Services],""))</f>
        <v/>
      </c>
      <c r="E23" s="93"/>
      <c r="F23" s="93"/>
      <c r="G23" s="282" t="str">
        <f>IF($C23="","",_xlfn.XLOOKUP($C23,StrategiesSolutions[S&amp;S ID],StrategiesSolutions[Dependency],""))</f>
        <v/>
      </c>
      <c r="H23" s="281" t="str">
        <f>IF($C23="","",_xlfn.XLOOKUP($C23,StrategiesSolutions[S&amp;S ID],StrategiesSolutions[Risk Assumption],""))</f>
        <v/>
      </c>
      <c r="I23" s="281" t="str">
        <f>IF($C23="","",_xlfn.XLOOKUP($C23,StrategiesSolutions[S&amp;S ID],StrategiesSolutions[Disruption Scenario],""))</f>
        <v/>
      </c>
      <c r="J23" s="281" t="str">
        <f>IF($C23="","",_xlfn.XLOOKUP($C23,StrategiesSolutions[S&amp;S ID],StrategiesSolutions[Strategy],""))</f>
        <v/>
      </c>
      <c r="K23" s="281" t="str">
        <f>IF($C23="","",_xlfn.LET(_xlpm.x,_xlfn.XLOOKUP($C23,StrategiesSolutions[S&amp;S ID],StrategiesSolutions[Strategy Details / Do nothing Justification],""),IF(_xlpm.x=0,"",_xlpm.x)))</f>
        <v/>
      </c>
      <c r="L23" s="95"/>
      <c r="M23" s="95"/>
      <c r="N23" s="285"/>
      <c r="O23" s="283" t="str">
        <f t="shared" si="1"/>
        <v/>
      </c>
      <c r="P23" s="284" t="str">
        <f ca="1">IF($C23="","",_xlfn.LET(_xlpm.ssStatus,_xlfn.XLOOKUP($C23,StrategiesSolutions[S&amp;S ID],StrategiesSolutions[Status],""),IF($L23="","Not Scheduled",IF($M23="",IF($L23&lt;TODAY(),"Overdue","Scheduled"),IF($N23="","Result Required",IF(OR($E23="",$F23="",$Q23=""),"Incomplete Exercise",IF($N23="Fail","Failed",IF(OR(OR($N23="Pass with Findings",$N23="Pass with finding"),_xlpm.ssStatus&lt;&gt;"Completed"),"Pass with Findings","Passed"))))))))</f>
        <v/>
      </c>
      <c r="Q23" t="str">
        <f t="shared" si="2"/>
        <v/>
      </c>
    </row>
    <row r="24" spans="1:17" x14ac:dyDescent="0.35">
      <c r="A24" s="279">
        <v>19</v>
      </c>
      <c r="B24" s="280" t="str">
        <f t="shared" si="0"/>
        <v/>
      </c>
      <c r="C24" s="91"/>
      <c r="D24" s="281" t="str">
        <f>IF($C24="","",_xlfn.XLOOKUP($C24,StrategiesSolutions[S&amp;S ID],StrategiesSolutions[Products / Services],""))</f>
        <v/>
      </c>
      <c r="E24" s="93"/>
      <c r="F24" s="93"/>
      <c r="G24" s="282" t="str">
        <f>IF($C24="","",_xlfn.XLOOKUP($C24,StrategiesSolutions[S&amp;S ID],StrategiesSolutions[Dependency],""))</f>
        <v/>
      </c>
      <c r="H24" s="281" t="str">
        <f>IF($C24="","",_xlfn.XLOOKUP($C24,StrategiesSolutions[S&amp;S ID],StrategiesSolutions[Risk Assumption],""))</f>
        <v/>
      </c>
      <c r="I24" s="281" t="str">
        <f>IF($C24="","",_xlfn.XLOOKUP($C24,StrategiesSolutions[S&amp;S ID],StrategiesSolutions[Disruption Scenario],""))</f>
        <v/>
      </c>
      <c r="J24" s="281" t="str">
        <f>IF($C24="","",_xlfn.XLOOKUP($C24,StrategiesSolutions[S&amp;S ID],StrategiesSolutions[Strategy],""))</f>
        <v/>
      </c>
      <c r="K24" s="281" t="str">
        <f>IF($C24="","",_xlfn.LET(_xlpm.x,_xlfn.XLOOKUP($C24,StrategiesSolutions[S&amp;S ID],StrategiesSolutions[Strategy Details / Do nothing Justification],""),IF(_xlpm.x=0,"",_xlpm.x)))</f>
        <v/>
      </c>
      <c r="L24" s="95"/>
      <c r="M24" s="95"/>
      <c r="N24" s="285"/>
      <c r="O24" s="283" t="str">
        <f t="shared" si="1"/>
        <v/>
      </c>
      <c r="P24" s="284" t="str">
        <f ca="1">IF($C24="","",_xlfn.LET(_xlpm.ssStatus,_xlfn.XLOOKUP($C24,StrategiesSolutions[S&amp;S ID],StrategiesSolutions[Status],""),IF($L24="","Not Scheduled",IF($M24="",IF($L24&lt;TODAY(),"Overdue","Scheduled"),IF($N24="","Result Required",IF(OR($E24="",$F24="",$Q24=""),"Incomplete Exercise",IF($N24="Fail","Failed",IF(OR(OR($N24="Pass with Findings",$N24="Pass with finding"),_xlpm.ssStatus&lt;&gt;"Completed"),"Pass with Findings","Passed"))))))))</f>
        <v/>
      </c>
      <c r="Q24" t="str">
        <f t="shared" si="2"/>
        <v/>
      </c>
    </row>
    <row r="25" spans="1:17" x14ac:dyDescent="0.35">
      <c r="A25" s="279">
        <v>20</v>
      </c>
      <c r="B25" s="280" t="str">
        <f t="shared" si="0"/>
        <v/>
      </c>
      <c r="C25" s="91"/>
      <c r="D25" s="281" t="str">
        <f>IF($C25="","",_xlfn.XLOOKUP($C25,StrategiesSolutions[S&amp;S ID],StrategiesSolutions[Products / Services],""))</f>
        <v/>
      </c>
      <c r="E25" s="93"/>
      <c r="F25" s="93"/>
      <c r="G25" s="282" t="str">
        <f>IF($C25="","",_xlfn.XLOOKUP($C25,StrategiesSolutions[S&amp;S ID],StrategiesSolutions[Dependency],""))</f>
        <v/>
      </c>
      <c r="H25" s="281" t="str">
        <f>IF($C25="","",_xlfn.XLOOKUP($C25,StrategiesSolutions[S&amp;S ID],StrategiesSolutions[Risk Assumption],""))</f>
        <v/>
      </c>
      <c r="I25" s="281" t="str">
        <f>IF($C25="","",_xlfn.XLOOKUP($C25,StrategiesSolutions[S&amp;S ID],StrategiesSolutions[Disruption Scenario],""))</f>
        <v/>
      </c>
      <c r="J25" s="281" t="str">
        <f>IF($C25="","",_xlfn.XLOOKUP($C25,StrategiesSolutions[S&amp;S ID],StrategiesSolutions[Strategy],""))</f>
        <v/>
      </c>
      <c r="K25" s="281" t="str">
        <f>IF($C25="","",_xlfn.LET(_xlpm.x,_xlfn.XLOOKUP($C25,StrategiesSolutions[S&amp;S ID],StrategiesSolutions[Strategy Details / Do nothing Justification],""),IF(_xlpm.x=0,"",_xlpm.x)))</f>
        <v/>
      </c>
      <c r="L25" s="95"/>
      <c r="M25" s="95"/>
      <c r="N25" s="285"/>
      <c r="O25" s="283" t="str">
        <f t="shared" si="1"/>
        <v/>
      </c>
      <c r="P25" s="284" t="str">
        <f ca="1">IF($C25="","",_xlfn.LET(_xlpm.ssStatus,_xlfn.XLOOKUP($C25,StrategiesSolutions[S&amp;S ID],StrategiesSolutions[Status],""),IF($L25="","Not Scheduled",IF($M25="",IF($L25&lt;TODAY(),"Overdue","Scheduled"),IF($N25="","Result Required",IF(OR($E25="",$F25="",$Q25=""),"Incomplete Exercise",IF($N25="Fail","Failed",IF(OR(OR($N25="Pass with Findings",$N25="Pass with finding"),_xlpm.ssStatus&lt;&gt;"Completed"),"Pass with Findings","Passed"))))))))</f>
        <v/>
      </c>
      <c r="Q25" t="str">
        <f t="shared" si="2"/>
        <v/>
      </c>
    </row>
    <row r="26" spans="1:17" x14ac:dyDescent="0.35">
      <c r="A26" s="279">
        <v>21</v>
      </c>
      <c r="B26" s="280" t="str">
        <f t="shared" si="0"/>
        <v/>
      </c>
      <c r="C26" s="91"/>
      <c r="D26" s="281" t="str">
        <f>IF($C26="","",_xlfn.XLOOKUP($C26,StrategiesSolutions[S&amp;S ID],StrategiesSolutions[Products / Services],""))</f>
        <v/>
      </c>
      <c r="E26" s="93"/>
      <c r="F26" s="93"/>
      <c r="G26" s="282" t="str">
        <f>IF($C26="","",_xlfn.XLOOKUP($C26,StrategiesSolutions[S&amp;S ID],StrategiesSolutions[Dependency],""))</f>
        <v/>
      </c>
      <c r="H26" s="281" t="str">
        <f>IF($C26="","",_xlfn.XLOOKUP($C26,StrategiesSolutions[S&amp;S ID],StrategiesSolutions[Risk Assumption],""))</f>
        <v/>
      </c>
      <c r="I26" s="281" t="str">
        <f>IF($C26="","",_xlfn.XLOOKUP($C26,StrategiesSolutions[S&amp;S ID],StrategiesSolutions[Disruption Scenario],""))</f>
        <v/>
      </c>
      <c r="J26" s="281" t="str">
        <f>IF($C26="","",_xlfn.XLOOKUP($C26,StrategiesSolutions[S&amp;S ID],StrategiesSolutions[Strategy],""))</f>
        <v/>
      </c>
      <c r="K26" s="281" t="str">
        <f>IF($C26="","",_xlfn.LET(_xlpm.x,_xlfn.XLOOKUP($C26,StrategiesSolutions[S&amp;S ID],StrategiesSolutions[Strategy Details / Do nothing Justification],""),IF(_xlpm.x=0,"",_xlpm.x)))</f>
        <v/>
      </c>
      <c r="L26" s="95"/>
      <c r="M26" s="95"/>
      <c r="N26" s="285"/>
      <c r="O26" s="283" t="str">
        <f t="shared" si="1"/>
        <v/>
      </c>
      <c r="P26" s="284" t="str">
        <f ca="1">IF($C26="","",_xlfn.LET(_xlpm.ssStatus,_xlfn.XLOOKUP($C26,StrategiesSolutions[S&amp;S ID],StrategiesSolutions[Status],""),IF($L26="","Not Scheduled",IF($M26="",IF($L26&lt;TODAY(),"Overdue","Scheduled"),IF($N26="","Result Required",IF(OR($E26="",$F26="",$Q26=""),"Incomplete Exercise",IF($N26="Fail","Failed",IF(OR(OR($N26="Pass with Findings",$N26="Pass with finding"),_xlpm.ssStatus&lt;&gt;"Completed"),"Pass with Findings","Passed"))))))))</f>
        <v/>
      </c>
      <c r="Q26" t="str">
        <f t="shared" si="2"/>
        <v/>
      </c>
    </row>
    <row r="27" spans="1:17" x14ac:dyDescent="0.35">
      <c r="A27" s="279">
        <v>22</v>
      </c>
      <c r="B27" s="280" t="str">
        <f t="shared" si="0"/>
        <v/>
      </c>
      <c r="C27" s="91"/>
      <c r="D27" s="281" t="str">
        <f>IF($C27="","",_xlfn.XLOOKUP($C27,StrategiesSolutions[S&amp;S ID],StrategiesSolutions[Products / Services],""))</f>
        <v/>
      </c>
      <c r="E27" s="93"/>
      <c r="F27" s="93"/>
      <c r="G27" s="282" t="str">
        <f>IF($C27="","",_xlfn.XLOOKUP($C27,StrategiesSolutions[S&amp;S ID],StrategiesSolutions[Dependency],""))</f>
        <v/>
      </c>
      <c r="H27" s="281" t="str">
        <f>IF($C27="","",_xlfn.XLOOKUP($C27,StrategiesSolutions[S&amp;S ID],StrategiesSolutions[Risk Assumption],""))</f>
        <v/>
      </c>
      <c r="I27" s="281" t="str">
        <f>IF($C27="","",_xlfn.XLOOKUP($C27,StrategiesSolutions[S&amp;S ID],StrategiesSolutions[Disruption Scenario],""))</f>
        <v/>
      </c>
      <c r="J27" s="281" t="str">
        <f>IF($C27="","",_xlfn.XLOOKUP($C27,StrategiesSolutions[S&amp;S ID],StrategiesSolutions[Strategy],""))</f>
        <v/>
      </c>
      <c r="K27" s="281" t="str">
        <f>IF($C27="","",_xlfn.LET(_xlpm.x,_xlfn.XLOOKUP($C27,StrategiesSolutions[S&amp;S ID],StrategiesSolutions[Strategy Details / Do nothing Justification],""),IF(_xlpm.x=0,"",_xlpm.x)))</f>
        <v/>
      </c>
      <c r="L27" s="95"/>
      <c r="M27" s="95"/>
      <c r="N27" s="285"/>
      <c r="O27" s="283" t="str">
        <f t="shared" si="1"/>
        <v/>
      </c>
      <c r="P27" s="284" t="str">
        <f ca="1">IF($C27="","",_xlfn.LET(_xlpm.ssStatus,_xlfn.XLOOKUP($C27,StrategiesSolutions[S&amp;S ID],StrategiesSolutions[Status],""),IF($L27="","Not Scheduled",IF($M27="",IF($L27&lt;TODAY(),"Overdue","Scheduled"),IF($N27="","Result Required",IF(OR($E27="",$F27="",$Q27=""),"Incomplete Exercise",IF($N27="Fail","Failed",IF(OR(OR($N27="Pass with Findings",$N27="Pass with finding"),_xlpm.ssStatus&lt;&gt;"Completed"),"Pass with Findings","Passed"))))))))</f>
        <v/>
      </c>
      <c r="Q27" t="str">
        <f t="shared" si="2"/>
        <v/>
      </c>
    </row>
    <row r="28" spans="1:17" x14ac:dyDescent="0.35">
      <c r="A28" s="279">
        <v>23</v>
      </c>
      <c r="B28" s="280" t="str">
        <f t="shared" si="0"/>
        <v/>
      </c>
      <c r="C28" s="91"/>
      <c r="D28" s="281" t="str">
        <f>IF($C28="","",_xlfn.XLOOKUP($C28,StrategiesSolutions[S&amp;S ID],StrategiesSolutions[Products / Services],""))</f>
        <v/>
      </c>
      <c r="E28" s="93"/>
      <c r="F28" s="93"/>
      <c r="G28" s="282" t="str">
        <f>IF($C28="","",_xlfn.XLOOKUP($C28,StrategiesSolutions[S&amp;S ID],StrategiesSolutions[Dependency],""))</f>
        <v/>
      </c>
      <c r="H28" s="281" t="str">
        <f>IF($C28="","",_xlfn.XLOOKUP($C28,StrategiesSolutions[S&amp;S ID],StrategiesSolutions[Risk Assumption],""))</f>
        <v/>
      </c>
      <c r="I28" s="281" t="str">
        <f>IF($C28="","",_xlfn.XLOOKUP($C28,StrategiesSolutions[S&amp;S ID],StrategiesSolutions[Disruption Scenario],""))</f>
        <v/>
      </c>
      <c r="J28" s="281" t="str">
        <f>IF($C28="","",_xlfn.XLOOKUP($C28,StrategiesSolutions[S&amp;S ID],StrategiesSolutions[Strategy],""))</f>
        <v/>
      </c>
      <c r="K28" s="281" t="str">
        <f>IF($C28="","",_xlfn.LET(_xlpm.x,_xlfn.XLOOKUP($C28,StrategiesSolutions[S&amp;S ID],StrategiesSolutions[Strategy Details / Do nothing Justification],""),IF(_xlpm.x=0,"",_xlpm.x)))</f>
        <v/>
      </c>
      <c r="L28" s="95"/>
      <c r="M28" s="95"/>
      <c r="N28" s="285"/>
      <c r="O28" s="283" t="str">
        <f t="shared" si="1"/>
        <v/>
      </c>
      <c r="P28" s="284" t="str">
        <f ca="1">IF($C28="","",_xlfn.LET(_xlpm.ssStatus,_xlfn.XLOOKUP($C28,StrategiesSolutions[S&amp;S ID],StrategiesSolutions[Status],""),IF($L28="","Not Scheduled",IF($M28="",IF($L28&lt;TODAY(),"Overdue","Scheduled"),IF($N28="","Result Required",IF(OR($E28="",$F28="",$Q28=""),"Incomplete Exercise",IF($N28="Fail","Failed",IF(OR(OR($N28="Pass with Findings",$N28="Pass with finding"),_xlpm.ssStatus&lt;&gt;"Completed"),"Pass with Findings","Passed"))))))))</f>
        <v/>
      </c>
      <c r="Q28" t="str">
        <f t="shared" si="2"/>
        <v/>
      </c>
    </row>
    <row r="29" spans="1:17" x14ac:dyDescent="0.35">
      <c r="A29" s="279">
        <v>24</v>
      </c>
      <c r="B29" s="280" t="str">
        <f t="shared" si="0"/>
        <v/>
      </c>
      <c r="C29" s="91"/>
      <c r="D29" s="281" t="str">
        <f>IF($C29="","",_xlfn.XLOOKUP($C29,StrategiesSolutions[S&amp;S ID],StrategiesSolutions[Products / Services],""))</f>
        <v/>
      </c>
      <c r="E29" s="93"/>
      <c r="F29" s="93"/>
      <c r="G29" s="282" t="str">
        <f>IF($C29="","",_xlfn.XLOOKUP($C29,StrategiesSolutions[S&amp;S ID],StrategiesSolutions[Dependency],""))</f>
        <v/>
      </c>
      <c r="H29" s="281" t="str">
        <f>IF($C29="","",_xlfn.XLOOKUP($C29,StrategiesSolutions[S&amp;S ID],StrategiesSolutions[Risk Assumption],""))</f>
        <v/>
      </c>
      <c r="I29" s="281" t="str">
        <f>IF($C29="","",_xlfn.XLOOKUP($C29,StrategiesSolutions[S&amp;S ID],StrategiesSolutions[Disruption Scenario],""))</f>
        <v/>
      </c>
      <c r="J29" s="281" t="str">
        <f>IF($C29="","",_xlfn.XLOOKUP($C29,StrategiesSolutions[S&amp;S ID],StrategiesSolutions[Strategy],""))</f>
        <v/>
      </c>
      <c r="K29" s="281" t="str">
        <f>IF($C29="","",_xlfn.LET(_xlpm.x,_xlfn.XLOOKUP($C29,StrategiesSolutions[S&amp;S ID],StrategiesSolutions[Strategy Details / Do nothing Justification],""),IF(_xlpm.x=0,"",_xlpm.x)))</f>
        <v/>
      </c>
      <c r="L29" s="95"/>
      <c r="M29" s="95"/>
      <c r="N29" s="285"/>
      <c r="O29" s="283" t="str">
        <f t="shared" si="1"/>
        <v/>
      </c>
      <c r="P29" s="284" t="str">
        <f ca="1">IF($C29="","",_xlfn.LET(_xlpm.ssStatus,_xlfn.XLOOKUP($C29,StrategiesSolutions[S&amp;S ID],StrategiesSolutions[Status],""),IF($L29="","Not Scheduled",IF($M29="",IF($L29&lt;TODAY(),"Overdue","Scheduled"),IF($N29="","Result Required",IF(OR($E29="",$F29="",$Q29=""),"Incomplete Exercise",IF($N29="Fail","Failed",IF(OR(OR($N29="Pass with Findings",$N29="Pass with finding"),_xlpm.ssStatus&lt;&gt;"Completed"),"Pass with Findings","Passed"))))))))</f>
        <v/>
      </c>
      <c r="Q29" t="str">
        <f t="shared" si="2"/>
        <v/>
      </c>
    </row>
    <row r="30" spans="1:17" x14ac:dyDescent="0.35">
      <c r="A30" s="279">
        <v>25</v>
      </c>
      <c r="B30" s="280" t="str">
        <f t="shared" si="0"/>
        <v/>
      </c>
      <c r="C30" s="91"/>
      <c r="D30" s="281" t="str">
        <f>IF($C30="","",_xlfn.XLOOKUP($C30,StrategiesSolutions[S&amp;S ID],StrategiesSolutions[Products / Services],""))</f>
        <v/>
      </c>
      <c r="E30" s="93"/>
      <c r="F30" s="93"/>
      <c r="G30" s="282" t="str">
        <f>IF($C30="","",_xlfn.XLOOKUP($C30,StrategiesSolutions[S&amp;S ID],StrategiesSolutions[Dependency],""))</f>
        <v/>
      </c>
      <c r="H30" s="281" t="str">
        <f>IF($C30="","",_xlfn.XLOOKUP($C30,StrategiesSolutions[S&amp;S ID],StrategiesSolutions[Risk Assumption],""))</f>
        <v/>
      </c>
      <c r="I30" s="281" t="str">
        <f>IF($C30="","",_xlfn.XLOOKUP($C30,StrategiesSolutions[S&amp;S ID],StrategiesSolutions[Disruption Scenario],""))</f>
        <v/>
      </c>
      <c r="J30" s="281" t="str">
        <f>IF($C30="","",_xlfn.XLOOKUP($C30,StrategiesSolutions[S&amp;S ID],StrategiesSolutions[Strategy],""))</f>
        <v/>
      </c>
      <c r="K30" s="281" t="str">
        <f>IF($C30="","",_xlfn.LET(_xlpm.x,_xlfn.XLOOKUP($C30,StrategiesSolutions[S&amp;S ID],StrategiesSolutions[Strategy Details / Do nothing Justification],""),IF(_xlpm.x=0,"",_xlpm.x)))</f>
        <v/>
      </c>
      <c r="L30" s="95"/>
      <c r="M30" s="95"/>
      <c r="N30" s="285"/>
      <c r="O30" s="283" t="str">
        <f t="shared" si="1"/>
        <v/>
      </c>
      <c r="P30" s="284" t="str">
        <f ca="1">IF($C30="","",_xlfn.LET(_xlpm.ssStatus,_xlfn.XLOOKUP($C30,StrategiesSolutions[S&amp;S ID],StrategiesSolutions[Status],""),IF($L30="","Not Scheduled",IF($M30="",IF($L30&lt;TODAY(),"Overdue","Scheduled"),IF($N30="","Result Required",IF(OR($E30="",$F30="",$Q30=""),"Incomplete Exercise",IF($N30="Fail","Failed",IF(OR(OR($N30="Pass with Findings",$N30="Pass with finding"),_xlpm.ssStatus&lt;&gt;"Completed"),"Pass with Findings","Passed"))))))))</f>
        <v/>
      </c>
      <c r="Q30" t="str">
        <f t="shared" si="2"/>
        <v/>
      </c>
    </row>
    <row r="31" spans="1:17" x14ac:dyDescent="0.35">
      <c r="A31" s="279">
        <v>26</v>
      </c>
      <c r="B31" s="280" t="str">
        <f t="shared" si="0"/>
        <v/>
      </c>
      <c r="C31" s="91"/>
      <c r="D31" s="281" t="str">
        <f>IF($C31="","",_xlfn.XLOOKUP($C31,StrategiesSolutions[S&amp;S ID],StrategiesSolutions[Products / Services],""))</f>
        <v/>
      </c>
      <c r="E31" s="93"/>
      <c r="F31" s="93"/>
      <c r="G31" s="282" t="str">
        <f>IF($C31="","",_xlfn.XLOOKUP($C31,StrategiesSolutions[S&amp;S ID],StrategiesSolutions[Dependency],""))</f>
        <v/>
      </c>
      <c r="H31" s="281" t="str">
        <f>IF($C31="","",_xlfn.XLOOKUP($C31,StrategiesSolutions[S&amp;S ID],StrategiesSolutions[Risk Assumption],""))</f>
        <v/>
      </c>
      <c r="I31" s="281" t="str">
        <f>IF($C31="","",_xlfn.XLOOKUP($C31,StrategiesSolutions[S&amp;S ID],StrategiesSolutions[Disruption Scenario],""))</f>
        <v/>
      </c>
      <c r="J31" s="281" t="str">
        <f>IF($C31="","",_xlfn.XLOOKUP($C31,StrategiesSolutions[S&amp;S ID],StrategiesSolutions[Strategy],""))</f>
        <v/>
      </c>
      <c r="K31" s="281" t="str">
        <f>IF($C31="","",_xlfn.LET(_xlpm.x,_xlfn.XLOOKUP($C31,StrategiesSolutions[S&amp;S ID],StrategiesSolutions[Strategy Details / Do nothing Justification],""),IF(_xlpm.x=0,"",_xlpm.x)))</f>
        <v/>
      </c>
      <c r="L31" s="95"/>
      <c r="M31" s="95"/>
      <c r="N31" s="285"/>
      <c r="O31" s="283" t="str">
        <f t="shared" si="1"/>
        <v/>
      </c>
      <c r="P31" s="284" t="str">
        <f ca="1">IF($C31="","",_xlfn.LET(_xlpm.ssStatus,_xlfn.XLOOKUP($C31,StrategiesSolutions[S&amp;S ID],StrategiesSolutions[Status],""),IF($L31="","Not Scheduled",IF($M31="",IF($L31&lt;TODAY(),"Overdue","Scheduled"),IF($N31="","Result Required",IF(OR($E31="",$F31="",$Q31=""),"Incomplete Exercise",IF($N31="Fail","Failed",IF(OR(OR($N31="Pass with Findings",$N31="Pass with finding"),_xlpm.ssStatus&lt;&gt;"Completed"),"Pass with Findings","Passed"))))))))</f>
        <v/>
      </c>
      <c r="Q31" t="str">
        <f t="shared" si="2"/>
        <v/>
      </c>
    </row>
    <row r="32" spans="1:17" x14ac:dyDescent="0.35">
      <c r="A32" s="279">
        <v>27</v>
      </c>
      <c r="B32" s="280" t="str">
        <f t="shared" si="0"/>
        <v/>
      </c>
      <c r="C32" s="91"/>
      <c r="D32" s="281" t="str">
        <f>IF($C32="","",_xlfn.XLOOKUP($C32,StrategiesSolutions[S&amp;S ID],StrategiesSolutions[Products / Services],""))</f>
        <v/>
      </c>
      <c r="E32" s="93"/>
      <c r="F32" s="93"/>
      <c r="G32" s="282" t="str">
        <f>IF($C32="","",_xlfn.XLOOKUP($C32,StrategiesSolutions[S&amp;S ID],StrategiesSolutions[Dependency],""))</f>
        <v/>
      </c>
      <c r="H32" s="281" t="str">
        <f>IF($C32="","",_xlfn.XLOOKUP($C32,StrategiesSolutions[S&amp;S ID],StrategiesSolutions[Risk Assumption],""))</f>
        <v/>
      </c>
      <c r="I32" s="281" t="str">
        <f>IF($C32="","",_xlfn.XLOOKUP($C32,StrategiesSolutions[S&amp;S ID],StrategiesSolutions[Disruption Scenario],""))</f>
        <v/>
      </c>
      <c r="J32" s="281" t="str">
        <f>IF($C32="","",_xlfn.XLOOKUP($C32,StrategiesSolutions[S&amp;S ID],StrategiesSolutions[Strategy],""))</f>
        <v/>
      </c>
      <c r="K32" s="281" t="str">
        <f>IF($C32="","",_xlfn.LET(_xlpm.x,_xlfn.XLOOKUP($C32,StrategiesSolutions[S&amp;S ID],StrategiesSolutions[Strategy Details / Do nothing Justification],""),IF(_xlpm.x=0,"",_xlpm.x)))</f>
        <v/>
      </c>
      <c r="L32" s="95"/>
      <c r="M32" s="95"/>
      <c r="N32" s="285"/>
      <c r="O32" s="283" t="str">
        <f t="shared" si="1"/>
        <v/>
      </c>
      <c r="P32" s="284" t="str">
        <f ca="1">IF($C32="","",_xlfn.LET(_xlpm.ssStatus,_xlfn.XLOOKUP($C32,StrategiesSolutions[S&amp;S ID],StrategiesSolutions[Status],""),IF($L32="","Not Scheduled",IF($M32="",IF($L32&lt;TODAY(),"Overdue","Scheduled"),IF($N32="","Result Required",IF(OR($E32="",$F32="",$Q32=""),"Incomplete Exercise",IF($N32="Fail","Failed",IF(OR(OR($N32="Pass with Findings",$N32="Pass with finding"),_xlpm.ssStatus&lt;&gt;"Completed"),"Pass with Findings","Passed"))))))))</f>
        <v/>
      </c>
      <c r="Q32" t="str">
        <f t="shared" si="2"/>
        <v/>
      </c>
    </row>
    <row r="33" spans="1:17" x14ac:dyDescent="0.35">
      <c r="A33" s="279">
        <v>28</v>
      </c>
      <c r="B33" s="280" t="str">
        <f t="shared" si="0"/>
        <v/>
      </c>
      <c r="C33" s="91"/>
      <c r="D33" s="281" t="str">
        <f>IF($C33="","",_xlfn.XLOOKUP($C33,StrategiesSolutions[S&amp;S ID],StrategiesSolutions[Products / Services],""))</f>
        <v/>
      </c>
      <c r="E33" s="93"/>
      <c r="F33" s="93"/>
      <c r="G33" s="282" t="str">
        <f>IF($C33="","",_xlfn.XLOOKUP($C33,StrategiesSolutions[S&amp;S ID],StrategiesSolutions[Dependency],""))</f>
        <v/>
      </c>
      <c r="H33" s="281" t="str">
        <f>IF($C33="","",_xlfn.XLOOKUP($C33,StrategiesSolutions[S&amp;S ID],StrategiesSolutions[Risk Assumption],""))</f>
        <v/>
      </c>
      <c r="I33" s="281" t="str">
        <f>IF($C33="","",_xlfn.XLOOKUP($C33,StrategiesSolutions[S&amp;S ID],StrategiesSolutions[Disruption Scenario],""))</f>
        <v/>
      </c>
      <c r="J33" s="281" t="str">
        <f>IF($C33="","",_xlfn.XLOOKUP($C33,StrategiesSolutions[S&amp;S ID],StrategiesSolutions[Strategy],""))</f>
        <v/>
      </c>
      <c r="K33" s="281" t="str">
        <f>IF($C33="","",_xlfn.LET(_xlpm.x,_xlfn.XLOOKUP($C33,StrategiesSolutions[S&amp;S ID],StrategiesSolutions[Strategy Details / Do nothing Justification],""),IF(_xlpm.x=0,"",_xlpm.x)))</f>
        <v/>
      </c>
      <c r="L33" s="95"/>
      <c r="M33" s="95"/>
      <c r="N33" s="285"/>
      <c r="O33" s="283" t="str">
        <f t="shared" si="1"/>
        <v/>
      </c>
      <c r="P33" s="284" t="str">
        <f ca="1">IF($C33="","",_xlfn.LET(_xlpm.ssStatus,_xlfn.XLOOKUP($C33,StrategiesSolutions[S&amp;S ID],StrategiesSolutions[Status],""),IF($L33="","Not Scheduled",IF($M33="",IF($L33&lt;TODAY(),"Overdue","Scheduled"),IF($N33="","Result Required",IF(OR($E33="",$F33="",$Q33=""),"Incomplete Exercise",IF($N33="Fail","Failed",IF(OR(OR($N33="Pass with Findings",$N33="Pass with finding"),_xlpm.ssStatus&lt;&gt;"Completed"),"Pass with Findings","Passed"))))))))</f>
        <v/>
      </c>
      <c r="Q33" t="str">
        <f t="shared" si="2"/>
        <v/>
      </c>
    </row>
    <row r="34" spans="1:17" x14ac:dyDescent="0.35">
      <c r="A34" s="279">
        <v>29</v>
      </c>
      <c r="B34" s="280" t="str">
        <f t="shared" si="0"/>
        <v/>
      </c>
      <c r="C34" s="91"/>
      <c r="D34" s="281" t="str">
        <f>IF($C34="","",_xlfn.XLOOKUP($C34,StrategiesSolutions[S&amp;S ID],StrategiesSolutions[Products / Services],""))</f>
        <v/>
      </c>
      <c r="E34" s="93"/>
      <c r="F34" s="93"/>
      <c r="G34" s="282" t="str">
        <f>IF($C34="","",_xlfn.XLOOKUP($C34,StrategiesSolutions[S&amp;S ID],StrategiesSolutions[Dependency],""))</f>
        <v/>
      </c>
      <c r="H34" s="281" t="str">
        <f>IF($C34="","",_xlfn.XLOOKUP($C34,StrategiesSolutions[S&amp;S ID],StrategiesSolutions[Risk Assumption],""))</f>
        <v/>
      </c>
      <c r="I34" s="281" t="str">
        <f>IF($C34="","",_xlfn.XLOOKUP($C34,StrategiesSolutions[S&amp;S ID],StrategiesSolutions[Disruption Scenario],""))</f>
        <v/>
      </c>
      <c r="J34" s="281" t="str">
        <f>IF($C34="","",_xlfn.XLOOKUP($C34,StrategiesSolutions[S&amp;S ID],StrategiesSolutions[Strategy],""))</f>
        <v/>
      </c>
      <c r="K34" s="281" t="str">
        <f>IF($C34="","",_xlfn.LET(_xlpm.x,_xlfn.XLOOKUP($C34,StrategiesSolutions[S&amp;S ID],StrategiesSolutions[Strategy Details / Do nothing Justification],""),IF(_xlpm.x=0,"",_xlpm.x)))</f>
        <v/>
      </c>
      <c r="L34" s="95"/>
      <c r="M34" s="95"/>
      <c r="N34" s="285"/>
      <c r="O34" s="283" t="str">
        <f t="shared" si="1"/>
        <v/>
      </c>
      <c r="P34" s="284" t="str">
        <f ca="1">IF($C34="","",_xlfn.LET(_xlpm.ssStatus,_xlfn.XLOOKUP($C34,StrategiesSolutions[S&amp;S ID],StrategiesSolutions[Status],""),IF($L34="","Not Scheduled",IF($M34="",IF($L34&lt;TODAY(),"Overdue","Scheduled"),IF($N34="","Result Required",IF(OR($E34="",$F34="",$Q34=""),"Incomplete Exercise",IF($N34="Fail","Failed",IF(OR(OR($N34="Pass with Findings",$N34="Pass with finding"),_xlpm.ssStatus&lt;&gt;"Completed"),"Pass with Findings","Passed"))))))))</f>
        <v/>
      </c>
      <c r="Q34" t="str">
        <f t="shared" si="2"/>
        <v/>
      </c>
    </row>
    <row r="35" spans="1:17" x14ac:dyDescent="0.35">
      <c r="A35" s="279">
        <v>30</v>
      </c>
      <c r="B35" s="280" t="str">
        <f t="shared" si="0"/>
        <v/>
      </c>
      <c r="C35" s="91"/>
      <c r="D35" s="281" t="str">
        <f>IF($C35="","",_xlfn.XLOOKUP($C35,StrategiesSolutions[S&amp;S ID],StrategiesSolutions[Products / Services],""))</f>
        <v/>
      </c>
      <c r="E35" s="93"/>
      <c r="F35" s="93"/>
      <c r="G35" s="282" t="str">
        <f>IF($C35="","",_xlfn.XLOOKUP($C35,StrategiesSolutions[S&amp;S ID],StrategiesSolutions[Dependency],""))</f>
        <v/>
      </c>
      <c r="H35" s="281" t="str">
        <f>IF($C35="","",_xlfn.XLOOKUP($C35,StrategiesSolutions[S&amp;S ID],StrategiesSolutions[Risk Assumption],""))</f>
        <v/>
      </c>
      <c r="I35" s="281" t="str">
        <f>IF($C35="","",_xlfn.XLOOKUP($C35,StrategiesSolutions[S&amp;S ID],StrategiesSolutions[Disruption Scenario],""))</f>
        <v/>
      </c>
      <c r="J35" s="281" t="str">
        <f>IF($C35="","",_xlfn.XLOOKUP($C35,StrategiesSolutions[S&amp;S ID],StrategiesSolutions[Strategy],""))</f>
        <v/>
      </c>
      <c r="K35" s="281" t="str">
        <f>IF($C35="","",_xlfn.LET(_xlpm.x,_xlfn.XLOOKUP($C35,StrategiesSolutions[S&amp;S ID],StrategiesSolutions[Strategy Details / Do nothing Justification],""),IF(_xlpm.x=0,"",_xlpm.x)))</f>
        <v/>
      </c>
      <c r="L35" s="95"/>
      <c r="M35" s="95"/>
      <c r="N35" s="285"/>
      <c r="O35" s="283" t="str">
        <f t="shared" si="1"/>
        <v/>
      </c>
      <c r="P35" s="284" t="str">
        <f ca="1">IF($C35="","",_xlfn.LET(_xlpm.ssStatus,_xlfn.XLOOKUP($C35,StrategiesSolutions[S&amp;S ID],StrategiesSolutions[Status],""),IF($L35="","Not Scheduled",IF($M35="",IF($L35&lt;TODAY(),"Overdue","Scheduled"),IF($N35="","Result Required",IF(OR($E35="",$F35="",$Q35=""),"Incomplete Exercise",IF($N35="Fail","Failed",IF(OR(OR($N35="Pass with Findings",$N35="Pass with finding"),_xlpm.ssStatus&lt;&gt;"Completed"),"Pass with Findings","Passed"))))))))</f>
        <v/>
      </c>
      <c r="Q35" t="str">
        <f t="shared" si="2"/>
        <v/>
      </c>
    </row>
    <row r="36" spans="1:17" x14ac:dyDescent="0.35">
      <c r="A36" s="279">
        <v>31</v>
      </c>
      <c r="B36" s="280" t="str">
        <f t="shared" si="0"/>
        <v/>
      </c>
      <c r="C36" s="91"/>
      <c r="D36" s="281" t="str">
        <f>IF($C36="","",_xlfn.XLOOKUP($C36,StrategiesSolutions[S&amp;S ID],StrategiesSolutions[Products / Services],""))</f>
        <v/>
      </c>
      <c r="E36" s="93"/>
      <c r="F36" s="93"/>
      <c r="G36" s="282" t="str">
        <f>IF($C36="","",_xlfn.XLOOKUP($C36,StrategiesSolutions[S&amp;S ID],StrategiesSolutions[Dependency],""))</f>
        <v/>
      </c>
      <c r="H36" s="281" t="str">
        <f>IF($C36="","",_xlfn.XLOOKUP($C36,StrategiesSolutions[S&amp;S ID],StrategiesSolutions[Risk Assumption],""))</f>
        <v/>
      </c>
      <c r="I36" s="281" t="str">
        <f>IF($C36="","",_xlfn.XLOOKUP($C36,StrategiesSolutions[S&amp;S ID],StrategiesSolutions[Disruption Scenario],""))</f>
        <v/>
      </c>
      <c r="J36" s="281" t="str">
        <f>IF($C36="","",_xlfn.XLOOKUP($C36,StrategiesSolutions[S&amp;S ID],StrategiesSolutions[Strategy],""))</f>
        <v/>
      </c>
      <c r="K36" s="281" t="str">
        <f>IF($C36="","",_xlfn.LET(_xlpm.x,_xlfn.XLOOKUP($C36,StrategiesSolutions[S&amp;S ID],StrategiesSolutions[Strategy Details / Do nothing Justification],""),IF(_xlpm.x=0,"",_xlpm.x)))</f>
        <v/>
      </c>
      <c r="L36" s="95"/>
      <c r="M36" s="95"/>
      <c r="N36" s="285"/>
      <c r="O36" s="283" t="str">
        <f t="shared" si="1"/>
        <v/>
      </c>
      <c r="P36" s="284" t="str">
        <f ca="1">IF($C36="","",_xlfn.LET(_xlpm.ssStatus,_xlfn.XLOOKUP($C36,StrategiesSolutions[S&amp;S ID],StrategiesSolutions[Status],""),IF($L36="","Not Scheduled",IF($M36="",IF($L36&lt;TODAY(),"Overdue","Scheduled"),IF($N36="","Result Required",IF(OR($E36="",$F36="",$Q36=""),"Incomplete Exercise",IF($N36="Fail","Failed",IF(OR(OR($N36="Pass with Findings",$N36="Pass with finding"),_xlpm.ssStatus&lt;&gt;"Completed"),"Pass with Findings","Passed"))))))))</f>
        <v/>
      </c>
      <c r="Q36" t="str">
        <f t="shared" si="2"/>
        <v/>
      </c>
    </row>
    <row r="37" spans="1:17" x14ac:dyDescent="0.35">
      <c r="A37" s="279">
        <v>32</v>
      </c>
      <c r="B37" s="280" t="str">
        <f t="shared" si="0"/>
        <v/>
      </c>
      <c r="C37" s="91"/>
      <c r="D37" s="281" t="str">
        <f>IF($C37="","",_xlfn.XLOOKUP($C37,StrategiesSolutions[S&amp;S ID],StrategiesSolutions[Products / Services],""))</f>
        <v/>
      </c>
      <c r="E37" s="93"/>
      <c r="F37" s="93"/>
      <c r="G37" s="282" t="str">
        <f>IF($C37="","",_xlfn.XLOOKUP($C37,StrategiesSolutions[S&amp;S ID],StrategiesSolutions[Dependency],""))</f>
        <v/>
      </c>
      <c r="H37" s="281" t="str">
        <f>IF($C37="","",_xlfn.XLOOKUP($C37,StrategiesSolutions[S&amp;S ID],StrategiesSolutions[Risk Assumption],""))</f>
        <v/>
      </c>
      <c r="I37" s="281" t="str">
        <f>IF($C37="","",_xlfn.XLOOKUP($C37,StrategiesSolutions[S&amp;S ID],StrategiesSolutions[Disruption Scenario],""))</f>
        <v/>
      </c>
      <c r="J37" s="281" t="str">
        <f>IF($C37="","",_xlfn.XLOOKUP($C37,StrategiesSolutions[S&amp;S ID],StrategiesSolutions[Strategy],""))</f>
        <v/>
      </c>
      <c r="K37" s="281" t="str">
        <f>IF($C37="","",_xlfn.LET(_xlpm.x,_xlfn.XLOOKUP($C37,StrategiesSolutions[S&amp;S ID],StrategiesSolutions[Strategy Details / Do nothing Justification],""),IF(_xlpm.x=0,"",_xlpm.x)))</f>
        <v/>
      </c>
      <c r="L37" s="95"/>
      <c r="M37" s="95"/>
      <c r="N37" s="285"/>
      <c r="O37" s="283" t="str">
        <f t="shared" si="1"/>
        <v/>
      </c>
      <c r="P37" s="284" t="str">
        <f ca="1">IF($C37="","",_xlfn.LET(_xlpm.ssStatus,_xlfn.XLOOKUP($C37,StrategiesSolutions[S&amp;S ID],StrategiesSolutions[Status],""),IF($L37="","Not Scheduled",IF($M37="",IF($L37&lt;TODAY(),"Overdue","Scheduled"),IF($N37="","Result Required",IF(OR($E37="",$F37="",$Q37=""),"Incomplete Exercise",IF($N37="Fail","Failed",IF(OR(OR($N37="Pass with Findings",$N37="Pass with finding"),_xlpm.ssStatus&lt;&gt;"Completed"),"Pass with Findings","Passed"))))))))</f>
        <v/>
      </c>
      <c r="Q37" t="str">
        <f t="shared" si="2"/>
        <v/>
      </c>
    </row>
    <row r="38" spans="1:17" x14ac:dyDescent="0.35">
      <c r="A38" s="279">
        <v>33</v>
      </c>
      <c r="B38" s="280" t="str">
        <f t="shared" ref="B38:B69" si="3">IF($C38="","","RR-"&amp;TEXT($A38,"000"))</f>
        <v/>
      </c>
      <c r="C38" s="91"/>
      <c r="D38" s="281" t="str">
        <f>IF($C38="","",_xlfn.XLOOKUP($C38,StrategiesSolutions[S&amp;S ID],StrategiesSolutions[Products / Services],""))</f>
        <v/>
      </c>
      <c r="E38" s="93"/>
      <c r="F38" s="93"/>
      <c r="G38" s="282" t="str">
        <f>IF($C38="","",_xlfn.XLOOKUP($C38,StrategiesSolutions[S&amp;S ID],StrategiesSolutions[Dependency],""))</f>
        <v/>
      </c>
      <c r="H38" s="281" t="str">
        <f>IF($C38="","",_xlfn.XLOOKUP($C38,StrategiesSolutions[S&amp;S ID],StrategiesSolutions[Risk Assumption],""))</f>
        <v/>
      </c>
      <c r="I38" s="281" t="str">
        <f>IF($C38="","",_xlfn.XLOOKUP($C38,StrategiesSolutions[S&amp;S ID],StrategiesSolutions[Disruption Scenario],""))</f>
        <v/>
      </c>
      <c r="J38" s="281" t="str">
        <f>IF($C38="","",_xlfn.XLOOKUP($C38,StrategiesSolutions[S&amp;S ID],StrategiesSolutions[Strategy],""))</f>
        <v/>
      </c>
      <c r="K38" s="281" t="str">
        <f>IF($C38="","",_xlfn.LET(_xlpm.x,_xlfn.XLOOKUP($C38,StrategiesSolutions[S&amp;S ID],StrategiesSolutions[Strategy Details / Do nothing Justification],""),IF(_xlpm.x=0,"",_xlpm.x)))</f>
        <v/>
      </c>
      <c r="L38" s="95"/>
      <c r="M38" s="95"/>
      <c r="N38" s="285"/>
      <c r="O38" s="283" t="str">
        <f t="shared" si="1"/>
        <v/>
      </c>
      <c r="P38" s="284" t="str">
        <f ca="1">IF($C38="","",_xlfn.LET(_xlpm.ssStatus,_xlfn.XLOOKUP($C38,StrategiesSolutions[S&amp;S ID],StrategiesSolutions[Status],""),IF($L38="","Not Scheduled",IF($M38="",IF($L38&lt;TODAY(),"Overdue","Scheduled"),IF($N38="","Result Required",IF(OR($E38="",$F38="",$Q38=""),"Incomplete Exercise",IF($N38="Fail","Failed",IF(OR(OR($N38="Pass with Findings",$N38="Pass with finding"),_xlpm.ssStatus&lt;&gt;"Completed"),"Pass with Findings","Passed"))))))))</f>
        <v/>
      </c>
      <c r="Q38" t="str">
        <f t="shared" si="2"/>
        <v/>
      </c>
    </row>
    <row r="39" spans="1:17" x14ac:dyDescent="0.35">
      <c r="A39" s="279">
        <v>34</v>
      </c>
      <c r="B39" s="280" t="str">
        <f t="shared" si="3"/>
        <v/>
      </c>
      <c r="C39" s="91"/>
      <c r="D39" s="281" t="str">
        <f>IF($C39="","",_xlfn.XLOOKUP($C39,StrategiesSolutions[S&amp;S ID],StrategiesSolutions[Products / Services],""))</f>
        <v/>
      </c>
      <c r="E39" s="93"/>
      <c r="F39" s="93"/>
      <c r="G39" s="282" t="str">
        <f>IF($C39="","",_xlfn.XLOOKUP($C39,StrategiesSolutions[S&amp;S ID],StrategiesSolutions[Dependency],""))</f>
        <v/>
      </c>
      <c r="H39" s="281" t="str">
        <f>IF($C39="","",_xlfn.XLOOKUP($C39,StrategiesSolutions[S&amp;S ID],StrategiesSolutions[Risk Assumption],""))</f>
        <v/>
      </c>
      <c r="I39" s="281" t="str">
        <f>IF($C39="","",_xlfn.XLOOKUP($C39,StrategiesSolutions[S&amp;S ID],StrategiesSolutions[Disruption Scenario],""))</f>
        <v/>
      </c>
      <c r="J39" s="281" t="str">
        <f>IF($C39="","",_xlfn.XLOOKUP($C39,StrategiesSolutions[S&amp;S ID],StrategiesSolutions[Strategy],""))</f>
        <v/>
      </c>
      <c r="K39" s="281" t="str">
        <f>IF($C39="","",_xlfn.LET(_xlpm.x,_xlfn.XLOOKUP($C39,StrategiesSolutions[S&amp;S ID],StrategiesSolutions[Strategy Details / Do nothing Justification],""),IF(_xlpm.x=0,"",_xlpm.x)))</f>
        <v/>
      </c>
      <c r="L39" s="95"/>
      <c r="M39" s="95"/>
      <c r="N39" s="285"/>
      <c r="O39" s="283" t="str">
        <f t="shared" si="1"/>
        <v/>
      </c>
      <c r="P39" s="284" t="str">
        <f ca="1">IF($C39="","",_xlfn.LET(_xlpm.ssStatus,_xlfn.XLOOKUP($C39,StrategiesSolutions[S&amp;S ID],StrategiesSolutions[Status],""),IF($L39="","Not Scheduled",IF($M39="",IF($L39&lt;TODAY(),"Overdue","Scheduled"),IF($N39="","Result Required",IF(OR($E39="",$F39="",$Q39=""),"Incomplete Exercise",IF($N39="Fail","Failed",IF(OR(OR($N39="Pass with Findings",$N39="Pass with finding"),_xlpm.ssStatus&lt;&gt;"Completed"),"Pass with Findings","Passed"))))))))</f>
        <v/>
      </c>
      <c r="Q39" t="str">
        <f t="shared" si="2"/>
        <v/>
      </c>
    </row>
    <row r="40" spans="1:17" x14ac:dyDescent="0.35">
      <c r="A40" s="279">
        <v>35</v>
      </c>
      <c r="B40" s="280" t="str">
        <f t="shared" si="3"/>
        <v/>
      </c>
      <c r="C40" s="91"/>
      <c r="D40" s="281" t="str">
        <f>IF($C40="","",_xlfn.XLOOKUP($C40,StrategiesSolutions[S&amp;S ID],StrategiesSolutions[Products / Services],""))</f>
        <v/>
      </c>
      <c r="E40" s="93"/>
      <c r="F40" s="93"/>
      <c r="G40" s="282" t="str">
        <f>IF($C40="","",_xlfn.XLOOKUP($C40,StrategiesSolutions[S&amp;S ID],StrategiesSolutions[Dependency],""))</f>
        <v/>
      </c>
      <c r="H40" s="281" t="str">
        <f>IF($C40="","",_xlfn.XLOOKUP($C40,StrategiesSolutions[S&amp;S ID],StrategiesSolutions[Risk Assumption],""))</f>
        <v/>
      </c>
      <c r="I40" s="281" t="str">
        <f>IF($C40="","",_xlfn.XLOOKUP($C40,StrategiesSolutions[S&amp;S ID],StrategiesSolutions[Disruption Scenario],""))</f>
        <v/>
      </c>
      <c r="J40" s="281" t="str">
        <f>IF($C40="","",_xlfn.XLOOKUP($C40,StrategiesSolutions[S&amp;S ID],StrategiesSolutions[Strategy],""))</f>
        <v/>
      </c>
      <c r="K40" s="281" t="str">
        <f>IF($C40="","",_xlfn.LET(_xlpm.x,_xlfn.XLOOKUP($C40,StrategiesSolutions[S&amp;S ID],StrategiesSolutions[Strategy Details / Do nothing Justification],""),IF(_xlpm.x=0,"",_xlpm.x)))</f>
        <v/>
      </c>
      <c r="L40" s="95"/>
      <c r="M40" s="95"/>
      <c r="N40" s="285"/>
      <c r="O40" s="283" t="str">
        <f t="shared" si="1"/>
        <v/>
      </c>
      <c r="P40" s="284" t="str">
        <f ca="1">IF($C40="","",_xlfn.LET(_xlpm.ssStatus,_xlfn.XLOOKUP($C40,StrategiesSolutions[S&amp;S ID],StrategiesSolutions[Status],""),IF($L40="","Not Scheduled",IF($M40="",IF($L40&lt;TODAY(),"Overdue","Scheduled"),IF($N40="","Result Required",IF(OR($E40="",$F40="",$Q40=""),"Incomplete Exercise",IF($N40="Fail","Failed",IF(OR(OR($N40="Pass with Findings",$N40="Pass with finding"),_xlpm.ssStatus&lt;&gt;"Completed"),"Pass with Findings","Passed"))))))))</f>
        <v/>
      </c>
      <c r="Q40" t="str">
        <f t="shared" si="2"/>
        <v/>
      </c>
    </row>
    <row r="41" spans="1:17" x14ac:dyDescent="0.35">
      <c r="A41" s="279">
        <v>36</v>
      </c>
      <c r="B41" s="280" t="str">
        <f t="shared" si="3"/>
        <v/>
      </c>
      <c r="C41" s="91"/>
      <c r="D41" s="281" t="str">
        <f>IF($C41="","",_xlfn.XLOOKUP($C41,StrategiesSolutions[S&amp;S ID],StrategiesSolutions[Products / Services],""))</f>
        <v/>
      </c>
      <c r="E41" s="93"/>
      <c r="F41" s="93"/>
      <c r="G41" s="282" t="str">
        <f>IF($C41="","",_xlfn.XLOOKUP($C41,StrategiesSolutions[S&amp;S ID],StrategiesSolutions[Dependency],""))</f>
        <v/>
      </c>
      <c r="H41" s="281" t="str">
        <f>IF($C41="","",_xlfn.XLOOKUP($C41,StrategiesSolutions[S&amp;S ID],StrategiesSolutions[Risk Assumption],""))</f>
        <v/>
      </c>
      <c r="I41" s="281" t="str">
        <f>IF($C41="","",_xlfn.XLOOKUP($C41,StrategiesSolutions[S&amp;S ID],StrategiesSolutions[Disruption Scenario],""))</f>
        <v/>
      </c>
      <c r="J41" s="281" t="str">
        <f>IF($C41="","",_xlfn.XLOOKUP($C41,StrategiesSolutions[S&amp;S ID],StrategiesSolutions[Strategy],""))</f>
        <v/>
      </c>
      <c r="K41" s="281" t="str">
        <f>IF($C41="","",_xlfn.LET(_xlpm.x,_xlfn.XLOOKUP($C41,StrategiesSolutions[S&amp;S ID],StrategiesSolutions[Strategy Details / Do nothing Justification],""),IF(_xlpm.x=0,"",_xlpm.x)))</f>
        <v/>
      </c>
      <c r="L41" s="95"/>
      <c r="M41" s="95"/>
      <c r="N41" s="285"/>
      <c r="O41" s="283" t="str">
        <f t="shared" si="1"/>
        <v/>
      </c>
      <c r="P41" s="284" t="str">
        <f ca="1">IF($C41="","",_xlfn.LET(_xlpm.ssStatus,_xlfn.XLOOKUP($C41,StrategiesSolutions[S&amp;S ID],StrategiesSolutions[Status],""),IF($L41="","Not Scheduled",IF($M41="",IF($L41&lt;TODAY(),"Overdue","Scheduled"),IF($N41="","Result Required",IF(OR($E41="",$F41="",$Q41=""),"Incomplete Exercise",IF($N41="Fail","Failed",IF(OR(OR($N41="Pass with Findings",$N41="Pass with finding"),_xlpm.ssStatus&lt;&gt;"Completed"),"Pass with Findings","Passed"))))))))</f>
        <v/>
      </c>
      <c r="Q41" t="str">
        <f t="shared" si="2"/>
        <v/>
      </c>
    </row>
    <row r="42" spans="1:17" x14ac:dyDescent="0.35">
      <c r="A42" s="279">
        <v>37</v>
      </c>
      <c r="B42" s="280" t="str">
        <f t="shared" si="3"/>
        <v/>
      </c>
      <c r="C42" s="91"/>
      <c r="D42" s="281" t="str">
        <f>IF($C42="","",_xlfn.XLOOKUP($C42,StrategiesSolutions[S&amp;S ID],StrategiesSolutions[Products / Services],""))</f>
        <v/>
      </c>
      <c r="E42" s="93"/>
      <c r="F42" s="93"/>
      <c r="G42" s="282" t="str">
        <f>IF($C42="","",_xlfn.XLOOKUP($C42,StrategiesSolutions[S&amp;S ID],StrategiesSolutions[Dependency],""))</f>
        <v/>
      </c>
      <c r="H42" s="281" t="str">
        <f>IF($C42="","",_xlfn.XLOOKUP($C42,StrategiesSolutions[S&amp;S ID],StrategiesSolutions[Risk Assumption],""))</f>
        <v/>
      </c>
      <c r="I42" s="281" t="str">
        <f>IF($C42="","",_xlfn.XLOOKUP($C42,StrategiesSolutions[S&amp;S ID],StrategiesSolutions[Disruption Scenario],""))</f>
        <v/>
      </c>
      <c r="J42" s="281" t="str">
        <f>IF($C42="","",_xlfn.XLOOKUP($C42,StrategiesSolutions[S&amp;S ID],StrategiesSolutions[Strategy],""))</f>
        <v/>
      </c>
      <c r="K42" s="281" t="str">
        <f>IF($C42="","",_xlfn.LET(_xlpm.x,_xlfn.XLOOKUP($C42,StrategiesSolutions[S&amp;S ID],StrategiesSolutions[Strategy Details / Do nothing Justification],""),IF(_xlpm.x=0,"",_xlpm.x)))</f>
        <v/>
      </c>
      <c r="L42" s="95"/>
      <c r="M42" s="95"/>
      <c r="N42" s="285"/>
      <c r="O42" s="283" t="str">
        <f t="shared" si="1"/>
        <v/>
      </c>
      <c r="P42" s="284" t="str">
        <f ca="1">IF($C42="","",_xlfn.LET(_xlpm.ssStatus,_xlfn.XLOOKUP($C42,StrategiesSolutions[S&amp;S ID],StrategiesSolutions[Status],""),IF($L42="","Not Scheduled",IF($M42="",IF($L42&lt;TODAY(),"Overdue","Scheduled"),IF($N42="","Result Required",IF(OR($E42="",$F42="",$Q42=""),"Incomplete Exercise",IF($N42="Fail","Failed",IF(OR(OR($N42="Pass with Findings",$N42="Pass with finding"),_xlpm.ssStatus&lt;&gt;"Completed"),"Pass with Findings","Passed"))))))))</f>
        <v/>
      </c>
      <c r="Q42" t="str">
        <f t="shared" si="2"/>
        <v/>
      </c>
    </row>
    <row r="43" spans="1:17" x14ac:dyDescent="0.35">
      <c r="A43" s="279">
        <v>38</v>
      </c>
      <c r="B43" s="280" t="str">
        <f t="shared" si="3"/>
        <v/>
      </c>
      <c r="C43" s="91"/>
      <c r="D43" s="281" t="str">
        <f>IF($C43="","",_xlfn.XLOOKUP($C43,StrategiesSolutions[S&amp;S ID],StrategiesSolutions[Products / Services],""))</f>
        <v/>
      </c>
      <c r="E43" s="93"/>
      <c r="F43" s="93"/>
      <c r="G43" s="282" t="str">
        <f>IF($C43="","",_xlfn.XLOOKUP($C43,StrategiesSolutions[S&amp;S ID],StrategiesSolutions[Dependency],""))</f>
        <v/>
      </c>
      <c r="H43" s="281" t="str">
        <f>IF($C43="","",_xlfn.XLOOKUP($C43,StrategiesSolutions[S&amp;S ID],StrategiesSolutions[Risk Assumption],""))</f>
        <v/>
      </c>
      <c r="I43" s="281" t="str">
        <f>IF($C43="","",_xlfn.XLOOKUP($C43,StrategiesSolutions[S&amp;S ID],StrategiesSolutions[Disruption Scenario],""))</f>
        <v/>
      </c>
      <c r="J43" s="281" t="str">
        <f>IF($C43="","",_xlfn.XLOOKUP($C43,StrategiesSolutions[S&amp;S ID],StrategiesSolutions[Strategy],""))</f>
        <v/>
      </c>
      <c r="K43" s="281" t="str">
        <f>IF($C43="","",_xlfn.LET(_xlpm.x,_xlfn.XLOOKUP($C43,StrategiesSolutions[S&amp;S ID],StrategiesSolutions[Strategy Details / Do nothing Justification],""),IF(_xlpm.x=0,"",_xlpm.x)))</f>
        <v/>
      </c>
      <c r="L43" s="95"/>
      <c r="M43" s="95"/>
      <c r="N43" s="285"/>
      <c r="O43" s="283" t="str">
        <f t="shared" si="1"/>
        <v/>
      </c>
      <c r="P43" s="284" t="str">
        <f ca="1">IF($C43="","",_xlfn.LET(_xlpm.ssStatus,_xlfn.XLOOKUP($C43,StrategiesSolutions[S&amp;S ID],StrategiesSolutions[Status],""),IF($L43="","Not Scheduled",IF($M43="",IF($L43&lt;TODAY(),"Overdue","Scheduled"),IF($N43="","Result Required",IF(OR($E43="",$F43="",$Q43=""),"Incomplete Exercise",IF($N43="Fail","Failed",IF(OR(OR($N43="Pass with Findings",$N43="Pass with finding"),_xlpm.ssStatus&lt;&gt;"Completed"),"Pass with Findings","Passed"))))))))</f>
        <v/>
      </c>
      <c r="Q43" t="str">
        <f t="shared" si="2"/>
        <v/>
      </c>
    </row>
    <row r="44" spans="1:17" x14ac:dyDescent="0.35">
      <c r="A44" s="279">
        <v>39</v>
      </c>
      <c r="B44" s="280" t="str">
        <f t="shared" si="3"/>
        <v/>
      </c>
      <c r="C44" s="91"/>
      <c r="D44" s="281" t="str">
        <f>IF($C44="","",_xlfn.XLOOKUP($C44,StrategiesSolutions[S&amp;S ID],StrategiesSolutions[Products / Services],""))</f>
        <v/>
      </c>
      <c r="E44" s="93"/>
      <c r="F44" s="93"/>
      <c r="G44" s="282" t="str">
        <f>IF($C44="","",_xlfn.XLOOKUP($C44,StrategiesSolutions[S&amp;S ID],StrategiesSolutions[Dependency],""))</f>
        <v/>
      </c>
      <c r="H44" s="281" t="str">
        <f>IF($C44="","",_xlfn.XLOOKUP($C44,StrategiesSolutions[S&amp;S ID],StrategiesSolutions[Risk Assumption],""))</f>
        <v/>
      </c>
      <c r="I44" s="281" t="str">
        <f>IF($C44="","",_xlfn.XLOOKUP($C44,StrategiesSolutions[S&amp;S ID],StrategiesSolutions[Disruption Scenario],""))</f>
        <v/>
      </c>
      <c r="J44" s="281" t="str">
        <f>IF($C44="","",_xlfn.XLOOKUP($C44,StrategiesSolutions[S&amp;S ID],StrategiesSolutions[Strategy],""))</f>
        <v/>
      </c>
      <c r="K44" s="281" t="str">
        <f>IF($C44="","",_xlfn.LET(_xlpm.x,_xlfn.XLOOKUP($C44,StrategiesSolutions[S&amp;S ID],StrategiesSolutions[Strategy Details / Do nothing Justification],""),IF(_xlpm.x=0,"",_xlpm.x)))</f>
        <v/>
      </c>
      <c r="L44" s="95"/>
      <c r="M44" s="95"/>
      <c r="N44" s="285"/>
      <c r="O44" s="283" t="str">
        <f t="shared" si="1"/>
        <v/>
      </c>
      <c r="P44" s="284" t="str">
        <f ca="1">IF($C44="","",_xlfn.LET(_xlpm.ssStatus,_xlfn.XLOOKUP($C44,StrategiesSolutions[S&amp;S ID],StrategiesSolutions[Status],""),IF($L44="","Not Scheduled",IF($M44="",IF($L44&lt;TODAY(),"Overdue","Scheduled"),IF($N44="","Result Required",IF(OR($E44="",$F44="",$Q44=""),"Incomplete Exercise",IF($N44="Fail","Failed",IF(OR(OR($N44="Pass with Findings",$N44="Pass with finding"),_xlpm.ssStatus&lt;&gt;"Completed"),"Pass with Findings","Passed"))))))))</f>
        <v/>
      </c>
      <c r="Q44" t="str">
        <f t="shared" si="2"/>
        <v/>
      </c>
    </row>
    <row r="45" spans="1:17" x14ac:dyDescent="0.35">
      <c r="A45" s="279">
        <v>40</v>
      </c>
      <c r="B45" s="280" t="str">
        <f t="shared" si="3"/>
        <v/>
      </c>
      <c r="C45" s="91"/>
      <c r="D45" s="281" t="str">
        <f>IF($C45="","",_xlfn.XLOOKUP($C45,StrategiesSolutions[S&amp;S ID],StrategiesSolutions[Products / Services],""))</f>
        <v/>
      </c>
      <c r="E45" s="93"/>
      <c r="F45" s="93"/>
      <c r="G45" s="282" t="str">
        <f>IF($C45="","",_xlfn.XLOOKUP($C45,StrategiesSolutions[S&amp;S ID],StrategiesSolutions[Dependency],""))</f>
        <v/>
      </c>
      <c r="H45" s="281" t="str">
        <f>IF($C45="","",_xlfn.XLOOKUP($C45,StrategiesSolutions[S&amp;S ID],StrategiesSolutions[Risk Assumption],""))</f>
        <v/>
      </c>
      <c r="I45" s="281" t="str">
        <f>IF($C45="","",_xlfn.XLOOKUP($C45,StrategiesSolutions[S&amp;S ID],StrategiesSolutions[Disruption Scenario],""))</f>
        <v/>
      </c>
      <c r="J45" s="281" t="str">
        <f>IF($C45="","",_xlfn.XLOOKUP($C45,StrategiesSolutions[S&amp;S ID],StrategiesSolutions[Strategy],""))</f>
        <v/>
      </c>
      <c r="K45" s="281" t="str">
        <f>IF($C45="","",_xlfn.LET(_xlpm.x,_xlfn.XLOOKUP($C45,StrategiesSolutions[S&amp;S ID],StrategiesSolutions[Strategy Details / Do nothing Justification],""),IF(_xlpm.x=0,"",_xlpm.x)))</f>
        <v/>
      </c>
      <c r="L45" s="95"/>
      <c r="M45" s="95"/>
      <c r="N45" s="285"/>
      <c r="O45" s="283" t="str">
        <f t="shared" si="1"/>
        <v/>
      </c>
      <c r="P45" s="284" t="str">
        <f ca="1">IF($C45="","",_xlfn.LET(_xlpm.ssStatus,_xlfn.XLOOKUP($C45,StrategiesSolutions[S&amp;S ID],StrategiesSolutions[Status],""),IF($L45="","Not Scheduled",IF($M45="",IF($L45&lt;TODAY(),"Overdue","Scheduled"),IF($N45="","Result Required",IF(OR($E45="",$F45="",$Q45=""),"Incomplete Exercise",IF($N45="Fail","Failed",IF(OR(OR($N45="Pass with Findings",$N45="Pass with finding"),_xlpm.ssStatus&lt;&gt;"Completed"),"Pass with Findings","Passed"))))))))</f>
        <v/>
      </c>
      <c r="Q45" t="str">
        <f t="shared" si="2"/>
        <v/>
      </c>
    </row>
    <row r="46" spans="1:17" x14ac:dyDescent="0.35">
      <c r="A46" s="279">
        <v>41</v>
      </c>
      <c r="B46" s="280" t="str">
        <f t="shared" si="3"/>
        <v/>
      </c>
      <c r="C46" s="92"/>
      <c r="D46" s="281" t="str">
        <f>IF($C46="","",_xlfn.XLOOKUP($C46,StrategiesSolutions[S&amp;S ID],StrategiesSolutions[Products / Services],""))</f>
        <v/>
      </c>
      <c r="E46" s="93"/>
      <c r="F46" s="93"/>
      <c r="G46" s="282" t="str">
        <f>IF($C46="","",_xlfn.XLOOKUP($C46,StrategiesSolutions[S&amp;S ID],StrategiesSolutions[Dependency],""))</f>
        <v/>
      </c>
      <c r="H46" s="281" t="str">
        <f>IF($C46="","",_xlfn.XLOOKUP($C46,StrategiesSolutions[S&amp;S ID],StrategiesSolutions[Risk Assumption],""))</f>
        <v/>
      </c>
      <c r="I46" s="281" t="str">
        <f>IF($C46="","",_xlfn.XLOOKUP($C46,StrategiesSolutions[S&amp;S ID],StrategiesSolutions[Disruption Scenario],""))</f>
        <v/>
      </c>
      <c r="J46" s="281" t="str">
        <f>IF($C46="","",_xlfn.XLOOKUP($C46,StrategiesSolutions[S&amp;S ID],StrategiesSolutions[Strategy],""))</f>
        <v/>
      </c>
      <c r="K46" s="281" t="str">
        <f>IF($C46="","",_xlfn.LET(_xlpm.x,_xlfn.XLOOKUP($C46,StrategiesSolutions[S&amp;S ID],StrategiesSolutions[Strategy Details / Do nothing Justification],""),IF(_xlpm.x=0,"",_xlpm.x)))</f>
        <v/>
      </c>
      <c r="L46" s="95"/>
      <c r="M46" s="95"/>
      <c r="N46" s="285"/>
      <c r="O46" s="283" t="str">
        <f t="shared" si="1"/>
        <v/>
      </c>
      <c r="P46" s="284" t="str">
        <f ca="1">IF($C46="","",_xlfn.LET(_xlpm.ssStatus,_xlfn.XLOOKUP($C46,StrategiesSolutions[S&amp;S ID],StrategiesSolutions[Status],""),IF($L46="","Not Scheduled",IF($M46="",IF($L46&lt;TODAY(),"Overdue","Scheduled"),IF($N46="","Result Required",IF(OR($E46="",$F46="",$Q46=""),"Incomplete Exercise",IF($N46="Fail","Failed",IF(OR(OR($N46="Pass with Findings",$N46="Pass with finding"),_xlpm.ssStatus&lt;&gt;"Completed"),"Pass with Findings","Passed"))))))))</f>
        <v/>
      </c>
      <c r="Q46" t="str">
        <f t="shared" si="2"/>
        <v/>
      </c>
    </row>
    <row r="47" spans="1:17" x14ac:dyDescent="0.35">
      <c r="A47" s="279">
        <v>42</v>
      </c>
      <c r="B47" s="280" t="str">
        <f t="shared" si="3"/>
        <v/>
      </c>
      <c r="C47" s="92"/>
      <c r="D47" s="281" t="str">
        <f>IF($C47="","",_xlfn.XLOOKUP($C47,StrategiesSolutions[S&amp;S ID],StrategiesSolutions[Products / Services],""))</f>
        <v/>
      </c>
      <c r="E47" s="93"/>
      <c r="F47" s="93"/>
      <c r="G47" s="282" t="str">
        <f>IF($C47="","",_xlfn.XLOOKUP($C47,StrategiesSolutions[S&amp;S ID],StrategiesSolutions[Dependency],""))</f>
        <v/>
      </c>
      <c r="H47" s="281" t="str">
        <f>IF($C47="","",_xlfn.XLOOKUP($C47,StrategiesSolutions[S&amp;S ID],StrategiesSolutions[Risk Assumption],""))</f>
        <v/>
      </c>
      <c r="I47" s="281" t="str">
        <f>IF($C47="","",_xlfn.XLOOKUP($C47,StrategiesSolutions[S&amp;S ID],StrategiesSolutions[Disruption Scenario],""))</f>
        <v/>
      </c>
      <c r="J47" s="281" t="str">
        <f>IF($C47="","",_xlfn.XLOOKUP($C47,StrategiesSolutions[S&amp;S ID],StrategiesSolutions[Strategy],""))</f>
        <v/>
      </c>
      <c r="K47" s="281" t="str">
        <f>IF($C47="","",_xlfn.LET(_xlpm.x,_xlfn.XLOOKUP($C47,StrategiesSolutions[S&amp;S ID],StrategiesSolutions[Strategy Details / Do nothing Justification],""),IF(_xlpm.x=0,"",_xlpm.x)))</f>
        <v/>
      </c>
      <c r="L47" s="95"/>
      <c r="M47" s="95"/>
      <c r="N47" s="285"/>
      <c r="O47" s="283" t="str">
        <f t="shared" si="1"/>
        <v/>
      </c>
      <c r="P47" s="284" t="str">
        <f ca="1">IF($C47="","",_xlfn.LET(_xlpm.ssStatus,_xlfn.XLOOKUP($C47,StrategiesSolutions[S&amp;S ID],StrategiesSolutions[Status],""),IF($L47="","Not Scheduled",IF($M47="",IF($L47&lt;TODAY(),"Overdue","Scheduled"),IF($N47="","Result Required",IF(OR($E47="",$F47="",$Q47=""),"Incomplete Exercise",IF($N47="Fail","Failed",IF(OR(OR($N47="Pass with Findings",$N47="Pass with finding"),_xlpm.ssStatus&lt;&gt;"Completed"),"Pass with Findings","Passed"))))))))</f>
        <v/>
      </c>
      <c r="Q47" t="str">
        <f t="shared" si="2"/>
        <v/>
      </c>
    </row>
    <row r="48" spans="1:17" x14ac:dyDescent="0.35">
      <c r="A48" s="279">
        <v>43</v>
      </c>
      <c r="B48" s="280" t="str">
        <f t="shared" si="3"/>
        <v/>
      </c>
      <c r="C48" s="92"/>
      <c r="D48" s="281" t="str">
        <f>IF($C48="","",_xlfn.XLOOKUP($C48,StrategiesSolutions[S&amp;S ID],StrategiesSolutions[Products / Services],""))</f>
        <v/>
      </c>
      <c r="E48" s="93"/>
      <c r="F48" s="93"/>
      <c r="G48" s="282" t="str">
        <f>IF($C48="","",_xlfn.XLOOKUP($C48,StrategiesSolutions[S&amp;S ID],StrategiesSolutions[Dependency],""))</f>
        <v/>
      </c>
      <c r="H48" s="281" t="str">
        <f>IF($C48="","",_xlfn.XLOOKUP($C48,StrategiesSolutions[S&amp;S ID],StrategiesSolutions[Risk Assumption],""))</f>
        <v/>
      </c>
      <c r="I48" s="281" t="str">
        <f>IF($C48="","",_xlfn.XLOOKUP($C48,StrategiesSolutions[S&amp;S ID],StrategiesSolutions[Disruption Scenario],""))</f>
        <v/>
      </c>
      <c r="J48" s="281" t="str">
        <f>IF($C48="","",_xlfn.XLOOKUP($C48,StrategiesSolutions[S&amp;S ID],StrategiesSolutions[Strategy],""))</f>
        <v/>
      </c>
      <c r="K48" s="281" t="str">
        <f>IF($C48="","",_xlfn.LET(_xlpm.x,_xlfn.XLOOKUP($C48,StrategiesSolutions[S&amp;S ID],StrategiesSolutions[Strategy Details / Do nothing Justification],""),IF(_xlpm.x=0,"",_xlpm.x)))</f>
        <v/>
      </c>
      <c r="L48" s="95"/>
      <c r="M48" s="95"/>
      <c r="N48" s="285"/>
      <c r="O48" s="283" t="str">
        <f t="shared" si="1"/>
        <v/>
      </c>
      <c r="P48" s="284" t="str">
        <f ca="1">IF($C48="","",_xlfn.LET(_xlpm.ssStatus,_xlfn.XLOOKUP($C48,StrategiesSolutions[S&amp;S ID],StrategiesSolutions[Status],""),IF($L48="","Not Scheduled",IF($M48="",IF($L48&lt;TODAY(),"Overdue","Scheduled"),IF($N48="","Result Required",IF(OR($E48="",$F48="",$Q48=""),"Incomplete Exercise",IF($N48="Fail","Failed",IF(OR(OR($N48="Pass with Findings",$N48="Pass with finding"),_xlpm.ssStatus&lt;&gt;"Completed"),"Pass with Findings","Passed"))))))))</f>
        <v/>
      </c>
      <c r="Q48" t="str">
        <f t="shared" si="2"/>
        <v/>
      </c>
    </row>
    <row r="49" spans="1:17" x14ac:dyDescent="0.35">
      <c r="A49" s="279">
        <v>44</v>
      </c>
      <c r="B49" s="280" t="str">
        <f t="shared" si="3"/>
        <v/>
      </c>
      <c r="C49" s="92"/>
      <c r="D49" s="281" t="str">
        <f>IF($C49="","",_xlfn.XLOOKUP($C49,StrategiesSolutions[S&amp;S ID],StrategiesSolutions[Products / Services],""))</f>
        <v/>
      </c>
      <c r="E49" s="93"/>
      <c r="F49" s="93"/>
      <c r="G49" s="282" t="str">
        <f>IF($C49="","",_xlfn.XLOOKUP($C49,StrategiesSolutions[S&amp;S ID],StrategiesSolutions[Dependency],""))</f>
        <v/>
      </c>
      <c r="H49" s="281" t="str">
        <f>IF($C49="","",_xlfn.XLOOKUP($C49,StrategiesSolutions[S&amp;S ID],StrategiesSolutions[Risk Assumption],""))</f>
        <v/>
      </c>
      <c r="I49" s="281" t="str">
        <f>IF($C49="","",_xlfn.XLOOKUP($C49,StrategiesSolutions[S&amp;S ID],StrategiesSolutions[Disruption Scenario],""))</f>
        <v/>
      </c>
      <c r="J49" s="281" t="str">
        <f>IF($C49="","",_xlfn.XLOOKUP($C49,StrategiesSolutions[S&amp;S ID],StrategiesSolutions[Strategy],""))</f>
        <v/>
      </c>
      <c r="K49" s="281" t="str">
        <f>IF($C49="","",_xlfn.LET(_xlpm.x,_xlfn.XLOOKUP($C49,StrategiesSolutions[S&amp;S ID],StrategiesSolutions[Strategy Details / Do nothing Justification],""),IF(_xlpm.x=0,"",_xlpm.x)))</f>
        <v/>
      </c>
      <c r="L49" s="95"/>
      <c r="M49" s="95"/>
      <c r="N49" s="285"/>
      <c r="O49" s="283" t="str">
        <f t="shared" si="1"/>
        <v/>
      </c>
      <c r="P49" s="284" t="str">
        <f ca="1">IF($C49="","",_xlfn.LET(_xlpm.ssStatus,_xlfn.XLOOKUP($C49,StrategiesSolutions[S&amp;S ID],StrategiesSolutions[Status],""),IF($L49="","Not Scheduled",IF($M49="",IF($L49&lt;TODAY(),"Overdue","Scheduled"),IF($N49="","Result Required",IF(OR($E49="",$F49="",$Q49=""),"Incomplete Exercise",IF($N49="Fail","Failed",IF(OR(OR($N49="Pass with Findings",$N49="Pass with finding"),_xlpm.ssStatus&lt;&gt;"Completed"),"Pass with Findings","Passed"))))))))</f>
        <v/>
      </c>
      <c r="Q49" t="str">
        <f t="shared" si="2"/>
        <v/>
      </c>
    </row>
    <row r="50" spans="1:17" x14ac:dyDescent="0.35">
      <c r="A50" s="279">
        <v>45</v>
      </c>
      <c r="B50" s="280" t="str">
        <f t="shared" si="3"/>
        <v/>
      </c>
      <c r="C50" s="92"/>
      <c r="D50" s="281" t="str">
        <f>IF($C50="","",_xlfn.XLOOKUP($C50,StrategiesSolutions[S&amp;S ID],StrategiesSolutions[Products / Services],""))</f>
        <v/>
      </c>
      <c r="E50" s="93"/>
      <c r="F50" s="93"/>
      <c r="G50" s="282" t="str">
        <f>IF($C50="","",_xlfn.XLOOKUP($C50,StrategiesSolutions[S&amp;S ID],StrategiesSolutions[Dependency],""))</f>
        <v/>
      </c>
      <c r="H50" s="281" t="str">
        <f>IF($C50="","",_xlfn.XLOOKUP($C50,StrategiesSolutions[S&amp;S ID],StrategiesSolutions[Risk Assumption],""))</f>
        <v/>
      </c>
      <c r="I50" s="281" t="str">
        <f>IF($C50="","",_xlfn.XLOOKUP($C50,StrategiesSolutions[S&amp;S ID],StrategiesSolutions[Disruption Scenario],""))</f>
        <v/>
      </c>
      <c r="J50" s="281" t="str">
        <f>IF($C50="","",_xlfn.XLOOKUP($C50,StrategiesSolutions[S&amp;S ID],StrategiesSolutions[Strategy],""))</f>
        <v/>
      </c>
      <c r="K50" s="281" t="str">
        <f>IF($C50="","",_xlfn.LET(_xlpm.x,_xlfn.XLOOKUP($C50,StrategiesSolutions[S&amp;S ID],StrategiesSolutions[Strategy Details / Do nothing Justification],""),IF(_xlpm.x=0,"",_xlpm.x)))</f>
        <v/>
      </c>
      <c r="L50" s="95"/>
      <c r="M50" s="95"/>
      <c r="N50" s="285"/>
      <c r="O50" s="283" t="str">
        <f t="shared" si="1"/>
        <v/>
      </c>
      <c r="P50" s="284" t="str">
        <f ca="1">IF($C50="","",_xlfn.LET(_xlpm.ssStatus,_xlfn.XLOOKUP($C50,StrategiesSolutions[S&amp;S ID],StrategiesSolutions[Status],""),IF($L50="","Not Scheduled",IF($M50="",IF($L50&lt;TODAY(),"Overdue","Scheduled"),IF($N50="","Result Required",IF(OR($E50="",$F50="",$Q50=""),"Incomplete Exercise",IF($N50="Fail","Failed",IF(OR(OR($N50="Pass with Findings",$N50="Pass with finding"),_xlpm.ssStatus&lt;&gt;"Completed"),"Pass with Findings","Passed"))))))))</f>
        <v/>
      </c>
      <c r="Q50" t="str">
        <f t="shared" si="2"/>
        <v/>
      </c>
    </row>
    <row r="51" spans="1:17" x14ac:dyDescent="0.35">
      <c r="A51" s="279">
        <v>46</v>
      </c>
      <c r="B51" s="280" t="str">
        <f t="shared" si="3"/>
        <v/>
      </c>
      <c r="C51" s="92"/>
      <c r="D51" s="281" t="str">
        <f>IF($C51="","",_xlfn.XLOOKUP($C51,StrategiesSolutions[S&amp;S ID],StrategiesSolutions[Products / Services],""))</f>
        <v/>
      </c>
      <c r="E51" s="93"/>
      <c r="F51" s="93"/>
      <c r="G51" s="282" t="str">
        <f>IF($C51="","",_xlfn.XLOOKUP($C51,StrategiesSolutions[S&amp;S ID],StrategiesSolutions[Dependency],""))</f>
        <v/>
      </c>
      <c r="H51" s="281" t="str">
        <f>IF($C51="","",_xlfn.XLOOKUP($C51,StrategiesSolutions[S&amp;S ID],StrategiesSolutions[Risk Assumption],""))</f>
        <v/>
      </c>
      <c r="I51" s="281" t="str">
        <f>IF($C51="","",_xlfn.XLOOKUP($C51,StrategiesSolutions[S&amp;S ID],StrategiesSolutions[Disruption Scenario],""))</f>
        <v/>
      </c>
      <c r="J51" s="281" t="str">
        <f>IF($C51="","",_xlfn.XLOOKUP($C51,StrategiesSolutions[S&amp;S ID],StrategiesSolutions[Strategy],""))</f>
        <v/>
      </c>
      <c r="K51" s="281" t="str">
        <f>IF($C51="","",_xlfn.LET(_xlpm.x,_xlfn.XLOOKUP($C51,StrategiesSolutions[S&amp;S ID],StrategiesSolutions[Strategy Details / Do nothing Justification],""),IF(_xlpm.x=0,"",_xlpm.x)))</f>
        <v/>
      </c>
      <c r="L51" s="95"/>
      <c r="M51" s="95"/>
      <c r="N51" s="285"/>
      <c r="O51" s="283" t="str">
        <f t="shared" si="1"/>
        <v/>
      </c>
      <c r="P51" s="284" t="str">
        <f ca="1">IF($C51="","",_xlfn.LET(_xlpm.ssStatus,_xlfn.XLOOKUP($C51,StrategiesSolutions[S&amp;S ID],StrategiesSolutions[Status],""),IF($L51="","Not Scheduled",IF($M51="",IF($L51&lt;TODAY(),"Overdue","Scheduled"),IF($N51="","Result Required",IF(OR($E51="",$F51="",$Q51=""),"Incomplete Exercise",IF($N51="Fail","Failed",IF(OR(OR($N51="Pass with Findings",$N51="Pass with finding"),_xlpm.ssStatus&lt;&gt;"Completed"),"Pass with Findings","Passed"))))))))</f>
        <v/>
      </c>
      <c r="Q51" t="str">
        <f t="shared" si="2"/>
        <v/>
      </c>
    </row>
    <row r="52" spans="1:17" x14ac:dyDescent="0.35">
      <c r="A52" s="279">
        <v>47</v>
      </c>
      <c r="B52" s="280" t="str">
        <f t="shared" si="3"/>
        <v/>
      </c>
      <c r="C52" s="92"/>
      <c r="D52" s="281" t="str">
        <f>IF($C52="","",_xlfn.XLOOKUP($C52,StrategiesSolutions[S&amp;S ID],StrategiesSolutions[Products / Services],""))</f>
        <v/>
      </c>
      <c r="E52" s="93"/>
      <c r="F52" s="93"/>
      <c r="G52" s="282" t="str">
        <f>IF($C52="","",_xlfn.XLOOKUP($C52,StrategiesSolutions[S&amp;S ID],StrategiesSolutions[Dependency],""))</f>
        <v/>
      </c>
      <c r="H52" s="281" t="str">
        <f>IF($C52="","",_xlfn.XLOOKUP($C52,StrategiesSolutions[S&amp;S ID],StrategiesSolutions[Risk Assumption],""))</f>
        <v/>
      </c>
      <c r="I52" s="281" t="str">
        <f>IF($C52="","",_xlfn.XLOOKUP($C52,StrategiesSolutions[S&amp;S ID],StrategiesSolutions[Disruption Scenario],""))</f>
        <v/>
      </c>
      <c r="J52" s="281" t="str">
        <f>IF($C52="","",_xlfn.XLOOKUP($C52,StrategiesSolutions[S&amp;S ID],StrategiesSolutions[Strategy],""))</f>
        <v/>
      </c>
      <c r="K52" s="281" t="str">
        <f>IF($C52="","",_xlfn.LET(_xlpm.x,_xlfn.XLOOKUP($C52,StrategiesSolutions[S&amp;S ID],StrategiesSolutions[Strategy Details / Do nothing Justification],""),IF(_xlpm.x=0,"",_xlpm.x)))</f>
        <v/>
      </c>
      <c r="L52" s="95"/>
      <c r="M52" s="95"/>
      <c r="N52" s="285"/>
      <c r="O52" s="283" t="str">
        <f t="shared" si="1"/>
        <v/>
      </c>
      <c r="P52" s="284" t="str">
        <f ca="1">IF($C52="","",_xlfn.LET(_xlpm.ssStatus,_xlfn.XLOOKUP($C52,StrategiesSolutions[S&amp;S ID],StrategiesSolutions[Status],""),IF($L52="","Not Scheduled",IF($M52="",IF($L52&lt;TODAY(),"Overdue","Scheduled"),IF($N52="","Result Required",IF(OR($E52="",$F52="",$Q52=""),"Incomplete Exercise",IF($N52="Fail","Failed",IF(OR(OR($N52="Pass with Findings",$N52="Pass with finding"),_xlpm.ssStatus&lt;&gt;"Completed"),"Pass with Findings","Passed"))))))))</f>
        <v/>
      </c>
      <c r="Q52" t="str">
        <f t="shared" si="2"/>
        <v/>
      </c>
    </row>
    <row r="53" spans="1:17" x14ac:dyDescent="0.35">
      <c r="A53" s="279">
        <v>48</v>
      </c>
      <c r="B53" s="280" t="str">
        <f t="shared" si="3"/>
        <v/>
      </c>
      <c r="C53" s="92"/>
      <c r="D53" s="281" t="str">
        <f>IF($C53="","",_xlfn.XLOOKUP($C53,StrategiesSolutions[S&amp;S ID],StrategiesSolutions[Products / Services],""))</f>
        <v/>
      </c>
      <c r="E53" s="93"/>
      <c r="F53" s="93"/>
      <c r="G53" s="282" t="str">
        <f>IF($C53="","",_xlfn.XLOOKUP($C53,StrategiesSolutions[S&amp;S ID],StrategiesSolutions[Dependency],""))</f>
        <v/>
      </c>
      <c r="H53" s="281" t="str">
        <f>IF($C53="","",_xlfn.XLOOKUP($C53,StrategiesSolutions[S&amp;S ID],StrategiesSolutions[Risk Assumption],""))</f>
        <v/>
      </c>
      <c r="I53" s="281" t="str">
        <f>IF($C53="","",_xlfn.XLOOKUP($C53,StrategiesSolutions[S&amp;S ID],StrategiesSolutions[Disruption Scenario],""))</f>
        <v/>
      </c>
      <c r="J53" s="281" t="str">
        <f>IF($C53="","",_xlfn.XLOOKUP($C53,StrategiesSolutions[S&amp;S ID],StrategiesSolutions[Strategy],""))</f>
        <v/>
      </c>
      <c r="K53" s="281" t="str">
        <f>IF($C53="","",_xlfn.LET(_xlpm.x,_xlfn.XLOOKUP($C53,StrategiesSolutions[S&amp;S ID],StrategiesSolutions[Strategy Details / Do nothing Justification],""),IF(_xlpm.x=0,"",_xlpm.x)))</f>
        <v/>
      </c>
      <c r="L53" s="95"/>
      <c r="M53" s="95"/>
      <c r="N53" s="285"/>
      <c r="O53" s="283" t="str">
        <f t="shared" si="1"/>
        <v/>
      </c>
      <c r="P53" s="284" t="str">
        <f ca="1">IF($C53="","",_xlfn.LET(_xlpm.ssStatus,_xlfn.XLOOKUP($C53,StrategiesSolutions[S&amp;S ID],StrategiesSolutions[Status],""),IF($L53="","Not Scheduled",IF($M53="",IF($L53&lt;TODAY(),"Overdue","Scheduled"),IF($N53="","Result Required",IF(OR($E53="",$F53="",$Q53=""),"Incomplete Exercise",IF($N53="Fail","Failed",IF(OR(OR($N53="Pass with Findings",$N53="Pass with finding"),_xlpm.ssStatus&lt;&gt;"Completed"),"Pass with Findings","Passed"))))))))</f>
        <v/>
      </c>
      <c r="Q53" t="str">
        <f t="shared" si="2"/>
        <v/>
      </c>
    </row>
    <row r="54" spans="1:17" x14ac:dyDescent="0.35">
      <c r="A54" s="279">
        <v>49</v>
      </c>
      <c r="B54" s="280" t="str">
        <f t="shared" si="3"/>
        <v/>
      </c>
      <c r="C54" s="92"/>
      <c r="D54" s="281" t="str">
        <f>IF($C54="","",_xlfn.XLOOKUP($C54,StrategiesSolutions[S&amp;S ID],StrategiesSolutions[Products / Services],""))</f>
        <v/>
      </c>
      <c r="E54" s="93"/>
      <c r="F54" s="93"/>
      <c r="G54" s="282" t="str">
        <f>IF($C54="","",_xlfn.XLOOKUP($C54,StrategiesSolutions[S&amp;S ID],StrategiesSolutions[Dependency],""))</f>
        <v/>
      </c>
      <c r="H54" s="281" t="str">
        <f>IF($C54="","",_xlfn.XLOOKUP($C54,StrategiesSolutions[S&amp;S ID],StrategiesSolutions[Risk Assumption],""))</f>
        <v/>
      </c>
      <c r="I54" s="281" t="str">
        <f>IF($C54="","",_xlfn.XLOOKUP($C54,StrategiesSolutions[S&amp;S ID],StrategiesSolutions[Disruption Scenario],""))</f>
        <v/>
      </c>
      <c r="J54" s="281" t="str">
        <f>IF($C54="","",_xlfn.XLOOKUP($C54,StrategiesSolutions[S&amp;S ID],StrategiesSolutions[Strategy],""))</f>
        <v/>
      </c>
      <c r="K54" s="281" t="str">
        <f>IF($C54="","",_xlfn.LET(_xlpm.x,_xlfn.XLOOKUP($C54,StrategiesSolutions[S&amp;S ID],StrategiesSolutions[Strategy Details / Do nothing Justification],""),IF(_xlpm.x=0,"",_xlpm.x)))</f>
        <v/>
      </c>
      <c r="L54" s="95"/>
      <c r="M54" s="95"/>
      <c r="N54" s="285"/>
      <c r="O54" s="283" t="str">
        <f t="shared" si="1"/>
        <v/>
      </c>
      <c r="P54" s="284" t="str">
        <f ca="1">IF($C54="","",_xlfn.LET(_xlpm.ssStatus,_xlfn.XLOOKUP($C54,StrategiesSolutions[S&amp;S ID],StrategiesSolutions[Status],""),IF($L54="","Not Scheduled",IF($M54="",IF($L54&lt;TODAY(),"Overdue","Scheduled"),IF($N54="","Result Required",IF(OR($E54="",$F54="",$Q54=""),"Incomplete Exercise",IF($N54="Fail","Failed",IF(OR(OR($N54="Pass with Findings",$N54="Pass with finding"),_xlpm.ssStatus&lt;&gt;"Completed"),"Pass with Findings","Passed"))))))))</f>
        <v/>
      </c>
      <c r="Q54" t="str">
        <f t="shared" si="2"/>
        <v/>
      </c>
    </row>
    <row r="55" spans="1:17" x14ac:dyDescent="0.35">
      <c r="A55" s="279">
        <v>50</v>
      </c>
      <c r="B55" s="280" t="str">
        <f t="shared" si="3"/>
        <v/>
      </c>
      <c r="C55" s="92"/>
      <c r="D55" s="281" t="str">
        <f>IF($C55="","",_xlfn.XLOOKUP($C55,StrategiesSolutions[S&amp;S ID],StrategiesSolutions[Products / Services],""))</f>
        <v/>
      </c>
      <c r="E55" s="93"/>
      <c r="F55" s="93"/>
      <c r="G55" s="282" t="str">
        <f>IF($C55="","",_xlfn.XLOOKUP($C55,StrategiesSolutions[S&amp;S ID],StrategiesSolutions[Dependency],""))</f>
        <v/>
      </c>
      <c r="H55" s="281" t="str">
        <f>IF($C55="","",_xlfn.XLOOKUP($C55,StrategiesSolutions[S&amp;S ID],StrategiesSolutions[Risk Assumption],""))</f>
        <v/>
      </c>
      <c r="I55" s="281" t="str">
        <f>IF($C55="","",_xlfn.XLOOKUP($C55,StrategiesSolutions[S&amp;S ID],StrategiesSolutions[Disruption Scenario],""))</f>
        <v/>
      </c>
      <c r="J55" s="281" t="str">
        <f>IF($C55="","",_xlfn.XLOOKUP($C55,StrategiesSolutions[S&amp;S ID],StrategiesSolutions[Strategy],""))</f>
        <v/>
      </c>
      <c r="K55" s="281" t="str">
        <f>IF($C55="","",_xlfn.LET(_xlpm.x,_xlfn.XLOOKUP($C55,StrategiesSolutions[S&amp;S ID],StrategiesSolutions[Strategy Details / Do nothing Justification],""),IF(_xlpm.x=0,"",_xlpm.x)))</f>
        <v/>
      </c>
      <c r="L55" s="95"/>
      <c r="M55" s="95"/>
      <c r="N55" s="285"/>
      <c r="O55" s="283" t="str">
        <f t="shared" si="1"/>
        <v/>
      </c>
      <c r="P55" s="284" t="str">
        <f ca="1">IF($C55="","",_xlfn.LET(_xlpm.ssStatus,_xlfn.XLOOKUP($C55,StrategiesSolutions[S&amp;S ID],StrategiesSolutions[Status],""),IF($L55="","Not Scheduled",IF($M55="",IF($L55&lt;TODAY(),"Overdue","Scheduled"),IF($N55="","Result Required",IF(OR($E55="",$F55="",$Q55=""),"Incomplete Exercise",IF($N55="Fail","Failed",IF(OR(OR($N55="Pass with Findings",$N55="Pass with finding"),_xlpm.ssStatus&lt;&gt;"Completed"),"Pass with Findings","Passed"))))))))</f>
        <v/>
      </c>
      <c r="Q55" t="str">
        <f t="shared" si="2"/>
        <v/>
      </c>
    </row>
    <row r="56" spans="1:17" x14ac:dyDescent="0.35">
      <c r="A56" s="279">
        <v>51</v>
      </c>
      <c r="B56" s="280" t="str">
        <f t="shared" si="3"/>
        <v/>
      </c>
      <c r="C56" s="92"/>
      <c r="D56" s="281" t="str">
        <f>IF($C56="","",_xlfn.XLOOKUP($C56,StrategiesSolutions[S&amp;S ID],StrategiesSolutions[Products / Services],""))</f>
        <v/>
      </c>
      <c r="E56" s="93"/>
      <c r="F56" s="93"/>
      <c r="G56" s="282" t="str">
        <f>IF($C56="","",_xlfn.XLOOKUP($C56,StrategiesSolutions[S&amp;S ID],StrategiesSolutions[Dependency],""))</f>
        <v/>
      </c>
      <c r="H56" s="281" t="str">
        <f>IF($C56="","",_xlfn.XLOOKUP($C56,StrategiesSolutions[S&amp;S ID],StrategiesSolutions[Risk Assumption],""))</f>
        <v/>
      </c>
      <c r="I56" s="281" t="str">
        <f>IF($C56="","",_xlfn.XLOOKUP($C56,StrategiesSolutions[S&amp;S ID],StrategiesSolutions[Disruption Scenario],""))</f>
        <v/>
      </c>
      <c r="J56" s="281" t="str">
        <f>IF($C56="","",_xlfn.XLOOKUP($C56,StrategiesSolutions[S&amp;S ID],StrategiesSolutions[Strategy],""))</f>
        <v/>
      </c>
      <c r="K56" s="281" t="str">
        <f>IF($C56="","",_xlfn.LET(_xlpm.x,_xlfn.XLOOKUP($C56,StrategiesSolutions[S&amp;S ID],StrategiesSolutions[Strategy Details / Do nothing Justification],""),IF(_xlpm.x=0,"",_xlpm.x)))</f>
        <v/>
      </c>
      <c r="L56" s="95"/>
      <c r="M56" s="95"/>
      <c r="N56" s="285"/>
      <c r="O56" s="283" t="str">
        <f t="shared" si="1"/>
        <v/>
      </c>
      <c r="P56" s="284" t="str">
        <f ca="1">IF($C56="","",_xlfn.LET(_xlpm.ssStatus,_xlfn.XLOOKUP($C56,StrategiesSolutions[S&amp;S ID],StrategiesSolutions[Status],""),IF($L56="","Not Scheduled",IF($M56="",IF($L56&lt;TODAY(),"Overdue","Scheduled"),IF($N56="","Result Required",IF(OR($E56="",$F56="",$Q56=""),"Incomplete Exercise",IF($N56="Fail","Failed",IF(OR(OR($N56="Pass with Findings",$N56="Pass with finding"),_xlpm.ssStatus&lt;&gt;"Completed"),"Pass with Findings","Passed"))))))))</f>
        <v/>
      </c>
      <c r="Q56" t="str">
        <f t="shared" si="2"/>
        <v/>
      </c>
    </row>
    <row r="57" spans="1:17" x14ac:dyDescent="0.35">
      <c r="A57" s="279">
        <v>52</v>
      </c>
      <c r="B57" s="280" t="str">
        <f t="shared" si="3"/>
        <v/>
      </c>
      <c r="C57" s="92"/>
      <c r="D57" s="281" t="str">
        <f>IF($C57="","",_xlfn.XLOOKUP($C57,StrategiesSolutions[S&amp;S ID],StrategiesSolutions[Products / Services],""))</f>
        <v/>
      </c>
      <c r="E57" s="93"/>
      <c r="F57" s="93"/>
      <c r="G57" s="282" t="str">
        <f>IF($C57="","",_xlfn.XLOOKUP($C57,StrategiesSolutions[S&amp;S ID],StrategiesSolutions[Dependency],""))</f>
        <v/>
      </c>
      <c r="H57" s="281" t="str">
        <f>IF($C57="","",_xlfn.XLOOKUP($C57,StrategiesSolutions[S&amp;S ID],StrategiesSolutions[Risk Assumption],""))</f>
        <v/>
      </c>
      <c r="I57" s="281" t="str">
        <f>IF($C57="","",_xlfn.XLOOKUP($C57,StrategiesSolutions[S&amp;S ID],StrategiesSolutions[Disruption Scenario],""))</f>
        <v/>
      </c>
      <c r="J57" s="281" t="str">
        <f>IF($C57="","",_xlfn.XLOOKUP($C57,StrategiesSolutions[S&amp;S ID],StrategiesSolutions[Strategy],""))</f>
        <v/>
      </c>
      <c r="K57" s="281" t="str">
        <f>IF($C57="","",_xlfn.LET(_xlpm.x,_xlfn.XLOOKUP($C57,StrategiesSolutions[S&amp;S ID],StrategiesSolutions[Strategy Details / Do nothing Justification],""),IF(_xlpm.x=0,"",_xlpm.x)))</f>
        <v/>
      </c>
      <c r="L57" s="95"/>
      <c r="M57" s="95"/>
      <c r="N57" s="285"/>
      <c r="O57" s="283" t="str">
        <f t="shared" si="1"/>
        <v/>
      </c>
      <c r="P57" s="284" t="str">
        <f ca="1">IF($C57="","",_xlfn.LET(_xlpm.ssStatus,_xlfn.XLOOKUP($C57,StrategiesSolutions[S&amp;S ID],StrategiesSolutions[Status],""),IF($L57="","Not Scheduled",IF($M57="",IF($L57&lt;TODAY(),"Overdue","Scheduled"),IF($N57="","Result Required",IF(OR($E57="",$F57="",$Q57=""),"Incomplete Exercise",IF($N57="Fail","Failed",IF(OR(OR($N57="Pass with Findings",$N57="Pass with finding"),_xlpm.ssStatus&lt;&gt;"Completed"),"Pass with Findings","Passed"))))))))</f>
        <v/>
      </c>
      <c r="Q57" t="str">
        <f t="shared" si="2"/>
        <v/>
      </c>
    </row>
    <row r="58" spans="1:17" x14ac:dyDescent="0.35">
      <c r="A58" s="279">
        <v>53</v>
      </c>
      <c r="B58" s="280" t="str">
        <f t="shared" si="3"/>
        <v/>
      </c>
      <c r="C58" s="92"/>
      <c r="D58" s="281" t="str">
        <f>IF($C58="","",_xlfn.XLOOKUP($C58,StrategiesSolutions[S&amp;S ID],StrategiesSolutions[Products / Services],""))</f>
        <v/>
      </c>
      <c r="E58" s="93"/>
      <c r="F58" s="93"/>
      <c r="G58" s="282" t="str">
        <f>IF($C58="","",_xlfn.XLOOKUP($C58,StrategiesSolutions[S&amp;S ID],StrategiesSolutions[Dependency],""))</f>
        <v/>
      </c>
      <c r="H58" s="281" t="str">
        <f>IF($C58="","",_xlfn.XLOOKUP($C58,StrategiesSolutions[S&amp;S ID],StrategiesSolutions[Risk Assumption],""))</f>
        <v/>
      </c>
      <c r="I58" s="281" t="str">
        <f>IF($C58="","",_xlfn.XLOOKUP($C58,StrategiesSolutions[S&amp;S ID],StrategiesSolutions[Disruption Scenario],""))</f>
        <v/>
      </c>
      <c r="J58" s="281" t="str">
        <f>IF($C58="","",_xlfn.XLOOKUP($C58,StrategiesSolutions[S&amp;S ID],StrategiesSolutions[Strategy],""))</f>
        <v/>
      </c>
      <c r="K58" s="281" t="str">
        <f>IF($C58="","",_xlfn.LET(_xlpm.x,_xlfn.XLOOKUP($C58,StrategiesSolutions[S&amp;S ID],StrategiesSolutions[Strategy Details / Do nothing Justification],""),IF(_xlpm.x=0,"",_xlpm.x)))</f>
        <v/>
      </c>
      <c r="L58" s="95"/>
      <c r="M58" s="95"/>
      <c r="N58" s="285"/>
      <c r="O58" s="283" t="str">
        <f t="shared" si="1"/>
        <v/>
      </c>
      <c r="P58" s="284" t="str">
        <f ca="1">IF($C58="","",_xlfn.LET(_xlpm.ssStatus,_xlfn.XLOOKUP($C58,StrategiesSolutions[S&amp;S ID],StrategiesSolutions[Status],""),IF($L58="","Not Scheduled",IF($M58="",IF($L58&lt;TODAY(),"Overdue","Scheduled"),IF($N58="","Result Required",IF(OR($E58="",$F58="",$Q58=""),"Incomplete Exercise",IF($N58="Fail","Failed",IF(OR(OR($N58="Pass with Findings",$N58="Pass with finding"),_xlpm.ssStatus&lt;&gt;"Completed"),"Pass with Findings","Passed"))))))))</f>
        <v/>
      </c>
      <c r="Q58" t="str">
        <f t="shared" si="2"/>
        <v/>
      </c>
    </row>
    <row r="59" spans="1:17" x14ac:dyDescent="0.35">
      <c r="A59" s="279">
        <v>54</v>
      </c>
      <c r="B59" s="280" t="str">
        <f t="shared" si="3"/>
        <v/>
      </c>
      <c r="C59" s="92"/>
      <c r="D59" s="281" t="str">
        <f>IF($C59="","",_xlfn.XLOOKUP($C59,StrategiesSolutions[S&amp;S ID],StrategiesSolutions[Products / Services],""))</f>
        <v/>
      </c>
      <c r="E59" s="93"/>
      <c r="F59" s="93"/>
      <c r="G59" s="282" t="str">
        <f>IF($C59="","",_xlfn.XLOOKUP($C59,StrategiesSolutions[S&amp;S ID],StrategiesSolutions[Dependency],""))</f>
        <v/>
      </c>
      <c r="H59" s="281" t="str">
        <f>IF($C59="","",_xlfn.XLOOKUP($C59,StrategiesSolutions[S&amp;S ID],StrategiesSolutions[Risk Assumption],""))</f>
        <v/>
      </c>
      <c r="I59" s="281" t="str">
        <f>IF($C59="","",_xlfn.XLOOKUP($C59,StrategiesSolutions[S&amp;S ID],StrategiesSolutions[Disruption Scenario],""))</f>
        <v/>
      </c>
      <c r="J59" s="281" t="str">
        <f>IF($C59="","",_xlfn.XLOOKUP($C59,StrategiesSolutions[S&amp;S ID],StrategiesSolutions[Strategy],""))</f>
        <v/>
      </c>
      <c r="K59" s="281" t="str">
        <f>IF($C59="","",_xlfn.LET(_xlpm.x,_xlfn.XLOOKUP($C59,StrategiesSolutions[S&amp;S ID],StrategiesSolutions[Strategy Details / Do nothing Justification],""),IF(_xlpm.x=0,"",_xlpm.x)))</f>
        <v/>
      </c>
      <c r="L59" s="95"/>
      <c r="M59" s="95"/>
      <c r="N59" s="285"/>
      <c r="O59" s="283" t="str">
        <f t="shared" si="1"/>
        <v/>
      </c>
      <c r="P59" s="284" t="str">
        <f ca="1">IF($C59="","",_xlfn.LET(_xlpm.ssStatus,_xlfn.XLOOKUP($C59,StrategiesSolutions[S&amp;S ID],StrategiesSolutions[Status],""),IF($L59="","Not Scheduled",IF($M59="",IF($L59&lt;TODAY(),"Overdue","Scheduled"),IF($N59="","Result Required",IF(OR($E59="",$F59="",$Q59=""),"Incomplete Exercise",IF($N59="Fail","Failed",IF(OR(OR($N59="Pass with Findings",$N59="Pass with finding"),_xlpm.ssStatus&lt;&gt;"Completed"),"Pass with Findings","Passed"))))))))</f>
        <v/>
      </c>
      <c r="Q59" t="str">
        <f t="shared" si="2"/>
        <v/>
      </c>
    </row>
    <row r="60" spans="1:17" x14ac:dyDescent="0.35">
      <c r="A60" s="279">
        <v>55</v>
      </c>
      <c r="B60" s="280" t="str">
        <f t="shared" si="3"/>
        <v/>
      </c>
      <c r="C60" s="92"/>
      <c r="D60" s="281" t="str">
        <f>IF($C60="","",_xlfn.XLOOKUP($C60,StrategiesSolutions[S&amp;S ID],StrategiesSolutions[Products / Services],""))</f>
        <v/>
      </c>
      <c r="E60" s="93"/>
      <c r="F60" s="93"/>
      <c r="G60" s="282" t="str">
        <f>IF($C60="","",_xlfn.XLOOKUP($C60,StrategiesSolutions[S&amp;S ID],StrategiesSolutions[Dependency],""))</f>
        <v/>
      </c>
      <c r="H60" s="281" t="str">
        <f>IF($C60="","",_xlfn.XLOOKUP($C60,StrategiesSolutions[S&amp;S ID],StrategiesSolutions[Risk Assumption],""))</f>
        <v/>
      </c>
      <c r="I60" s="281" t="str">
        <f>IF($C60="","",_xlfn.XLOOKUP($C60,StrategiesSolutions[S&amp;S ID],StrategiesSolutions[Disruption Scenario],""))</f>
        <v/>
      </c>
      <c r="J60" s="281" t="str">
        <f>IF($C60="","",_xlfn.XLOOKUP($C60,StrategiesSolutions[S&amp;S ID],StrategiesSolutions[Strategy],""))</f>
        <v/>
      </c>
      <c r="K60" s="281" t="str">
        <f>IF($C60="","",_xlfn.LET(_xlpm.x,_xlfn.XLOOKUP($C60,StrategiesSolutions[S&amp;S ID],StrategiesSolutions[Strategy Details / Do nothing Justification],""),IF(_xlpm.x=0,"",_xlpm.x)))</f>
        <v/>
      </c>
      <c r="L60" s="95"/>
      <c r="M60" s="95"/>
      <c r="N60" s="285"/>
      <c r="O60" s="283" t="str">
        <f t="shared" si="1"/>
        <v/>
      </c>
      <c r="P60" s="284" t="str">
        <f ca="1">IF($C60="","",_xlfn.LET(_xlpm.ssStatus,_xlfn.XLOOKUP($C60,StrategiesSolutions[S&amp;S ID],StrategiesSolutions[Status],""),IF($L60="","Not Scheduled",IF($M60="",IF($L60&lt;TODAY(),"Overdue","Scheduled"),IF($N60="","Result Required",IF(OR($E60="",$F60="",$Q60=""),"Incomplete Exercise",IF($N60="Fail","Failed",IF(OR(OR($N60="Pass with Findings",$N60="Pass with finding"),_xlpm.ssStatus&lt;&gt;"Completed"),"Pass with Findings","Passed"))))))))</f>
        <v/>
      </c>
      <c r="Q60" t="str">
        <f t="shared" si="2"/>
        <v/>
      </c>
    </row>
    <row r="61" spans="1:17" x14ac:dyDescent="0.35">
      <c r="A61" s="279">
        <v>56</v>
      </c>
      <c r="B61" s="280" t="str">
        <f t="shared" si="3"/>
        <v/>
      </c>
      <c r="C61" s="92"/>
      <c r="D61" s="281" t="str">
        <f>IF($C61="","",_xlfn.XLOOKUP($C61,StrategiesSolutions[S&amp;S ID],StrategiesSolutions[Products / Services],""))</f>
        <v/>
      </c>
      <c r="E61" s="93"/>
      <c r="F61" s="93"/>
      <c r="G61" s="282" t="str">
        <f>IF($C61="","",_xlfn.XLOOKUP($C61,StrategiesSolutions[S&amp;S ID],StrategiesSolutions[Dependency],""))</f>
        <v/>
      </c>
      <c r="H61" s="281" t="str">
        <f>IF($C61="","",_xlfn.XLOOKUP($C61,StrategiesSolutions[S&amp;S ID],StrategiesSolutions[Risk Assumption],""))</f>
        <v/>
      </c>
      <c r="I61" s="281" t="str">
        <f>IF($C61="","",_xlfn.XLOOKUP($C61,StrategiesSolutions[S&amp;S ID],StrategiesSolutions[Disruption Scenario],""))</f>
        <v/>
      </c>
      <c r="J61" s="281" t="str">
        <f>IF($C61="","",_xlfn.XLOOKUP($C61,StrategiesSolutions[S&amp;S ID],StrategiesSolutions[Strategy],""))</f>
        <v/>
      </c>
      <c r="K61" s="281" t="str">
        <f>IF($C61="","",_xlfn.LET(_xlpm.x,_xlfn.XLOOKUP($C61,StrategiesSolutions[S&amp;S ID],StrategiesSolutions[Strategy Details / Do nothing Justification],""),IF(_xlpm.x=0,"",_xlpm.x)))</f>
        <v/>
      </c>
      <c r="L61" s="95"/>
      <c r="M61" s="95"/>
      <c r="N61" s="285"/>
      <c r="O61" s="283" t="str">
        <f t="shared" si="1"/>
        <v/>
      </c>
      <c r="P61" s="284" t="str">
        <f ca="1">IF($C61="","",_xlfn.LET(_xlpm.ssStatus,_xlfn.XLOOKUP($C61,StrategiesSolutions[S&amp;S ID],StrategiesSolutions[Status],""),IF($L61="","Not Scheduled",IF($M61="",IF($L61&lt;TODAY(),"Overdue","Scheduled"),IF($N61="","Result Required",IF(OR($E61="",$F61="",$Q61=""),"Incomplete Exercise",IF($N61="Fail","Failed",IF(OR(OR($N61="Pass with Findings",$N61="Pass with finding"),_xlpm.ssStatus&lt;&gt;"Completed"),"Pass with Findings","Passed"))))))))</f>
        <v/>
      </c>
      <c r="Q61" t="str">
        <f t="shared" si="2"/>
        <v/>
      </c>
    </row>
    <row r="62" spans="1:17" x14ac:dyDescent="0.35">
      <c r="A62" s="279">
        <v>57</v>
      </c>
      <c r="B62" s="280" t="str">
        <f t="shared" si="3"/>
        <v/>
      </c>
      <c r="C62" s="92"/>
      <c r="D62" s="281" t="str">
        <f>IF($C62="","",_xlfn.XLOOKUP($C62,StrategiesSolutions[S&amp;S ID],StrategiesSolutions[Products / Services],""))</f>
        <v/>
      </c>
      <c r="E62" s="93"/>
      <c r="F62" s="93"/>
      <c r="G62" s="282" t="str">
        <f>IF($C62="","",_xlfn.XLOOKUP($C62,StrategiesSolutions[S&amp;S ID],StrategiesSolutions[Dependency],""))</f>
        <v/>
      </c>
      <c r="H62" s="281" t="str">
        <f>IF($C62="","",_xlfn.XLOOKUP($C62,StrategiesSolutions[S&amp;S ID],StrategiesSolutions[Risk Assumption],""))</f>
        <v/>
      </c>
      <c r="I62" s="281" t="str">
        <f>IF($C62="","",_xlfn.XLOOKUP($C62,StrategiesSolutions[S&amp;S ID],StrategiesSolutions[Disruption Scenario],""))</f>
        <v/>
      </c>
      <c r="J62" s="281" t="str">
        <f>IF($C62="","",_xlfn.XLOOKUP($C62,StrategiesSolutions[S&amp;S ID],StrategiesSolutions[Strategy],""))</f>
        <v/>
      </c>
      <c r="K62" s="281" t="str">
        <f>IF($C62="","",_xlfn.LET(_xlpm.x,_xlfn.XLOOKUP($C62,StrategiesSolutions[S&amp;S ID],StrategiesSolutions[Strategy Details / Do nothing Justification],""),IF(_xlpm.x=0,"",_xlpm.x)))</f>
        <v/>
      </c>
      <c r="L62" s="95"/>
      <c r="M62" s="95"/>
      <c r="N62" s="285"/>
      <c r="O62" s="283" t="str">
        <f t="shared" si="1"/>
        <v/>
      </c>
      <c r="P62" s="284" t="str">
        <f ca="1">IF($C62="","",_xlfn.LET(_xlpm.ssStatus,_xlfn.XLOOKUP($C62,StrategiesSolutions[S&amp;S ID],StrategiesSolutions[Status],""),IF($L62="","Not Scheduled",IF($M62="",IF($L62&lt;TODAY(),"Overdue","Scheduled"),IF($N62="","Result Required",IF(OR($E62="",$F62="",$Q62=""),"Incomplete Exercise",IF($N62="Fail","Failed",IF(OR(OR($N62="Pass with Findings",$N62="Pass with finding"),_xlpm.ssStatus&lt;&gt;"Completed"),"Pass with Findings","Passed"))))))))</f>
        <v/>
      </c>
      <c r="Q62" t="str">
        <f t="shared" si="2"/>
        <v/>
      </c>
    </row>
    <row r="63" spans="1:17" x14ac:dyDescent="0.35">
      <c r="A63" s="279">
        <v>58</v>
      </c>
      <c r="B63" s="280" t="str">
        <f t="shared" si="3"/>
        <v/>
      </c>
      <c r="C63" s="92"/>
      <c r="D63" s="281" t="str">
        <f>IF($C63="","",_xlfn.XLOOKUP($C63,StrategiesSolutions[S&amp;S ID],StrategiesSolutions[Products / Services],""))</f>
        <v/>
      </c>
      <c r="E63" s="93"/>
      <c r="F63" s="93"/>
      <c r="G63" s="282" t="str">
        <f>IF($C63="","",_xlfn.XLOOKUP($C63,StrategiesSolutions[S&amp;S ID],StrategiesSolutions[Dependency],""))</f>
        <v/>
      </c>
      <c r="H63" s="281" t="str">
        <f>IF($C63="","",_xlfn.XLOOKUP($C63,StrategiesSolutions[S&amp;S ID],StrategiesSolutions[Risk Assumption],""))</f>
        <v/>
      </c>
      <c r="I63" s="281" t="str">
        <f>IF($C63="","",_xlfn.XLOOKUP($C63,StrategiesSolutions[S&amp;S ID],StrategiesSolutions[Disruption Scenario],""))</f>
        <v/>
      </c>
      <c r="J63" s="281" t="str">
        <f>IF($C63="","",_xlfn.XLOOKUP($C63,StrategiesSolutions[S&amp;S ID],StrategiesSolutions[Strategy],""))</f>
        <v/>
      </c>
      <c r="K63" s="281" t="str">
        <f>IF($C63="","",_xlfn.LET(_xlpm.x,_xlfn.XLOOKUP($C63,StrategiesSolutions[S&amp;S ID],StrategiesSolutions[Strategy Details / Do nothing Justification],""),IF(_xlpm.x=0,"",_xlpm.x)))</f>
        <v/>
      </c>
      <c r="L63" s="95"/>
      <c r="M63" s="95"/>
      <c r="N63" s="285"/>
      <c r="O63" s="283" t="str">
        <f t="shared" si="1"/>
        <v/>
      </c>
      <c r="P63" s="284" t="str">
        <f ca="1">IF($C63="","",_xlfn.LET(_xlpm.ssStatus,_xlfn.XLOOKUP($C63,StrategiesSolutions[S&amp;S ID],StrategiesSolutions[Status],""),IF($L63="","Not Scheduled",IF($M63="",IF($L63&lt;TODAY(),"Overdue","Scheduled"),IF($N63="","Result Required",IF(OR($E63="",$F63="",$Q63=""),"Incomplete Exercise",IF($N63="Fail","Failed",IF(OR(OR($N63="Pass with Findings",$N63="Pass with finding"),_xlpm.ssStatus&lt;&gt;"Completed"),"Pass with Findings","Passed"))))))))</f>
        <v/>
      </c>
      <c r="Q63" t="str">
        <f t="shared" si="2"/>
        <v/>
      </c>
    </row>
    <row r="64" spans="1:17" x14ac:dyDescent="0.35">
      <c r="A64" s="279">
        <v>59</v>
      </c>
      <c r="B64" s="280" t="str">
        <f t="shared" si="3"/>
        <v/>
      </c>
      <c r="C64" s="92"/>
      <c r="D64" s="281" t="str">
        <f>IF($C64="","",_xlfn.XLOOKUP($C64,StrategiesSolutions[S&amp;S ID],StrategiesSolutions[Products / Services],""))</f>
        <v/>
      </c>
      <c r="E64" s="93"/>
      <c r="F64" s="93"/>
      <c r="G64" s="282" t="str">
        <f>IF($C64="","",_xlfn.XLOOKUP($C64,StrategiesSolutions[S&amp;S ID],StrategiesSolutions[Dependency],""))</f>
        <v/>
      </c>
      <c r="H64" s="281" t="str">
        <f>IF($C64="","",_xlfn.XLOOKUP($C64,StrategiesSolutions[S&amp;S ID],StrategiesSolutions[Risk Assumption],""))</f>
        <v/>
      </c>
      <c r="I64" s="281" t="str">
        <f>IF($C64="","",_xlfn.XLOOKUP($C64,StrategiesSolutions[S&amp;S ID],StrategiesSolutions[Disruption Scenario],""))</f>
        <v/>
      </c>
      <c r="J64" s="281" t="str">
        <f>IF($C64="","",_xlfn.XLOOKUP($C64,StrategiesSolutions[S&amp;S ID],StrategiesSolutions[Strategy],""))</f>
        <v/>
      </c>
      <c r="K64" s="281" t="str">
        <f>IF($C64="","",_xlfn.LET(_xlpm.x,_xlfn.XLOOKUP($C64,StrategiesSolutions[S&amp;S ID],StrategiesSolutions[Strategy Details / Do nothing Justification],""),IF(_xlpm.x=0,"",_xlpm.x)))</f>
        <v/>
      </c>
      <c r="L64" s="95"/>
      <c r="M64" s="95"/>
      <c r="N64" s="285"/>
      <c r="O64" s="283" t="str">
        <f t="shared" si="1"/>
        <v/>
      </c>
      <c r="P64" s="284" t="str">
        <f ca="1">IF($C64="","",_xlfn.LET(_xlpm.ssStatus,_xlfn.XLOOKUP($C64,StrategiesSolutions[S&amp;S ID],StrategiesSolutions[Status],""),IF($L64="","Not Scheduled",IF($M64="",IF($L64&lt;TODAY(),"Overdue","Scheduled"),IF($N64="","Result Required",IF(OR($E64="",$F64="",$Q64=""),"Incomplete Exercise",IF($N64="Fail","Failed",IF(OR(OR($N64="Pass with Findings",$N64="Pass with finding"),_xlpm.ssStatus&lt;&gt;"Completed"),"Pass with Findings","Passed"))))))))</f>
        <v/>
      </c>
      <c r="Q64" t="str">
        <f t="shared" si="2"/>
        <v/>
      </c>
    </row>
    <row r="65" spans="1:17" x14ac:dyDescent="0.35">
      <c r="A65" s="279">
        <v>60</v>
      </c>
      <c r="B65" s="280" t="str">
        <f t="shared" si="3"/>
        <v/>
      </c>
      <c r="C65" s="92"/>
      <c r="D65" s="281" t="str">
        <f>IF($C65="","",_xlfn.XLOOKUP($C65,StrategiesSolutions[S&amp;S ID],StrategiesSolutions[Products / Services],""))</f>
        <v/>
      </c>
      <c r="E65" s="93"/>
      <c r="F65" s="93"/>
      <c r="G65" s="282" t="str">
        <f>IF($C65="","",_xlfn.XLOOKUP($C65,StrategiesSolutions[S&amp;S ID],StrategiesSolutions[Dependency],""))</f>
        <v/>
      </c>
      <c r="H65" s="281" t="str">
        <f>IF($C65="","",_xlfn.XLOOKUP($C65,StrategiesSolutions[S&amp;S ID],StrategiesSolutions[Risk Assumption],""))</f>
        <v/>
      </c>
      <c r="I65" s="281" t="str">
        <f>IF($C65="","",_xlfn.XLOOKUP($C65,StrategiesSolutions[S&amp;S ID],StrategiesSolutions[Disruption Scenario],""))</f>
        <v/>
      </c>
      <c r="J65" s="281" t="str">
        <f>IF($C65="","",_xlfn.XLOOKUP($C65,StrategiesSolutions[S&amp;S ID],StrategiesSolutions[Strategy],""))</f>
        <v/>
      </c>
      <c r="K65" s="281" t="str">
        <f>IF($C65="","",_xlfn.LET(_xlpm.x,_xlfn.XLOOKUP($C65,StrategiesSolutions[S&amp;S ID],StrategiesSolutions[Strategy Details / Do nothing Justification],""),IF(_xlpm.x=0,"",_xlpm.x)))</f>
        <v/>
      </c>
      <c r="L65" s="95"/>
      <c r="M65" s="95"/>
      <c r="N65" s="285"/>
      <c r="O65" s="283" t="str">
        <f t="shared" si="1"/>
        <v/>
      </c>
      <c r="P65" s="284" t="str">
        <f ca="1">IF($C65="","",_xlfn.LET(_xlpm.ssStatus,_xlfn.XLOOKUP($C65,StrategiesSolutions[S&amp;S ID],StrategiesSolutions[Status],""),IF($L65="","Not Scheduled",IF($M65="",IF($L65&lt;TODAY(),"Overdue","Scheduled"),IF($N65="","Result Required",IF(OR($E65="",$F65="",$Q65=""),"Incomplete Exercise",IF($N65="Fail","Failed",IF(OR(OR($N65="Pass with Findings",$N65="Pass with finding"),_xlpm.ssStatus&lt;&gt;"Completed"),"Pass with Findings","Passed"))))))))</f>
        <v/>
      </c>
      <c r="Q65" t="str">
        <f t="shared" si="2"/>
        <v/>
      </c>
    </row>
    <row r="66" spans="1:17" x14ac:dyDescent="0.35">
      <c r="A66" s="279">
        <v>61</v>
      </c>
      <c r="B66" s="280" t="str">
        <f t="shared" si="3"/>
        <v/>
      </c>
      <c r="C66" s="92"/>
      <c r="D66" s="281" t="str">
        <f>IF($C66="","",_xlfn.XLOOKUP($C66,StrategiesSolutions[S&amp;S ID],StrategiesSolutions[Products / Services],""))</f>
        <v/>
      </c>
      <c r="E66" s="93"/>
      <c r="F66" s="93"/>
      <c r="G66" s="282" t="str">
        <f>IF($C66="","",_xlfn.XLOOKUP($C66,StrategiesSolutions[S&amp;S ID],StrategiesSolutions[Dependency],""))</f>
        <v/>
      </c>
      <c r="H66" s="281" t="str">
        <f>IF($C66="","",_xlfn.XLOOKUP($C66,StrategiesSolutions[S&amp;S ID],StrategiesSolutions[Risk Assumption],""))</f>
        <v/>
      </c>
      <c r="I66" s="281" t="str">
        <f>IF($C66="","",_xlfn.XLOOKUP($C66,StrategiesSolutions[S&amp;S ID],StrategiesSolutions[Disruption Scenario],""))</f>
        <v/>
      </c>
      <c r="J66" s="281" t="str">
        <f>IF($C66="","",_xlfn.XLOOKUP($C66,StrategiesSolutions[S&amp;S ID],StrategiesSolutions[Strategy],""))</f>
        <v/>
      </c>
      <c r="K66" s="281" t="str">
        <f>IF($C66="","",_xlfn.LET(_xlpm.x,_xlfn.XLOOKUP($C66,StrategiesSolutions[S&amp;S ID],StrategiesSolutions[Strategy Details / Do nothing Justification],""),IF(_xlpm.x=0,"",_xlpm.x)))</f>
        <v/>
      </c>
      <c r="L66" s="95"/>
      <c r="M66" s="95"/>
      <c r="N66" s="285"/>
      <c r="O66" s="283" t="str">
        <f t="shared" si="1"/>
        <v/>
      </c>
      <c r="P66" s="284" t="str">
        <f ca="1">IF($C66="","",_xlfn.LET(_xlpm.ssStatus,_xlfn.XLOOKUP($C66,StrategiesSolutions[S&amp;S ID],StrategiesSolutions[Status],""),IF($L66="","Not Scheduled",IF($M66="",IF($L66&lt;TODAY(),"Overdue","Scheduled"),IF($N66="","Result Required",IF(OR($E66="",$F66="",$Q66=""),"Incomplete Exercise",IF($N66="Fail","Failed",IF(OR(OR($N66="Pass with Findings",$N66="Pass with finding"),_xlpm.ssStatus&lt;&gt;"Completed"),"Pass with Findings","Passed"))))))))</f>
        <v/>
      </c>
      <c r="Q66" t="str">
        <f t="shared" si="2"/>
        <v/>
      </c>
    </row>
    <row r="67" spans="1:17" x14ac:dyDescent="0.35">
      <c r="A67" s="279">
        <v>62</v>
      </c>
      <c r="B67" s="280" t="str">
        <f t="shared" si="3"/>
        <v/>
      </c>
      <c r="C67" s="92"/>
      <c r="D67" s="281" t="str">
        <f>IF($C67="","",_xlfn.XLOOKUP($C67,StrategiesSolutions[S&amp;S ID],StrategiesSolutions[Products / Services],""))</f>
        <v/>
      </c>
      <c r="E67" s="93"/>
      <c r="F67" s="93"/>
      <c r="G67" s="282" t="str">
        <f>IF($C67="","",_xlfn.XLOOKUP($C67,StrategiesSolutions[S&amp;S ID],StrategiesSolutions[Dependency],""))</f>
        <v/>
      </c>
      <c r="H67" s="281" t="str">
        <f>IF($C67="","",_xlfn.XLOOKUP($C67,StrategiesSolutions[S&amp;S ID],StrategiesSolutions[Risk Assumption],""))</f>
        <v/>
      </c>
      <c r="I67" s="281" t="str">
        <f>IF($C67="","",_xlfn.XLOOKUP($C67,StrategiesSolutions[S&amp;S ID],StrategiesSolutions[Disruption Scenario],""))</f>
        <v/>
      </c>
      <c r="J67" s="281" t="str">
        <f>IF($C67="","",_xlfn.XLOOKUP($C67,StrategiesSolutions[S&amp;S ID],StrategiesSolutions[Strategy],""))</f>
        <v/>
      </c>
      <c r="K67" s="281" t="str">
        <f>IF($C67="","",_xlfn.LET(_xlpm.x,_xlfn.XLOOKUP($C67,StrategiesSolutions[S&amp;S ID],StrategiesSolutions[Strategy Details / Do nothing Justification],""),IF(_xlpm.x=0,"",_xlpm.x)))</f>
        <v/>
      </c>
      <c r="L67" s="95"/>
      <c r="M67" s="95"/>
      <c r="N67" s="285"/>
      <c r="O67" s="283" t="str">
        <f t="shared" si="1"/>
        <v/>
      </c>
      <c r="P67" s="284" t="str">
        <f ca="1">IF($C67="","",_xlfn.LET(_xlpm.ssStatus,_xlfn.XLOOKUP($C67,StrategiesSolutions[S&amp;S ID],StrategiesSolutions[Status],""),IF($L67="","Not Scheduled",IF($M67="",IF($L67&lt;TODAY(),"Overdue","Scheduled"),IF($N67="","Result Required",IF(OR($E67="",$F67="",$Q67=""),"Incomplete Exercise",IF($N67="Fail","Failed",IF(OR(OR($N67="Pass with Findings",$N67="Pass with finding"),_xlpm.ssStatus&lt;&gt;"Completed"),"Pass with Findings","Passed"))))))))</f>
        <v/>
      </c>
      <c r="Q67" t="str">
        <f t="shared" si="2"/>
        <v/>
      </c>
    </row>
    <row r="68" spans="1:17" x14ac:dyDescent="0.35">
      <c r="A68" s="279">
        <v>63</v>
      </c>
      <c r="B68" s="280" t="str">
        <f t="shared" si="3"/>
        <v/>
      </c>
      <c r="C68" s="92"/>
      <c r="D68" s="281" t="str">
        <f>IF($C68="","",_xlfn.XLOOKUP($C68,StrategiesSolutions[S&amp;S ID],StrategiesSolutions[Products / Services],""))</f>
        <v/>
      </c>
      <c r="E68" s="93"/>
      <c r="F68" s="93"/>
      <c r="G68" s="282" t="str">
        <f>IF($C68="","",_xlfn.XLOOKUP($C68,StrategiesSolutions[S&amp;S ID],StrategiesSolutions[Dependency],""))</f>
        <v/>
      </c>
      <c r="H68" s="281" t="str">
        <f>IF($C68="","",_xlfn.XLOOKUP($C68,StrategiesSolutions[S&amp;S ID],StrategiesSolutions[Risk Assumption],""))</f>
        <v/>
      </c>
      <c r="I68" s="281" t="str">
        <f>IF($C68="","",_xlfn.XLOOKUP($C68,StrategiesSolutions[S&amp;S ID],StrategiesSolutions[Disruption Scenario],""))</f>
        <v/>
      </c>
      <c r="J68" s="281" t="str">
        <f>IF($C68="","",_xlfn.XLOOKUP($C68,StrategiesSolutions[S&amp;S ID],StrategiesSolutions[Strategy],""))</f>
        <v/>
      </c>
      <c r="K68" s="281" t="str">
        <f>IF($C68="","",_xlfn.LET(_xlpm.x,_xlfn.XLOOKUP($C68,StrategiesSolutions[S&amp;S ID],StrategiesSolutions[Strategy Details / Do nothing Justification],""),IF(_xlpm.x=0,"",_xlpm.x)))</f>
        <v/>
      </c>
      <c r="L68" s="95"/>
      <c r="M68" s="95"/>
      <c r="N68" s="285"/>
      <c r="O68" s="283" t="str">
        <f t="shared" si="1"/>
        <v/>
      </c>
      <c r="P68" s="284" t="str">
        <f ca="1">IF($C68="","",_xlfn.LET(_xlpm.ssStatus,_xlfn.XLOOKUP($C68,StrategiesSolutions[S&amp;S ID],StrategiesSolutions[Status],""),IF($L68="","Not Scheduled",IF($M68="",IF($L68&lt;TODAY(),"Overdue","Scheduled"),IF($N68="","Result Required",IF(OR($E68="",$F68="",$Q68=""),"Incomplete Exercise",IF($N68="Fail","Failed",IF(OR(OR($N68="Pass with Findings",$N68="Pass with finding"),_xlpm.ssStatus&lt;&gt;"Completed"),"Pass with Findings","Passed"))))))))</f>
        <v/>
      </c>
      <c r="Q68" t="str">
        <f t="shared" si="2"/>
        <v/>
      </c>
    </row>
    <row r="69" spans="1:17" x14ac:dyDescent="0.35">
      <c r="A69" s="279">
        <v>64</v>
      </c>
      <c r="B69" s="280" t="str">
        <f t="shared" si="3"/>
        <v/>
      </c>
      <c r="C69" s="92"/>
      <c r="D69" s="281" t="str">
        <f>IF($C69="","",_xlfn.XLOOKUP($C69,StrategiesSolutions[S&amp;S ID],StrategiesSolutions[Products / Services],""))</f>
        <v/>
      </c>
      <c r="E69" s="93"/>
      <c r="F69" s="93"/>
      <c r="G69" s="282" t="str">
        <f>IF($C69="","",_xlfn.XLOOKUP($C69,StrategiesSolutions[S&amp;S ID],StrategiesSolutions[Dependency],""))</f>
        <v/>
      </c>
      <c r="H69" s="281" t="str">
        <f>IF($C69="","",_xlfn.XLOOKUP($C69,StrategiesSolutions[S&amp;S ID],StrategiesSolutions[Risk Assumption],""))</f>
        <v/>
      </c>
      <c r="I69" s="281" t="str">
        <f>IF($C69="","",_xlfn.XLOOKUP($C69,StrategiesSolutions[S&amp;S ID],StrategiesSolutions[Disruption Scenario],""))</f>
        <v/>
      </c>
      <c r="J69" s="281" t="str">
        <f>IF($C69="","",_xlfn.XLOOKUP($C69,StrategiesSolutions[S&amp;S ID],StrategiesSolutions[Strategy],""))</f>
        <v/>
      </c>
      <c r="K69" s="281" t="str">
        <f>IF($C69="","",_xlfn.LET(_xlpm.x,_xlfn.XLOOKUP($C69,StrategiesSolutions[S&amp;S ID],StrategiesSolutions[Strategy Details / Do nothing Justification],""),IF(_xlpm.x=0,"",_xlpm.x)))</f>
        <v/>
      </c>
      <c r="L69" s="95"/>
      <c r="M69" s="95"/>
      <c r="N69" s="285"/>
      <c r="O69" s="283" t="str">
        <f t="shared" si="1"/>
        <v/>
      </c>
      <c r="P69" s="284" t="str">
        <f ca="1">IF($C69="","",_xlfn.LET(_xlpm.ssStatus,_xlfn.XLOOKUP($C69,StrategiesSolutions[S&amp;S ID],StrategiesSolutions[Status],""),IF($L69="","Not Scheduled",IF($M69="",IF($L69&lt;TODAY(),"Overdue","Scheduled"),IF($N69="","Result Required",IF(OR($E69="",$F69="",$Q69=""),"Incomplete Exercise",IF($N69="Fail","Failed",IF(OR(OR($N69="Pass with Findings",$N69="Pass with finding"),_xlpm.ssStatus&lt;&gt;"Completed"),"Pass with Findings","Passed"))))))))</f>
        <v/>
      </c>
      <c r="Q69" t="str">
        <f t="shared" si="2"/>
        <v/>
      </c>
    </row>
    <row r="70" spans="1:17" x14ac:dyDescent="0.35">
      <c r="A70" s="279">
        <v>65</v>
      </c>
      <c r="B70" s="280" t="str">
        <f t="shared" ref="B70:B105" si="4">IF($C70="","","RR-"&amp;TEXT($A70,"000"))</f>
        <v/>
      </c>
      <c r="C70" s="92"/>
      <c r="D70" s="281" t="str">
        <f>IF($C70="","",_xlfn.XLOOKUP($C70,StrategiesSolutions[S&amp;S ID],StrategiesSolutions[Products / Services],""))</f>
        <v/>
      </c>
      <c r="E70" s="93"/>
      <c r="F70" s="93"/>
      <c r="G70" s="282" t="str">
        <f>IF($C70="","",_xlfn.XLOOKUP($C70,StrategiesSolutions[S&amp;S ID],StrategiesSolutions[Dependency],""))</f>
        <v/>
      </c>
      <c r="H70" s="281" t="str">
        <f>IF($C70="","",_xlfn.XLOOKUP($C70,StrategiesSolutions[S&amp;S ID],StrategiesSolutions[Risk Assumption],""))</f>
        <v/>
      </c>
      <c r="I70" s="281" t="str">
        <f>IF($C70="","",_xlfn.XLOOKUP($C70,StrategiesSolutions[S&amp;S ID],StrategiesSolutions[Disruption Scenario],""))</f>
        <v/>
      </c>
      <c r="J70" s="281" t="str">
        <f>IF($C70="","",_xlfn.XLOOKUP($C70,StrategiesSolutions[S&amp;S ID],StrategiesSolutions[Strategy],""))</f>
        <v/>
      </c>
      <c r="K70" s="281" t="str">
        <f>IF($C70="","",_xlfn.LET(_xlpm.x,_xlfn.XLOOKUP($C70,StrategiesSolutions[S&amp;S ID],StrategiesSolutions[Strategy Details / Do nothing Justification],""),IF(_xlpm.x=0,"",_xlpm.x)))</f>
        <v/>
      </c>
      <c r="L70" s="95"/>
      <c r="M70" s="95"/>
      <c r="N70" s="285"/>
      <c r="O70" s="283" t="str">
        <f t="shared" si="1"/>
        <v/>
      </c>
      <c r="P70" s="284" t="str">
        <f ca="1">IF($C70="","",_xlfn.LET(_xlpm.ssStatus,_xlfn.XLOOKUP($C70,StrategiesSolutions[S&amp;S ID],StrategiesSolutions[Status],""),IF($L70="","Not Scheduled",IF($M70="",IF($L70&lt;TODAY(),"Overdue","Scheduled"),IF($N70="","Result Required",IF(OR($E70="",$F70="",$Q70=""),"Incomplete Exercise",IF($N70="Fail","Failed",IF(OR(OR($N70="Pass with Findings",$N70="Pass with finding"),_xlpm.ssStatus&lt;&gt;"Completed"),"Pass with Findings","Passed"))))))))</f>
        <v/>
      </c>
      <c r="Q70" t="str">
        <f t="shared" si="2"/>
        <v/>
      </c>
    </row>
    <row r="71" spans="1:17" x14ac:dyDescent="0.35">
      <c r="A71" s="279">
        <v>66</v>
      </c>
      <c r="B71" s="280" t="str">
        <f t="shared" si="4"/>
        <v/>
      </c>
      <c r="C71" s="92"/>
      <c r="D71" s="281" t="str">
        <f>IF($C71="","",_xlfn.XLOOKUP($C71,StrategiesSolutions[S&amp;S ID],StrategiesSolutions[Products / Services],""))</f>
        <v/>
      </c>
      <c r="E71" s="93"/>
      <c r="F71" s="93"/>
      <c r="G71" s="282" t="str">
        <f>IF($C71="","",_xlfn.XLOOKUP($C71,StrategiesSolutions[S&amp;S ID],StrategiesSolutions[Dependency],""))</f>
        <v/>
      </c>
      <c r="H71" s="281" t="str">
        <f>IF($C71="","",_xlfn.XLOOKUP($C71,StrategiesSolutions[S&amp;S ID],StrategiesSolutions[Risk Assumption],""))</f>
        <v/>
      </c>
      <c r="I71" s="281" t="str">
        <f>IF($C71="","",_xlfn.XLOOKUP($C71,StrategiesSolutions[S&amp;S ID],StrategiesSolutions[Disruption Scenario],""))</f>
        <v/>
      </c>
      <c r="J71" s="281" t="str">
        <f>IF($C71="","",_xlfn.XLOOKUP($C71,StrategiesSolutions[S&amp;S ID],StrategiesSolutions[Strategy],""))</f>
        <v/>
      </c>
      <c r="K71" s="281" t="str">
        <f>IF($C71="","",_xlfn.LET(_xlpm.x,_xlfn.XLOOKUP($C71,StrategiesSolutions[S&amp;S ID],StrategiesSolutions[Strategy Details / Do nothing Justification],""),IF(_xlpm.x=0,"",_xlpm.x)))</f>
        <v/>
      </c>
      <c r="L71" s="95"/>
      <c r="M71" s="95"/>
      <c r="N71" s="285"/>
      <c r="O71" s="283" t="str">
        <f t="shared" ref="O71:O105" si="5">IF($M71="","",EDATE($M71,12))</f>
        <v/>
      </c>
      <c r="P71" s="284" t="str">
        <f ca="1">IF($C71="","",_xlfn.LET(_xlpm.ssStatus,_xlfn.XLOOKUP($C71,StrategiesSolutions[S&amp;S ID],StrategiesSolutions[Status],""),IF($L71="","Not Scheduled",IF($M71="",IF($L71&lt;TODAY(),"Overdue","Scheduled"),IF($N71="","Result Required",IF(OR($E71="",$F71="",$Q71=""),"Incomplete Exercise",IF($N71="Fail","Failed",IF(OR(OR($N71="Pass with Findings",$N71="Pass with finding"),_xlpm.ssStatus&lt;&gt;"Completed"),"Pass with Findings","Passed"))))))))</f>
        <v/>
      </c>
      <c r="Q71" t="str">
        <f t="shared" ref="Q71:Q105" si="6">IF($C71="","",IF(COUNTIFS($C$6:$C$105,$C71,$D$6:$D$105,$D71,$E$6:$E$105,$E71)&gt;1,"DUPLICATE","OK"))</f>
        <v/>
      </c>
    </row>
    <row r="72" spans="1:17" x14ac:dyDescent="0.35">
      <c r="A72" s="279">
        <v>67</v>
      </c>
      <c r="B72" s="280" t="str">
        <f t="shared" si="4"/>
        <v/>
      </c>
      <c r="C72" s="92"/>
      <c r="D72" s="281" t="str">
        <f>IF($C72="","",_xlfn.XLOOKUP($C72,StrategiesSolutions[S&amp;S ID],StrategiesSolutions[Products / Services],""))</f>
        <v/>
      </c>
      <c r="E72" s="93"/>
      <c r="F72" s="93"/>
      <c r="G72" s="282" t="str">
        <f>IF($C72="","",_xlfn.XLOOKUP($C72,StrategiesSolutions[S&amp;S ID],StrategiesSolutions[Dependency],""))</f>
        <v/>
      </c>
      <c r="H72" s="281" t="str">
        <f>IF($C72="","",_xlfn.XLOOKUP($C72,StrategiesSolutions[S&amp;S ID],StrategiesSolutions[Risk Assumption],""))</f>
        <v/>
      </c>
      <c r="I72" s="281" t="str">
        <f>IF($C72="","",_xlfn.XLOOKUP($C72,StrategiesSolutions[S&amp;S ID],StrategiesSolutions[Disruption Scenario],""))</f>
        <v/>
      </c>
      <c r="J72" s="281" t="str">
        <f>IF($C72="","",_xlfn.XLOOKUP($C72,StrategiesSolutions[S&amp;S ID],StrategiesSolutions[Strategy],""))</f>
        <v/>
      </c>
      <c r="K72" s="281" t="str">
        <f>IF($C72="","",_xlfn.LET(_xlpm.x,_xlfn.XLOOKUP($C72,StrategiesSolutions[S&amp;S ID],StrategiesSolutions[Strategy Details / Do nothing Justification],""),IF(_xlpm.x=0,"",_xlpm.x)))</f>
        <v/>
      </c>
      <c r="L72" s="95"/>
      <c r="M72" s="95"/>
      <c r="N72" s="285"/>
      <c r="O72" s="283" t="str">
        <f t="shared" si="5"/>
        <v/>
      </c>
      <c r="P72" s="284" t="str">
        <f ca="1">IF($C72="","",_xlfn.LET(_xlpm.ssStatus,_xlfn.XLOOKUP($C72,StrategiesSolutions[S&amp;S ID],StrategiesSolutions[Status],""),IF($L72="","Not Scheduled",IF($M72="",IF($L72&lt;TODAY(),"Overdue","Scheduled"),IF($N72="","Result Required",IF(OR($E72="",$F72="",$Q72=""),"Incomplete Exercise",IF($N72="Fail","Failed",IF(OR(OR($N72="Pass with Findings",$N72="Pass with finding"),_xlpm.ssStatus&lt;&gt;"Completed"),"Pass with Findings","Passed"))))))))</f>
        <v/>
      </c>
      <c r="Q72" t="str">
        <f t="shared" si="6"/>
        <v/>
      </c>
    </row>
    <row r="73" spans="1:17" x14ac:dyDescent="0.35">
      <c r="A73" s="279">
        <v>68</v>
      </c>
      <c r="B73" s="280" t="str">
        <f t="shared" si="4"/>
        <v/>
      </c>
      <c r="C73" s="92"/>
      <c r="D73" s="281" t="str">
        <f>IF($C73="","",_xlfn.XLOOKUP($C73,StrategiesSolutions[S&amp;S ID],StrategiesSolutions[Products / Services],""))</f>
        <v/>
      </c>
      <c r="E73" s="93"/>
      <c r="F73" s="93"/>
      <c r="G73" s="282" t="str">
        <f>IF($C73="","",_xlfn.XLOOKUP($C73,StrategiesSolutions[S&amp;S ID],StrategiesSolutions[Dependency],""))</f>
        <v/>
      </c>
      <c r="H73" s="281" t="str">
        <f>IF($C73="","",_xlfn.XLOOKUP($C73,StrategiesSolutions[S&amp;S ID],StrategiesSolutions[Risk Assumption],""))</f>
        <v/>
      </c>
      <c r="I73" s="281" t="str">
        <f>IF($C73="","",_xlfn.XLOOKUP($C73,StrategiesSolutions[S&amp;S ID],StrategiesSolutions[Disruption Scenario],""))</f>
        <v/>
      </c>
      <c r="J73" s="281" t="str">
        <f>IF($C73="","",_xlfn.XLOOKUP($C73,StrategiesSolutions[S&amp;S ID],StrategiesSolutions[Strategy],""))</f>
        <v/>
      </c>
      <c r="K73" s="281" t="str">
        <f>IF($C73="","",_xlfn.LET(_xlpm.x,_xlfn.XLOOKUP($C73,StrategiesSolutions[S&amp;S ID],StrategiesSolutions[Strategy Details / Do nothing Justification],""),IF(_xlpm.x=0,"",_xlpm.x)))</f>
        <v/>
      </c>
      <c r="L73" s="95"/>
      <c r="M73" s="95"/>
      <c r="N73" s="285"/>
      <c r="O73" s="283" t="str">
        <f t="shared" si="5"/>
        <v/>
      </c>
      <c r="P73" s="284" t="str">
        <f ca="1">IF($C73="","",_xlfn.LET(_xlpm.ssStatus,_xlfn.XLOOKUP($C73,StrategiesSolutions[S&amp;S ID],StrategiesSolutions[Status],""),IF($L73="","Not Scheduled",IF($M73="",IF($L73&lt;TODAY(),"Overdue","Scheduled"),IF($N73="","Result Required",IF(OR($E73="",$F73="",$Q73=""),"Incomplete Exercise",IF($N73="Fail","Failed",IF(OR(OR($N73="Pass with Findings",$N73="Pass with finding"),_xlpm.ssStatus&lt;&gt;"Completed"),"Pass with Findings","Passed"))))))))</f>
        <v/>
      </c>
      <c r="Q73" t="str">
        <f t="shared" si="6"/>
        <v/>
      </c>
    </row>
    <row r="74" spans="1:17" x14ac:dyDescent="0.35">
      <c r="A74" s="279">
        <v>69</v>
      </c>
      <c r="B74" s="280" t="str">
        <f t="shared" si="4"/>
        <v/>
      </c>
      <c r="C74" s="92"/>
      <c r="D74" s="281" t="str">
        <f>IF($C74="","",_xlfn.XLOOKUP($C74,StrategiesSolutions[S&amp;S ID],StrategiesSolutions[Products / Services],""))</f>
        <v/>
      </c>
      <c r="E74" s="93"/>
      <c r="F74" s="93"/>
      <c r="G74" s="282" t="str">
        <f>IF($C74="","",_xlfn.XLOOKUP($C74,StrategiesSolutions[S&amp;S ID],StrategiesSolutions[Dependency],""))</f>
        <v/>
      </c>
      <c r="H74" s="281" t="str">
        <f>IF($C74="","",_xlfn.XLOOKUP($C74,StrategiesSolutions[S&amp;S ID],StrategiesSolutions[Risk Assumption],""))</f>
        <v/>
      </c>
      <c r="I74" s="281" t="str">
        <f>IF($C74="","",_xlfn.XLOOKUP($C74,StrategiesSolutions[S&amp;S ID],StrategiesSolutions[Disruption Scenario],""))</f>
        <v/>
      </c>
      <c r="J74" s="281" t="str">
        <f>IF($C74="","",_xlfn.XLOOKUP($C74,StrategiesSolutions[S&amp;S ID],StrategiesSolutions[Strategy],""))</f>
        <v/>
      </c>
      <c r="K74" s="281" t="str">
        <f>IF($C74="","",_xlfn.LET(_xlpm.x,_xlfn.XLOOKUP($C74,StrategiesSolutions[S&amp;S ID],StrategiesSolutions[Strategy Details / Do nothing Justification],""),IF(_xlpm.x=0,"",_xlpm.x)))</f>
        <v/>
      </c>
      <c r="L74" s="95"/>
      <c r="M74" s="95"/>
      <c r="N74" s="285"/>
      <c r="O74" s="283" t="str">
        <f t="shared" si="5"/>
        <v/>
      </c>
      <c r="P74" s="284" t="str">
        <f ca="1">IF($C74="","",_xlfn.LET(_xlpm.ssStatus,_xlfn.XLOOKUP($C74,StrategiesSolutions[S&amp;S ID],StrategiesSolutions[Status],""),IF($L74="","Not Scheduled",IF($M74="",IF($L74&lt;TODAY(),"Overdue","Scheduled"),IF($N74="","Result Required",IF(OR($E74="",$F74="",$Q74=""),"Incomplete Exercise",IF($N74="Fail","Failed",IF(OR(OR($N74="Pass with Findings",$N74="Pass with finding"),_xlpm.ssStatus&lt;&gt;"Completed"),"Pass with Findings","Passed"))))))))</f>
        <v/>
      </c>
      <c r="Q74" t="str">
        <f t="shared" si="6"/>
        <v/>
      </c>
    </row>
    <row r="75" spans="1:17" x14ac:dyDescent="0.35">
      <c r="A75" s="279">
        <v>70</v>
      </c>
      <c r="B75" s="280" t="str">
        <f t="shared" si="4"/>
        <v/>
      </c>
      <c r="C75" s="92"/>
      <c r="D75" s="281" t="str">
        <f>IF($C75="","",_xlfn.XLOOKUP($C75,StrategiesSolutions[S&amp;S ID],StrategiesSolutions[Products / Services],""))</f>
        <v/>
      </c>
      <c r="E75" s="93"/>
      <c r="F75" s="93"/>
      <c r="G75" s="282" t="str">
        <f>IF($C75="","",_xlfn.XLOOKUP($C75,StrategiesSolutions[S&amp;S ID],StrategiesSolutions[Dependency],""))</f>
        <v/>
      </c>
      <c r="H75" s="281" t="str">
        <f>IF($C75="","",_xlfn.XLOOKUP($C75,StrategiesSolutions[S&amp;S ID],StrategiesSolutions[Risk Assumption],""))</f>
        <v/>
      </c>
      <c r="I75" s="281" t="str">
        <f>IF($C75="","",_xlfn.XLOOKUP($C75,StrategiesSolutions[S&amp;S ID],StrategiesSolutions[Disruption Scenario],""))</f>
        <v/>
      </c>
      <c r="J75" s="281" t="str">
        <f>IF($C75="","",_xlfn.XLOOKUP($C75,StrategiesSolutions[S&amp;S ID],StrategiesSolutions[Strategy],""))</f>
        <v/>
      </c>
      <c r="K75" s="281" t="str">
        <f>IF($C75="","",_xlfn.LET(_xlpm.x,_xlfn.XLOOKUP($C75,StrategiesSolutions[S&amp;S ID],StrategiesSolutions[Strategy Details / Do nothing Justification],""),IF(_xlpm.x=0,"",_xlpm.x)))</f>
        <v/>
      </c>
      <c r="L75" s="95"/>
      <c r="M75" s="95"/>
      <c r="N75" s="285"/>
      <c r="O75" s="283" t="str">
        <f t="shared" si="5"/>
        <v/>
      </c>
      <c r="P75" s="284" t="str">
        <f ca="1">IF($C75="","",_xlfn.LET(_xlpm.ssStatus,_xlfn.XLOOKUP($C75,StrategiesSolutions[S&amp;S ID],StrategiesSolutions[Status],""),IF($L75="","Not Scheduled",IF($M75="",IF($L75&lt;TODAY(),"Overdue","Scheduled"),IF($N75="","Result Required",IF(OR($E75="",$F75="",$Q75=""),"Incomplete Exercise",IF($N75="Fail","Failed",IF(OR(OR($N75="Pass with Findings",$N75="Pass with finding"),_xlpm.ssStatus&lt;&gt;"Completed"),"Pass with Findings","Passed"))))))))</f>
        <v/>
      </c>
      <c r="Q75" t="str">
        <f t="shared" si="6"/>
        <v/>
      </c>
    </row>
    <row r="76" spans="1:17" x14ac:dyDescent="0.35">
      <c r="A76" s="279">
        <v>71</v>
      </c>
      <c r="B76" s="280" t="str">
        <f t="shared" si="4"/>
        <v/>
      </c>
      <c r="C76" s="92"/>
      <c r="D76" s="281" t="str">
        <f>IF($C76="","",_xlfn.XLOOKUP($C76,StrategiesSolutions[S&amp;S ID],StrategiesSolutions[Products / Services],""))</f>
        <v/>
      </c>
      <c r="E76" s="93"/>
      <c r="F76" s="93"/>
      <c r="G76" s="282" t="str">
        <f>IF($C76="","",_xlfn.XLOOKUP($C76,StrategiesSolutions[S&amp;S ID],StrategiesSolutions[Dependency],""))</f>
        <v/>
      </c>
      <c r="H76" s="281" t="str">
        <f>IF($C76="","",_xlfn.XLOOKUP($C76,StrategiesSolutions[S&amp;S ID],StrategiesSolutions[Risk Assumption],""))</f>
        <v/>
      </c>
      <c r="I76" s="281" t="str">
        <f>IF($C76="","",_xlfn.XLOOKUP($C76,StrategiesSolutions[S&amp;S ID],StrategiesSolutions[Disruption Scenario],""))</f>
        <v/>
      </c>
      <c r="J76" s="281" t="str">
        <f>IF($C76="","",_xlfn.XLOOKUP($C76,StrategiesSolutions[S&amp;S ID],StrategiesSolutions[Strategy],""))</f>
        <v/>
      </c>
      <c r="K76" s="281" t="str">
        <f>IF($C76="","",_xlfn.LET(_xlpm.x,_xlfn.XLOOKUP($C76,StrategiesSolutions[S&amp;S ID],StrategiesSolutions[Strategy Details / Do nothing Justification],""),IF(_xlpm.x=0,"",_xlpm.x)))</f>
        <v/>
      </c>
      <c r="L76" s="95"/>
      <c r="M76" s="95"/>
      <c r="N76" s="285"/>
      <c r="O76" s="283" t="str">
        <f t="shared" si="5"/>
        <v/>
      </c>
      <c r="P76" s="284" t="str">
        <f ca="1">IF($C76="","",_xlfn.LET(_xlpm.ssStatus,_xlfn.XLOOKUP($C76,StrategiesSolutions[S&amp;S ID],StrategiesSolutions[Status],""),IF($L76="","Not Scheduled",IF($M76="",IF($L76&lt;TODAY(),"Overdue","Scheduled"),IF($N76="","Result Required",IF(OR($E76="",$F76="",$Q76=""),"Incomplete Exercise",IF($N76="Fail","Failed",IF(OR(OR($N76="Pass with Findings",$N76="Pass with finding"),_xlpm.ssStatus&lt;&gt;"Completed"),"Pass with Findings","Passed"))))))))</f>
        <v/>
      </c>
      <c r="Q76" t="str">
        <f t="shared" si="6"/>
        <v/>
      </c>
    </row>
    <row r="77" spans="1:17" x14ac:dyDescent="0.35">
      <c r="A77" s="279">
        <v>72</v>
      </c>
      <c r="B77" s="280" t="str">
        <f t="shared" si="4"/>
        <v/>
      </c>
      <c r="C77" s="92"/>
      <c r="D77" s="281" t="str">
        <f>IF($C77="","",_xlfn.XLOOKUP($C77,StrategiesSolutions[S&amp;S ID],StrategiesSolutions[Products / Services],""))</f>
        <v/>
      </c>
      <c r="E77" s="93"/>
      <c r="F77" s="93"/>
      <c r="G77" s="282" t="str">
        <f>IF($C77="","",_xlfn.XLOOKUP($C77,StrategiesSolutions[S&amp;S ID],StrategiesSolutions[Dependency],""))</f>
        <v/>
      </c>
      <c r="H77" s="281" t="str">
        <f>IF($C77="","",_xlfn.XLOOKUP($C77,StrategiesSolutions[S&amp;S ID],StrategiesSolutions[Risk Assumption],""))</f>
        <v/>
      </c>
      <c r="I77" s="281" t="str">
        <f>IF($C77="","",_xlfn.XLOOKUP($C77,StrategiesSolutions[S&amp;S ID],StrategiesSolutions[Disruption Scenario],""))</f>
        <v/>
      </c>
      <c r="J77" s="281" t="str">
        <f>IF($C77="","",_xlfn.XLOOKUP($C77,StrategiesSolutions[S&amp;S ID],StrategiesSolutions[Strategy],""))</f>
        <v/>
      </c>
      <c r="K77" s="281" t="str">
        <f>IF($C77="","",_xlfn.LET(_xlpm.x,_xlfn.XLOOKUP($C77,StrategiesSolutions[S&amp;S ID],StrategiesSolutions[Strategy Details / Do nothing Justification],""),IF(_xlpm.x=0,"",_xlpm.x)))</f>
        <v/>
      </c>
      <c r="L77" s="95"/>
      <c r="M77" s="95"/>
      <c r="N77" s="285"/>
      <c r="O77" s="283" t="str">
        <f t="shared" si="5"/>
        <v/>
      </c>
      <c r="P77" s="284" t="str">
        <f ca="1">IF($C77="","",_xlfn.LET(_xlpm.ssStatus,_xlfn.XLOOKUP($C77,StrategiesSolutions[S&amp;S ID],StrategiesSolutions[Status],""),IF($L77="","Not Scheduled",IF($M77="",IF($L77&lt;TODAY(),"Overdue","Scheduled"),IF($N77="","Result Required",IF(OR($E77="",$F77="",$Q77=""),"Incomplete Exercise",IF($N77="Fail","Failed",IF(OR(OR($N77="Pass with Findings",$N77="Pass with finding"),_xlpm.ssStatus&lt;&gt;"Completed"),"Pass with Findings","Passed"))))))))</f>
        <v/>
      </c>
      <c r="Q77" t="str">
        <f t="shared" si="6"/>
        <v/>
      </c>
    </row>
    <row r="78" spans="1:17" x14ac:dyDescent="0.35">
      <c r="A78" s="279">
        <v>73</v>
      </c>
      <c r="B78" s="280" t="str">
        <f t="shared" si="4"/>
        <v/>
      </c>
      <c r="C78" s="92"/>
      <c r="D78" s="281" t="str">
        <f>IF($C78="","",_xlfn.XLOOKUP($C78,StrategiesSolutions[S&amp;S ID],StrategiesSolutions[Products / Services],""))</f>
        <v/>
      </c>
      <c r="E78" s="93"/>
      <c r="F78" s="93"/>
      <c r="G78" s="282" t="str">
        <f>IF($C78="","",_xlfn.XLOOKUP($C78,StrategiesSolutions[S&amp;S ID],StrategiesSolutions[Dependency],""))</f>
        <v/>
      </c>
      <c r="H78" s="281" t="str">
        <f>IF($C78="","",_xlfn.XLOOKUP($C78,StrategiesSolutions[S&amp;S ID],StrategiesSolutions[Risk Assumption],""))</f>
        <v/>
      </c>
      <c r="I78" s="281" t="str">
        <f>IF($C78="","",_xlfn.XLOOKUP($C78,StrategiesSolutions[S&amp;S ID],StrategiesSolutions[Disruption Scenario],""))</f>
        <v/>
      </c>
      <c r="J78" s="281" t="str">
        <f>IF($C78="","",_xlfn.XLOOKUP($C78,StrategiesSolutions[S&amp;S ID],StrategiesSolutions[Strategy],""))</f>
        <v/>
      </c>
      <c r="K78" s="281" t="str">
        <f>IF($C78="","",_xlfn.LET(_xlpm.x,_xlfn.XLOOKUP($C78,StrategiesSolutions[S&amp;S ID],StrategiesSolutions[Strategy Details / Do nothing Justification],""),IF(_xlpm.x=0,"",_xlpm.x)))</f>
        <v/>
      </c>
      <c r="L78" s="95"/>
      <c r="M78" s="95"/>
      <c r="N78" s="285"/>
      <c r="O78" s="283" t="str">
        <f t="shared" si="5"/>
        <v/>
      </c>
      <c r="P78" s="284" t="str">
        <f ca="1">IF($C78="","",_xlfn.LET(_xlpm.ssStatus,_xlfn.XLOOKUP($C78,StrategiesSolutions[S&amp;S ID],StrategiesSolutions[Status],""),IF($L78="","Not Scheduled",IF($M78="",IF($L78&lt;TODAY(),"Overdue","Scheduled"),IF($N78="","Result Required",IF(OR($E78="",$F78="",$Q78=""),"Incomplete Exercise",IF($N78="Fail","Failed",IF(OR(OR($N78="Pass with Findings",$N78="Pass with finding"),_xlpm.ssStatus&lt;&gt;"Completed"),"Pass with Findings","Passed"))))))))</f>
        <v/>
      </c>
      <c r="Q78" t="str">
        <f t="shared" si="6"/>
        <v/>
      </c>
    </row>
    <row r="79" spans="1:17" x14ac:dyDescent="0.35">
      <c r="A79" s="279">
        <v>74</v>
      </c>
      <c r="B79" s="280" t="str">
        <f t="shared" si="4"/>
        <v/>
      </c>
      <c r="C79" s="92"/>
      <c r="D79" s="281" t="str">
        <f>IF($C79="","",_xlfn.XLOOKUP($C79,StrategiesSolutions[S&amp;S ID],StrategiesSolutions[Products / Services],""))</f>
        <v/>
      </c>
      <c r="E79" s="93"/>
      <c r="F79" s="93"/>
      <c r="G79" s="282" t="str">
        <f>IF($C79="","",_xlfn.XLOOKUP($C79,StrategiesSolutions[S&amp;S ID],StrategiesSolutions[Dependency],""))</f>
        <v/>
      </c>
      <c r="H79" s="281" t="str">
        <f>IF($C79="","",_xlfn.XLOOKUP($C79,StrategiesSolutions[S&amp;S ID],StrategiesSolutions[Risk Assumption],""))</f>
        <v/>
      </c>
      <c r="I79" s="281" t="str">
        <f>IF($C79="","",_xlfn.XLOOKUP($C79,StrategiesSolutions[S&amp;S ID],StrategiesSolutions[Disruption Scenario],""))</f>
        <v/>
      </c>
      <c r="J79" s="281" t="str">
        <f>IF($C79="","",_xlfn.XLOOKUP($C79,StrategiesSolutions[S&amp;S ID],StrategiesSolutions[Strategy],""))</f>
        <v/>
      </c>
      <c r="K79" s="281" t="str">
        <f>IF($C79="","",_xlfn.LET(_xlpm.x,_xlfn.XLOOKUP($C79,StrategiesSolutions[S&amp;S ID],StrategiesSolutions[Strategy Details / Do nothing Justification],""),IF(_xlpm.x=0,"",_xlpm.x)))</f>
        <v/>
      </c>
      <c r="L79" s="95"/>
      <c r="M79" s="95"/>
      <c r="N79" s="285"/>
      <c r="O79" s="283" t="str">
        <f t="shared" si="5"/>
        <v/>
      </c>
      <c r="P79" s="284" t="str">
        <f ca="1">IF($C79="","",_xlfn.LET(_xlpm.ssStatus,_xlfn.XLOOKUP($C79,StrategiesSolutions[S&amp;S ID],StrategiesSolutions[Status],""),IF($L79="","Not Scheduled",IF($M79="",IF($L79&lt;TODAY(),"Overdue","Scheduled"),IF($N79="","Result Required",IF(OR($E79="",$F79="",$Q79=""),"Incomplete Exercise",IF($N79="Fail","Failed",IF(OR(OR($N79="Pass with Findings",$N79="Pass with finding"),_xlpm.ssStatus&lt;&gt;"Completed"),"Pass with Findings","Passed"))))))))</f>
        <v/>
      </c>
      <c r="Q79" t="str">
        <f t="shared" si="6"/>
        <v/>
      </c>
    </row>
    <row r="80" spans="1:17" x14ac:dyDescent="0.35">
      <c r="A80" s="279">
        <v>75</v>
      </c>
      <c r="B80" s="280" t="str">
        <f t="shared" si="4"/>
        <v/>
      </c>
      <c r="C80" s="92"/>
      <c r="D80" s="281" t="str">
        <f>IF($C80="","",_xlfn.XLOOKUP($C80,StrategiesSolutions[S&amp;S ID],StrategiesSolutions[Products / Services],""))</f>
        <v/>
      </c>
      <c r="E80" s="93"/>
      <c r="F80" s="93"/>
      <c r="G80" s="282" t="str">
        <f>IF($C80="","",_xlfn.XLOOKUP($C80,StrategiesSolutions[S&amp;S ID],StrategiesSolutions[Dependency],""))</f>
        <v/>
      </c>
      <c r="H80" s="281" t="str">
        <f>IF($C80="","",_xlfn.XLOOKUP($C80,StrategiesSolutions[S&amp;S ID],StrategiesSolutions[Risk Assumption],""))</f>
        <v/>
      </c>
      <c r="I80" s="281" t="str">
        <f>IF($C80="","",_xlfn.XLOOKUP($C80,StrategiesSolutions[S&amp;S ID],StrategiesSolutions[Disruption Scenario],""))</f>
        <v/>
      </c>
      <c r="J80" s="281" t="str">
        <f>IF($C80="","",_xlfn.XLOOKUP($C80,StrategiesSolutions[S&amp;S ID],StrategiesSolutions[Strategy],""))</f>
        <v/>
      </c>
      <c r="K80" s="281" t="str">
        <f>IF($C80="","",_xlfn.LET(_xlpm.x,_xlfn.XLOOKUP($C80,StrategiesSolutions[S&amp;S ID],StrategiesSolutions[Strategy Details / Do nothing Justification],""),IF(_xlpm.x=0,"",_xlpm.x)))</f>
        <v/>
      </c>
      <c r="L80" s="95"/>
      <c r="M80" s="95"/>
      <c r="N80" s="285"/>
      <c r="O80" s="283" t="str">
        <f t="shared" si="5"/>
        <v/>
      </c>
      <c r="P80" s="284" t="str">
        <f ca="1">IF($C80="","",_xlfn.LET(_xlpm.ssStatus,_xlfn.XLOOKUP($C80,StrategiesSolutions[S&amp;S ID],StrategiesSolutions[Status],""),IF($L80="","Not Scheduled",IF($M80="",IF($L80&lt;TODAY(),"Overdue","Scheduled"),IF($N80="","Result Required",IF(OR($E80="",$F80="",$Q80=""),"Incomplete Exercise",IF($N80="Fail","Failed",IF(OR(OR($N80="Pass with Findings",$N80="Pass with finding"),_xlpm.ssStatus&lt;&gt;"Completed"),"Pass with Findings","Passed"))))))))</f>
        <v/>
      </c>
      <c r="Q80" t="str">
        <f t="shared" si="6"/>
        <v/>
      </c>
    </row>
    <row r="81" spans="1:17" x14ac:dyDescent="0.35">
      <c r="A81" s="279">
        <v>76</v>
      </c>
      <c r="B81" s="280" t="str">
        <f t="shared" si="4"/>
        <v/>
      </c>
      <c r="C81" s="92"/>
      <c r="D81" s="281" t="str">
        <f>IF($C81="","",_xlfn.XLOOKUP($C81,StrategiesSolutions[S&amp;S ID],StrategiesSolutions[Products / Services],""))</f>
        <v/>
      </c>
      <c r="E81" s="93"/>
      <c r="F81" s="93"/>
      <c r="G81" s="282" t="str">
        <f>IF($C81="","",_xlfn.XLOOKUP($C81,StrategiesSolutions[S&amp;S ID],StrategiesSolutions[Dependency],""))</f>
        <v/>
      </c>
      <c r="H81" s="281" t="str">
        <f>IF($C81="","",_xlfn.XLOOKUP($C81,StrategiesSolutions[S&amp;S ID],StrategiesSolutions[Risk Assumption],""))</f>
        <v/>
      </c>
      <c r="I81" s="281" t="str">
        <f>IF($C81="","",_xlfn.XLOOKUP($C81,StrategiesSolutions[S&amp;S ID],StrategiesSolutions[Disruption Scenario],""))</f>
        <v/>
      </c>
      <c r="J81" s="281" t="str">
        <f>IF($C81="","",_xlfn.XLOOKUP($C81,StrategiesSolutions[S&amp;S ID],StrategiesSolutions[Strategy],""))</f>
        <v/>
      </c>
      <c r="K81" s="281" t="str">
        <f>IF($C81="","",_xlfn.LET(_xlpm.x,_xlfn.XLOOKUP($C81,StrategiesSolutions[S&amp;S ID],StrategiesSolutions[Strategy Details / Do nothing Justification],""),IF(_xlpm.x=0,"",_xlpm.x)))</f>
        <v/>
      </c>
      <c r="L81" s="95"/>
      <c r="M81" s="95"/>
      <c r="N81" s="285"/>
      <c r="O81" s="283" t="str">
        <f t="shared" si="5"/>
        <v/>
      </c>
      <c r="P81" s="284" t="str">
        <f ca="1">IF($C81="","",_xlfn.LET(_xlpm.ssStatus,_xlfn.XLOOKUP($C81,StrategiesSolutions[S&amp;S ID],StrategiesSolutions[Status],""),IF($L81="","Not Scheduled",IF($M81="",IF($L81&lt;TODAY(),"Overdue","Scheduled"),IF($N81="","Result Required",IF(OR($E81="",$F81="",$Q81=""),"Incomplete Exercise",IF($N81="Fail","Failed",IF(OR(OR($N81="Pass with Findings",$N81="Pass with finding"),_xlpm.ssStatus&lt;&gt;"Completed"),"Pass with Findings","Passed"))))))))</f>
        <v/>
      </c>
      <c r="Q81" t="str">
        <f t="shared" si="6"/>
        <v/>
      </c>
    </row>
    <row r="82" spans="1:17" x14ac:dyDescent="0.35">
      <c r="A82" s="279">
        <v>77</v>
      </c>
      <c r="B82" s="280" t="str">
        <f t="shared" si="4"/>
        <v/>
      </c>
      <c r="C82" s="92"/>
      <c r="D82" s="281" t="str">
        <f>IF($C82="","",_xlfn.XLOOKUP($C82,StrategiesSolutions[S&amp;S ID],StrategiesSolutions[Products / Services],""))</f>
        <v/>
      </c>
      <c r="E82" s="93"/>
      <c r="F82" s="93"/>
      <c r="G82" s="282" t="str">
        <f>IF($C82="","",_xlfn.XLOOKUP($C82,StrategiesSolutions[S&amp;S ID],StrategiesSolutions[Dependency],""))</f>
        <v/>
      </c>
      <c r="H82" s="281" t="str">
        <f>IF($C82="","",_xlfn.XLOOKUP($C82,StrategiesSolutions[S&amp;S ID],StrategiesSolutions[Risk Assumption],""))</f>
        <v/>
      </c>
      <c r="I82" s="281" t="str">
        <f>IF($C82="","",_xlfn.XLOOKUP($C82,StrategiesSolutions[S&amp;S ID],StrategiesSolutions[Disruption Scenario],""))</f>
        <v/>
      </c>
      <c r="J82" s="281" t="str">
        <f>IF($C82="","",_xlfn.XLOOKUP($C82,StrategiesSolutions[S&amp;S ID],StrategiesSolutions[Strategy],""))</f>
        <v/>
      </c>
      <c r="K82" s="281" t="str">
        <f>IF($C82="","",_xlfn.LET(_xlpm.x,_xlfn.XLOOKUP($C82,StrategiesSolutions[S&amp;S ID],StrategiesSolutions[Strategy Details / Do nothing Justification],""),IF(_xlpm.x=0,"",_xlpm.x)))</f>
        <v/>
      </c>
      <c r="L82" s="95"/>
      <c r="M82" s="95"/>
      <c r="N82" s="285"/>
      <c r="O82" s="283" t="str">
        <f t="shared" si="5"/>
        <v/>
      </c>
      <c r="P82" s="284" t="str">
        <f ca="1">IF($C82="","",_xlfn.LET(_xlpm.ssStatus,_xlfn.XLOOKUP($C82,StrategiesSolutions[S&amp;S ID],StrategiesSolutions[Status],""),IF($L82="","Not Scheduled",IF($M82="",IF($L82&lt;TODAY(),"Overdue","Scheduled"),IF($N82="","Result Required",IF(OR($E82="",$F82="",$Q82=""),"Incomplete Exercise",IF($N82="Fail","Failed",IF(OR(OR($N82="Pass with Findings",$N82="Pass with finding"),_xlpm.ssStatus&lt;&gt;"Completed"),"Pass with Findings","Passed"))))))))</f>
        <v/>
      </c>
      <c r="Q82" t="str">
        <f t="shared" si="6"/>
        <v/>
      </c>
    </row>
    <row r="83" spans="1:17" x14ac:dyDescent="0.35">
      <c r="A83" s="279">
        <v>78</v>
      </c>
      <c r="B83" s="280" t="str">
        <f t="shared" si="4"/>
        <v/>
      </c>
      <c r="C83" s="92"/>
      <c r="D83" s="281" t="str">
        <f>IF($C83="","",_xlfn.XLOOKUP($C83,StrategiesSolutions[S&amp;S ID],StrategiesSolutions[Products / Services],""))</f>
        <v/>
      </c>
      <c r="E83" s="93"/>
      <c r="F83" s="93"/>
      <c r="G83" s="282" t="str">
        <f>IF($C83="","",_xlfn.XLOOKUP($C83,StrategiesSolutions[S&amp;S ID],StrategiesSolutions[Dependency],""))</f>
        <v/>
      </c>
      <c r="H83" s="281" t="str">
        <f>IF($C83="","",_xlfn.XLOOKUP($C83,StrategiesSolutions[S&amp;S ID],StrategiesSolutions[Risk Assumption],""))</f>
        <v/>
      </c>
      <c r="I83" s="281" t="str">
        <f>IF($C83="","",_xlfn.XLOOKUP($C83,StrategiesSolutions[S&amp;S ID],StrategiesSolutions[Disruption Scenario],""))</f>
        <v/>
      </c>
      <c r="J83" s="281" t="str">
        <f>IF($C83="","",_xlfn.XLOOKUP($C83,StrategiesSolutions[S&amp;S ID],StrategiesSolutions[Strategy],""))</f>
        <v/>
      </c>
      <c r="K83" s="281" t="str">
        <f>IF($C83="","",_xlfn.LET(_xlpm.x,_xlfn.XLOOKUP($C83,StrategiesSolutions[S&amp;S ID],StrategiesSolutions[Strategy Details / Do nothing Justification],""),IF(_xlpm.x=0,"",_xlpm.x)))</f>
        <v/>
      </c>
      <c r="L83" s="95"/>
      <c r="M83" s="95"/>
      <c r="N83" s="285"/>
      <c r="O83" s="283" t="str">
        <f t="shared" si="5"/>
        <v/>
      </c>
      <c r="P83" s="284" t="str">
        <f ca="1">IF($C83="","",_xlfn.LET(_xlpm.ssStatus,_xlfn.XLOOKUP($C83,StrategiesSolutions[S&amp;S ID],StrategiesSolutions[Status],""),IF($L83="","Not Scheduled",IF($M83="",IF($L83&lt;TODAY(),"Overdue","Scheduled"),IF($N83="","Result Required",IF(OR($E83="",$F83="",$Q83=""),"Incomplete Exercise",IF($N83="Fail","Failed",IF(OR(OR($N83="Pass with Findings",$N83="Pass with finding"),_xlpm.ssStatus&lt;&gt;"Completed"),"Pass with Findings","Passed"))))))))</f>
        <v/>
      </c>
      <c r="Q83" t="str">
        <f t="shared" si="6"/>
        <v/>
      </c>
    </row>
    <row r="84" spans="1:17" x14ac:dyDescent="0.35">
      <c r="A84" s="279">
        <v>79</v>
      </c>
      <c r="B84" s="280" t="str">
        <f t="shared" si="4"/>
        <v/>
      </c>
      <c r="C84" s="92"/>
      <c r="D84" s="281" t="str">
        <f>IF($C84="","",_xlfn.XLOOKUP($C84,StrategiesSolutions[S&amp;S ID],StrategiesSolutions[Products / Services],""))</f>
        <v/>
      </c>
      <c r="E84" s="93"/>
      <c r="F84" s="93"/>
      <c r="G84" s="282" t="str">
        <f>IF($C84="","",_xlfn.XLOOKUP($C84,StrategiesSolutions[S&amp;S ID],StrategiesSolutions[Dependency],""))</f>
        <v/>
      </c>
      <c r="H84" s="281" t="str">
        <f>IF($C84="","",_xlfn.XLOOKUP($C84,StrategiesSolutions[S&amp;S ID],StrategiesSolutions[Risk Assumption],""))</f>
        <v/>
      </c>
      <c r="I84" s="281" t="str">
        <f>IF($C84="","",_xlfn.XLOOKUP($C84,StrategiesSolutions[S&amp;S ID],StrategiesSolutions[Disruption Scenario],""))</f>
        <v/>
      </c>
      <c r="J84" s="281" t="str">
        <f>IF($C84="","",_xlfn.XLOOKUP($C84,StrategiesSolutions[S&amp;S ID],StrategiesSolutions[Strategy],""))</f>
        <v/>
      </c>
      <c r="K84" s="281" t="str">
        <f>IF($C84="","",_xlfn.LET(_xlpm.x,_xlfn.XLOOKUP($C84,StrategiesSolutions[S&amp;S ID],StrategiesSolutions[Strategy Details / Do nothing Justification],""),IF(_xlpm.x=0,"",_xlpm.x)))</f>
        <v/>
      </c>
      <c r="L84" s="95"/>
      <c r="M84" s="95"/>
      <c r="N84" s="285"/>
      <c r="O84" s="283" t="str">
        <f t="shared" si="5"/>
        <v/>
      </c>
      <c r="P84" s="284" t="str">
        <f ca="1">IF($C84="","",_xlfn.LET(_xlpm.ssStatus,_xlfn.XLOOKUP($C84,StrategiesSolutions[S&amp;S ID],StrategiesSolutions[Status],""),IF($L84="","Not Scheduled",IF($M84="",IF($L84&lt;TODAY(),"Overdue","Scheduled"),IF($N84="","Result Required",IF(OR($E84="",$F84="",$Q84=""),"Incomplete Exercise",IF($N84="Fail","Failed",IF(OR(OR($N84="Pass with Findings",$N84="Pass with finding"),_xlpm.ssStatus&lt;&gt;"Completed"),"Pass with Findings","Passed"))))))))</f>
        <v/>
      </c>
      <c r="Q84" t="str">
        <f t="shared" si="6"/>
        <v/>
      </c>
    </row>
    <row r="85" spans="1:17" x14ac:dyDescent="0.35">
      <c r="A85" s="279">
        <v>80</v>
      </c>
      <c r="B85" s="280" t="str">
        <f t="shared" si="4"/>
        <v/>
      </c>
      <c r="C85" s="92"/>
      <c r="D85" s="281" t="str">
        <f>IF($C85="","",_xlfn.XLOOKUP($C85,StrategiesSolutions[S&amp;S ID],StrategiesSolutions[Products / Services],""))</f>
        <v/>
      </c>
      <c r="E85" s="93"/>
      <c r="F85" s="93"/>
      <c r="G85" s="282" t="str">
        <f>IF($C85="","",_xlfn.XLOOKUP($C85,StrategiesSolutions[S&amp;S ID],StrategiesSolutions[Dependency],""))</f>
        <v/>
      </c>
      <c r="H85" s="281" t="str">
        <f>IF($C85="","",_xlfn.XLOOKUP($C85,StrategiesSolutions[S&amp;S ID],StrategiesSolutions[Risk Assumption],""))</f>
        <v/>
      </c>
      <c r="I85" s="281" t="str">
        <f>IF($C85="","",_xlfn.XLOOKUP($C85,StrategiesSolutions[S&amp;S ID],StrategiesSolutions[Disruption Scenario],""))</f>
        <v/>
      </c>
      <c r="J85" s="281" t="str">
        <f>IF($C85="","",_xlfn.XLOOKUP($C85,StrategiesSolutions[S&amp;S ID],StrategiesSolutions[Strategy],""))</f>
        <v/>
      </c>
      <c r="K85" s="281" t="str">
        <f>IF($C85="","",_xlfn.LET(_xlpm.x,_xlfn.XLOOKUP($C85,StrategiesSolutions[S&amp;S ID],StrategiesSolutions[Strategy Details / Do nothing Justification],""),IF(_xlpm.x=0,"",_xlpm.x)))</f>
        <v/>
      </c>
      <c r="L85" s="95"/>
      <c r="M85" s="95"/>
      <c r="N85" s="285"/>
      <c r="O85" s="283" t="str">
        <f t="shared" si="5"/>
        <v/>
      </c>
      <c r="P85" s="284" t="str">
        <f ca="1">IF($C85="","",_xlfn.LET(_xlpm.ssStatus,_xlfn.XLOOKUP($C85,StrategiesSolutions[S&amp;S ID],StrategiesSolutions[Status],""),IF($L85="","Not Scheduled",IF($M85="",IF($L85&lt;TODAY(),"Overdue","Scheduled"),IF($N85="","Result Required",IF(OR($E85="",$F85="",$Q85=""),"Incomplete Exercise",IF($N85="Fail","Failed",IF(OR(OR($N85="Pass with Findings",$N85="Pass with finding"),_xlpm.ssStatus&lt;&gt;"Completed"),"Pass with Findings","Passed"))))))))</f>
        <v/>
      </c>
      <c r="Q85" t="str">
        <f t="shared" si="6"/>
        <v/>
      </c>
    </row>
    <row r="86" spans="1:17" x14ac:dyDescent="0.35">
      <c r="A86" s="279">
        <v>81</v>
      </c>
      <c r="B86" s="280" t="str">
        <f t="shared" si="4"/>
        <v/>
      </c>
      <c r="C86" s="92"/>
      <c r="D86" s="281" t="str">
        <f>IF($C86="","",_xlfn.XLOOKUP($C86,StrategiesSolutions[S&amp;S ID],StrategiesSolutions[Products / Services],""))</f>
        <v/>
      </c>
      <c r="E86" s="93"/>
      <c r="F86" s="93"/>
      <c r="G86" s="282" t="str">
        <f>IF($C86="","",_xlfn.XLOOKUP($C86,StrategiesSolutions[S&amp;S ID],StrategiesSolutions[Dependency],""))</f>
        <v/>
      </c>
      <c r="H86" s="281" t="str">
        <f>IF($C86="","",_xlfn.XLOOKUP($C86,StrategiesSolutions[S&amp;S ID],StrategiesSolutions[Risk Assumption],""))</f>
        <v/>
      </c>
      <c r="I86" s="281" t="str">
        <f>IF($C86="","",_xlfn.XLOOKUP($C86,StrategiesSolutions[S&amp;S ID],StrategiesSolutions[Disruption Scenario],""))</f>
        <v/>
      </c>
      <c r="J86" s="281" t="str">
        <f>IF($C86="","",_xlfn.XLOOKUP($C86,StrategiesSolutions[S&amp;S ID],StrategiesSolutions[Strategy],""))</f>
        <v/>
      </c>
      <c r="K86" s="281" t="str">
        <f>IF($C86="","",_xlfn.LET(_xlpm.x,_xlfn.XLOOKUP($C86,StrategiesSolutions[S&amp;S ID],StrategiesSolutions[Strategy Details / Do nothing Justification],""),IF(_xlpm.x=0,"",_xlpm.x)))</f>
        <v/>
      </c>
      <c r="L86" s="95"/>
      <c r="M86" s="95"/>
      <c r="N86" s="285"/>
      <c r="O86" s="283" t="str">
        <f t="shared" si="5"/>
        <v/>
      </c>
      <c r="P86" s="284" t="str">
        <f ca="1">IF($C86="","",_xlfn.LET(_xlpm.ssStatus,_xlfn.XLOOKUP($C86,StrategiesSolutions[S&amp;S ID],StrategiesSolutions[Status],""),IF($L86="","Not Scheduled",IF($M86="",IF($L86&lt;TODAY(),"Overdue","Scheduled"),IF($N86="","Result Required",IF(OR($E86="",$F86="",$Q86=""),"Incomplete Exercise",IF($N86="Fail","Failed",IF(OR(OR($N86="Pass with Findings",$N86="Pass with finding"),_xlpm.ssStatus&lt;&gt;"Completed"),"Pass with Findings","Passed"))))))))</f>
        <v/>
      </c>
      <c r="Q86" t="str">
        <f t="shared" si="6"/>
        <v/>
      </c>
    </row>
    <row r="87" spans="1:17" x14ac:dyDescent="0.35">
      <c r="A87" s="279">
        <v>82</v>
      </c>
      <c r="B87" s="280" t="str">
        <f t="shared" si="4"/>
        <v/>
      </c>
      <c r="C87" s="92"/>
      <c r="D87" s="281" t="str">
        <f>IF($C87="","",_xlfn.XLOOKUP($C87,StrategiesSolutions[S&amp;S ID],StrategiesSolutions[Products / Services],""))</f>
        <v/>
      </c>
      <c r="E87" s="93"/>
      <c r="F87" s="93"/>
      <c r="G87" s="282" t="str">
        <f>IF($C87="","",_xlfn.XLOOKUP($C87,StrategiesSolutions[S&amp;S ID],StrategiesSolutions[Dependency],""))</f>
        <v/>
      </c>
      <c r="H87" s="281" t="str">
        <f>IF($C87="","",_xlfn.XLOOKUP($C87,StrategiesSolutions[S&amp;S ID],StrategiesSolutions[Risk Assumption],""))</f>
        <v/>
      </c>
      <c r="I87" s="281" t="str">
        <f>IF($C87="","",_xlfn.XLOOKUP($C87,StrategiesSolutions[S&amp;S ID],StrategiesSolutions[Disruption Scenario],""))</f>
        <v/>
      </c>
      <c r="J87" s="281" t="str">
        <f>IF($C87="","",_xlfn.XLOOKUP($C87,StrategiesSolutions[S&amp;S ID],StrategiesSolutions[Strategy],""))</f>
        <v/>
      </c>
      <c r="K87" s="281" t="str">
        <f>IF($C87="","",_xlfn.LET(_xlpm.x,_xlfn.XLOOKUP($C87,StrategiesSolutions[S&amp;S ID],StrategiesSolutions[Strategy Details / Do nothing Justification],""),IF(_xlpm.x=0,"",_xlpm.x)))</f>
        <v/>
      </c>
      <c r="L87" s="95"/>
      <c r="M87" s="95"/>
      <c r="N87" s="285"/>
      <c r="O87" s="283" t="str">
        <f t="shared" si="5"/>
        <v/>
      </c>
      <c r="P87" s="284" t="str">
        <f ca="1">IF($C87="","",_xlfn.LET(_xlpm.ssStatus,_xlfn.XLOOKUP($C87,StrategiesSolutions[S&amp;S ID],StrategiesSolutions[Status],""),IF($L87="","Not Scheduled",IF($M87="",IF($L87&lt;TODAY(),"Overdue","Scheduled"),IF($N87="","Result Required",IF(OR($E87="",$F87="",$Q87=""),"Incomplete Exercise",IF($N87="Fail","Failed",IF(OR(OR($N87="Pass with Findings",$N87="Pass with finding"),_xlpm.ssStatus&lt;&gt;"Completed"),"Pass with Findings","Passed"))))))))</f>
        <v/>
      </c>
      <c r="Q87" t="str">
        <f t="shared" si="6"/>
        <v/>
      </c>
    </row>
    <row r="88" spans="1:17" x14ac:dyDescent="0.35">
      <c r="A88" s="279">
        <v>83</v>
      </c>
      <c r="B88" s="280" t="str">
        <f t="shared" si="4"/>
        <v/>
      </c>
      <c r="C88" s="92"/>
      <c r="D88" s="281" t="str">
        <f>IF($C88="","",_xlfn.XLOOKUP($C88,StrategiesSolutions[S&amp;S ID],StrategiesSolutions[Products / Services],""))</f>
        <v/>
      </c>
      <c r="E88" s="93"/>
      <c r="F88" s="93"/>
      <c r="G88" s="282" t="str">
        <f>IF($C88="","",_xlfn.XLOOKUP($C88,StrategiesSolutions[S&amp;S ID],StrategiesSolutions[Dependency],""))</f>
        <v/>
      </c>
      <c r="H88" s="281" t="str">
        <f>IF($C88="","",_xlfn.XLOOKUP($C88,StrategiesSolutions[S&amp;S ID],StrategiesSolutions[Risk Assumption],""))</f>
        <v/>
      </c>
      <c r="I88" s="281" t="str">
        <f>IF($C88="","",_xlfn.XLOOKUP($C88,StrategiesSolutions[S&amp;S ID],StrategiesSolutions[Disruption Scenario],""))</f>
        <v/>
      </c>
      <c r="J88" s="281" t="str">
        <f>IF($C88="","",_xlfn.XLOOKUP($C88,StrategiesSolutions[S&amp;S ID],StrategiesSolutions[Strategy],""))</f>
        <v/>
      </c>
      <c r="K88" s="281" t="str">
        <f>IF($C88="","",_xlfn.LET(_xlpm.x,_xlfn.XLOOKUP($C88,StrategiesSolutions[S&amp;S ID],StrategiesSolutions[Strategy Details / Do nothing Justification],""),IF(_xlpm.x=0,"",_xlpm.x)))</f>
        <v/>
      </c>
      <c r="L88" s="95"/>
      <c r="M88" s="95"/>
      <c r="N88" s="285"/>
      <c r="O88" s="283" t="str">
        <f t="shared" si="5"/>
        <v/>
      </c>
      <c r="P88" s="284" t="str">
        <f ca="1">IF($C88="","",_xlfn.LET(_xlpm.ssStatus,_xlfn.XLOOKUP($C88,StrategiesSolutions[S&amp;S ID],StrategiesSolutions[Status],""),IF($L88="","Not Scheduled",IF($M88="",IF($L88&lt;TODAY(),"Overdue","Scheduled"),IF($N88="","Result Required",IF(OR($E88="",$F88="",$Q88=""),"Incomplete Exercise",IF($N88="Fail","Failed",IF(OR(OR($N88="Pass with Findings",$N88="Pass with finding"),_xlpm.ssStatus&lt;&gt;"Completed"),"Pass with Findings","Passed"))))))))</f>
        <v/>
      </c>
      <c r="Q88" t="str">
        <f t="shared" si="6"/>
        <v/>
      </c>
    </row>
    <row r="89" spans="1:17" x14ac:dyDescent="0.35">
      <c r="A89" s="279">
        <v>84</v>
      </c>
      <c r="B89" s="280" t="str">
        <f t="shared" si="4"/>
        <v/>
      </c>
      <c r="C89" s="92"/>
      <c r="D89" s="281" t="str">
        <f>IF($C89="","",_xlfn.XLOOKUP($C89,StrategiesSolutions[S&amp;S ID],StrategiesSolutions[Products / Services],""))</f>
        <v/>
      </c>
      <c r="E89" s="93"/>
      <c r="F89" s="93"/>
      <c r="G89" s="282" t="str">
        <f>IF($C89="","",_xlfn.XLOOKUP($C89,StrategiesSolutions[S&amp;S ID],StrategiesSolutions[Dependency],""))</f>
        <v/>
      </c>
      <c r="H89" s="281" t="str">
        <f>IF($C89="","",_xlfn.XLOOKUP($C89,StrategiesSolutions[S&amp;S ID],StrategiesSolutions[Risk Assumption],""))</f>
        <v/>
      </c>
      <c r="I89" s="281" t="str">
        <f>IF($C89="","",_xlfn.XLOOKUP($C89,StrategiesSolutions[S&amp;S ID],StrategiesSolutions[Disruption Scenario],""))</f>
        <v/>
      </c>
      <c r="J89" s="281" t="str">
        <f>IF($C89="","",_xlfn.XLOOKUP($C89,StrategiesSolutions[S&amp;S ID],StrategiesSolutions[Strategy],""))</f>
        <v/>
      </c>
      <c r="K89" s="281" t="str">
        <f>IF($C89="","",_xlfn.LET(_xlpm.x,_xlfn.XLOOKUP($C89,StrategiesSolutions[S&amp;S ID],StrategiesSolutions[Strategy Details / Do nothing Justification],""),IF(_xlpm.x=0,"",_xlpm.x)))</f>
        <v/>
      </c>
      <c r="L89" s="95"/>
      <c r="M89" s="95"/>
      <c r="N89" s="285"/>
      <c r="O89" s="283" t="str">
        <f t="shared" si="5"/>
        <v/>
      </c>
      <c r="P89" s="284" t="str">
        <f ca="1">IF($C89="","",_xlfn.LET(_xlpm.ssStatus,_xlfn.XLOOKUP($C89,StrategiesSolutions[S&amp;S ID],StrategiesSolutions[Status],""),IF($L89="","Not Scheduled",IF($M89="",IF($L89&lt;TODAY(),"Overdue","Scheduled"),IF($N89="","Result Required",IF(OR($E89="",$F89="",$Q89=""),"Incomplete Exercise",IF($N89="Fail","Failed",IF(OR(OR($N89="Pass with Findings",$N89="Pass with finding"),_xlpm.ssStatus&lt;&gt;"Completed"),"Pass with Findings","Passed"))))))))</f>
        <v/>
      </c>
      <c r="Q89" t="str">
        <f t="shared" si="6"/>
        <v/>
      </c>
    </row>
    <row r="90" spans="1:17" x14ac:dyDescent="0.35">
      <c r="A90" s="279">
        <v>85</v>
      </c>
      <c r="B90" s="280" t="str">
        <f t="shared" si="4"/>
        <v/>
      </c>
      <c r="C90" s="92"/>
      <c r="D90" s="281" t="str">
        <f>IF($C90="","",_xlfn.XLOOKUP($C90,StrategiesSolutions[S&amp;S ID],StrategiesSolutions[Products / Services],""))</f>
        <v/>
      </c>
      <c r="E90" s="93"/>
      <c r="F90" s="93"/>
      <c r="G90" s="282" t="str">
        <f>IF($C90="","",_xlfn.XLOOKUP($C90,StrategiesSolutions[S&amp;S ID],StrategiesSolutions[Dependency],""))</f>
        <v/>
      </c>
      <c r="H90" s="281" t="str">
        <f>IF($C90="","",_xlfn.XLOOKUP($C90,StrategiesSolutions[S&amp;S ID],StrategiesSolutions[Risk Assumption],""))</f>
        <v/>
      </c>
      <c r="I90" s="281" t="str">
        <f>IF($C90="","",_xlfn.XLOOKUP($C90,StrategiesSolutions[S&amp;S ID],StrategiesSolutions[Disruption Scenario],""))</f>
        <v/>
      </c>
      <c r="J90" s="281" t="str">
        <f>IF($C90="","",_xlfn.XLOOKUP($C90,StrategiesSolutions[S&amp;S ID],StrategiesSolutions[Strategy],""))</f>
        <v/>
      </c>
      <c r="K90" s="281" t="str">
        <f>IF($C90="","",_xlfn.LET(_xlpm.x,_xlfn.XLOOKUP($C90,StrategiesSolutions[S&amp;S ID],StrategiesSolutions[Strategy Details / Do nothing Justification],""),IF(_xlpm.x=0,"",_xlpm.x)))</f>
        <v/>
      </c>
      <c r="L90" s="95"/>
      <c r="M90" s="95"/>
      <c r="N90" s="285"/>
      <c r="O90" s="283" t="str">
        <f t="shared" si="5"/>
        <v/>
      </c>
      <c r="P90" s="284" t="str">
        <f ca="1">IF($C90="","",_xlfn.LET(_xlpm.ssStatus,_xlfn.XLOOKUP($C90,StrategiesSolutions[S&amp;S ID],StrategiesSolutions[Status],""),IF($L90="","Not Scheduled",IF($M90="",IF($L90&lt;TODAY(),"Overdue","Scheduled"),IF($N90="","Result Required",IF(OR($E90="",$F90="",$Q90=""),"Incomplete Exercise",IF($N90="Fail","Failed",IF(OR(OR($N90="Pass with Findings",$N90="Pass with finding"),_xlpm.ssStatus&lt;&gt;"Completed"),"Pass with Findings","Passed"))))))))</f>
        <v/>
      </c>
      <c r="Q90" t="str">
        <f t="shared" si="6"/>
        <v/>
      </c>
    </row>
    <row r="91" spans="1:17" x14ac:dyDescent="0.35">
      <c r="A91" s="279">
        <v>86</v>
      </c>
      <c r="B91" s="280" t="str">
        <f t="shared" si="4"/>
        <v/>
      </c>
      <c r="C91" s="92"/>
      <c r="D91" s="281" t="str">
        <f>IF($C91="","",_xlfn.XLOOKUP($C91,StrategiesSolutions[S&amp;S ID],StrategiesSolutions[Products / Services],""))</f>
        <v/>
      </c>
      <c r="E91" s="93"/>
      <c r="F91" s="93"/>
      <c r="G91" s="282" t="str">
        <f>IF($C91="","",_xlfn.XLOOKUP($C91,StrategiesSolutions[S&amp;S ID],StrategiesSolutions[Dependency],""))</f>
        <v/>
      </c>
      <c r="H91" s="281" t="str">
        <f>IF($C91="","",_xlfn.XLOOKUP($C91,StrategiesSolutions[S&amp;S ID],StrategiesSolutions[Risk Assumption],""))</f>
        <v/>
      </c>
      <c r="I91" s="281" t="str">
        <f>IF($C91="","",_xlfn.XLOOKUP($C91,StrategiesSolutions[S&amp;S ID],StrategiesSolutions[Disruption Scenario],""))</f>
        <v/>
      </c>
      <c r="J91" s="281" t="str">
        <f>IF($C91="","",_xlfn.XLOOKUP($C91,StrategiesSolutions[S&amp;S ID],StrategiesSolutions[Strategy],""))</f>
        <v/>
      </c>
      <c r="K91" s="281" t="str">
        <f>IF($C91="","",_xlfn.LET(_xlpm.x,_xlfn.XLOOKUP($C91,StrategiesSolutions[S&amp;S ID],StrategiesSolutions[Strategy Details / Do nothing Justification],""),IF(_xlpm.x=0,"",_xlpm.x)))</f>
        <v/>
      </c>
      <c r="L91" s="95"/>
      <c r="M91" s="95"/>
      <c r="N91" s="285"/>
      <c r="O91" s="283" t="str">
        <f t="shared" si="5"/>
        <v/>
      </c>
      <c r="P91" s="284" t="str">
        <f ca="1">IF($C91="","",_xlfn.LET(_xlpm.ssStatus,_xlfn.XLOOKUP($C91,StrategiesSolutions[S&amp;S ID],StrategiesSolutions[Status],""),IF($L91="","Not Scheduled",IF($M91="",IF($L91&lt;TODAY(),"Overdue","Scheduled"),IF($N91="","Result Required",IF(OR($E91="",$F91="",$Q91=""),"Incomplete Exercise",IF($N91="Fail","Failed",IF(OR(OR($N91="Pass with Findings",$N91="Pass with finding"),_xlpm.ssStatus&lt;&gt;"Completed"),"Pass with Findings","Passed"))))))))</f>
        <v/>
      </c>
      <c r="Q91" t="str">
        <f t="shared" si="6"/>
        <v/>
      </c>
    </row>
    <row r="92" spans="1:17" x14ac:dyDescent="0.35">
      <c r="A92" s="279">
        <v>87</v>
      </c>
      <c r="B92" s="280" t="str">
        <f t="shared" si="4"/>
        <v/>
      </c>
      <c r="C92" s="92"/>
      <c r="D92" s="281" t="str">
        <f>IF($C92="","",_xlfn.XLOOKUP($C92,StrategiesSolutions[S&amp;S ID],StrategiesSolutions[Products / Services],""))</f>
        <v/>
      </c>
      <c r="E92" s="93"/>
      <c r="F92" s="93"/>
      <c r="G92" s="282" t="str">
        <f>IF($C92="","",_xlfn.XLOOKUP($C92,StrategiesSolutions[S&amp;S ID],StrategiesSolutions[Dependency],""))</f>
        <v/>
      </c>
      <c r="H92" s="281" t="str">
        <f>IF($C92="","",_xlfn.XLOOKUP($C92,StrategiesSolutions[S&amp;S ID],StrategiesSolutions[Risk Assumption],""))</f>
        <v/>
      </c>
      <c r="I92" s="281" t="str">
        <f>IF($C92="","",_xlfn.XLOOKUP($C92,StrategiesSolutions[S&amp;S ID],StrategiesSolutions[Disruption Scenario],""))</f>
        <v/>
      </c>
      <c r="J92" s="281" t="str">
        <f>IF($C92="","",_xlfn.XLOOKUP($C92,StrategiesSolutions[S&amp;S ID],StrategiesSolutions[Strategy],""))</f>
        <v/>
      </c>
      <c r="K92" s="281" t="str">
        <f>IF($C92="","",_xlfn.LET(_xlpm.x,_xlfn.XLOOKUP($C92,StrategiesSolutions[S&amp;S ID],StrategiesSolutions[Strategy Details / Do nothing Justification],""),IF(_xlpm.x=0,"",_xlpm.x)))</f>
        <v/>
      </c>
      <c r="L92" s="95"/>
      <c r="M92" s="95"/>
      <c r="N92" s="285"/>
      <c r="O92" s="283" t="str">
        <f t="shared" si="5"/>
        <v/>
      </c>
      <c r="P92" s="284" t="str">
        <f ca="1">IF($C92="","",_xlfn.LET(_xlpm.ssStatus,_xlfn.XLOOKUP($C92,StrategiesSolutions[S&amp;S ID],StrategiesSolutions[Status],""),IF($L92="","Not Scheduled",IF($M92="",IF($L92&lt;TODAY(),"Overdue","Scheduled"),IF($N92="","Result Required",IF(OR($E92="",$F92="",$Q92=""),"Incomplete Exercise",IF($N92="Fail","Failed",IF(OR(OR($N92="Pass with Findings",$N92="Pass with finding"),_xlpm.ssStatus&lt;&gt;"Completed"),"Pass with Findings","Passed"))))))))</f>
        <v/>
      </c>
      <c r="Q92" t="str">
        <f t="shared" si="6"/>
        <v/>
      </c>
    </row>
    <row r="93" spans="1:17" x14ac:dyDescent="0.35">
      <c r="A93" s="279">
        <v>88</v>
      </c>
      <c r="B93" s="280" t="str">
        <f t="shared" si="4"/>
        <v/>
      </c>
      <c r="C93" s="92"/>
      <c r="D93" s="281" t="str">
        <f>IF($C93="","",_xlfn.XLOOKUP($C93,StrategiesSolutions[S&amp;S ID],StrategiesSolutions[Products / Services],""))</f>
        <v/>
      </c>
      <c r="E93" s="93"/>
      <c r="F93" s="93"/>
      <c r="G93" s="282" t="str">
        <f>IF($C93="","",_xlfn.XLOOKUP($C93,StrategiesSolutions[S&amp;S ID],StrategiesSolutions[Dependency],""))</f>
        <v/>
      </c>
      <c r="H93" s="281" t="str">
        <f>IF($C93="","",_xlfn.XLOOKUP($C93,StrategiesSolutions[S&amp;S ID],StrategiesSolutions[Risk Assumption],""))</f>
        <v/>
      </c>
      <c r="I93" s="281" t="str">
        <f>IF($C93="","",_xlfn.XLOOKUP($C93,StrategiesSolutions[S&amp;S ID],StrategiesSolutions[Disruption Scenario],""))</f>
        <v/>
      </c>
      <c r="J93" s="281" t="str">
        <f>IF($C93="","",_xlfn.XLOOKUP($C93,StrategiesSolutions[S&amp;S ID],StrategiesSolutions[Strategy],""))</f>
        <v/>
      </c>
      <c r="K93" s="281" t="str">
        <f>IF($C93="","",_xlfn.LET(_xlpm.x,_xlfn.XLOOKUP($C93,StrategiesSolutions[S&amp;S ID],StrategiesSolutions[Strategy Details / Do nothing Justification],""),IF(_xlpm.x=0,"",_xlpm.x)))</f>
        <v/>
      </c>
      <c r="L93" s="95"/>
      <c r="M93" s="95"/>
      <c r="N93" s="285"/>
      <c r="O93" s="283" t="str">
        <f t="shared" si="5"/>
        <v/>
      </c>
      <c r="P93" s="284" t="str">
        <f ca="1">IF($C93="","",_xlfn.LET(_xlpm.ssStatus,_xlfn.XLOOKUP($C93,StrategiesSolutions[S&amp;S ID],StrategiesSolutions[Status],""),IF($L93="","Not Scheduled",IF($M93="",IF($L93&lt;TODAY(),"Overdue","Scheduled"),IF($N93="","Result Required",IF(OR($E93="",$F93="",$Q93=""),"Incomplete Exercise",IF($N93="Fail","Failed",IF(OR(OR($N93="Pass with Findings",$N93="Pass with finding"),_xlpm.ssStatus&lt;&gt;"Completed"),"Pass with Findings","Passed"))))))))</f>
        <v/>
      </c>
      <c r="Q93" t="str">
        <f t="shared" si="6"/>
        <v/>
      </c>
    </row>
    <row r="94" spans="1:17" x14ac:dyDescent="0.35">
      <c r="A94" s="279">
        <v>89</v>
      </c>
      <c r="B94" s="280" t="str">
        <f t="shared" si="4"/>
        <v/>
      </c>
      <c r="C94" s="92"/>
      <c r="D94" s="281" t="str">
        <f>IF($C94="","",_xlfn.XLOOKUP($C94,StrategiesSolutions[S&amp;S ID],StrategiesSolutions[Products / Services],""))</f>
        <v/>
      </c>
      <c r="E94" s="93"/>
      <c r="F94" s="93"/>
      <c r="G94" s="282" t="str">
        <f>IF($C94="","",_xlfn.XLOOKUP($C94,StrategiesSolutions[S&amp;S ID],StrategiesSolutions[Dependency],""))</f>
        <v/>
      </c>
      <c r="H94" s="281" t="str">
        <f>IF($C94="","",_xlfn.XLOOKUP($C94,StrategiesSolutions[S&amp;S ID],StrategiesSolutions[Risk Assumption],""))</f>
        <v/>
      </c>
      <c r="I94" s="281" t="str">
        <f>IF($C94="","",_xlfn.XLOOKUP($C94,StrategiesSolutions[S&amp;S ID],StrategiesSolutions[Disruption Scenario],""))</f>
        <v/>
      </c>
      <c r="J94" s="281" t="str">
        <f>IF($C94="","",_xlfn.XLOOKUP($C94,StrategiesSolutions[S&amp;S ID],StrategiesSolutions[Strategy],""))</f>
        <v/>
      </c>
      <c r="K94" s="281" t="str">
        <f>IF($C94="","",_xlfn.LET(_xlpm.x,_xlfn.XLOOKUP($C94,StrategiesSolutions[S&amp;S ID],StrategiesSolutions[Strategy Details / Do nothing Justification],""),IF(_xlpm.x=0,"",_xlpm.x)))</f>
        <v/>
      </c>
      <c r="L94" s="95"/>
      <c r="M94" s="95"/>
      <c r="N94" s="285"/>
      <c r="O94" s="283" t="str">
        <f t="shared" si="5"/>
        <v/>
      </c>
      <c r="P94" s="284" t="str">
        <f ca="1">IF($C94="","",_xlfn.LET(_xlpm.ssStatus,_xlfn.XLOOKUP($C94,StrategiesSolutions[S&amp;S ID],StrategiesSolutions[Status],""),IF($L94="","Not Scheduled",IF($M94="",IF($L94&lt;TODAY(),"Overdue","Scheduled"),IF($N94="","Result Required",IF(OR($E94="",$F94="",$Q94=""),"Incomplete Exercise",IF($N94="Fail","Failed",IF(OR(OR($N94="Pass with Findings",$N94="Pass with finding"),_xlpm.ssStatus&lt;&gt;"Completed"),"Pass with Findings","Passed"))))))))</f>
        <v/>
      </c>
      <c r="Q94" t="str">
        <f t="shared" si="6"/>
        <v/>
      </c>
    </row>
    <row r="95" spans="1:17" x14ac:dyDescent="0.35">
      <c r="A95" s="279">
        <v>90</v>
      </c>
      <c r="B95" s="280" t="str">
        <f t="shared" si="4"/>
        <v/>
      </c>
      <c r="C95" s="92"/>
      <c r="D95" s="281" t="str">
        <f>IF($C95="","",_xlfn.XLOOKUP($C95,StrategiesSolutions[S&amp;S ID],StrategiesSolutions[Products / Services],""))</f>
        <v/>
      </c>
      <c r="E95" s="93"/>
      <c r="F95" s="93"/>
      <c r="G95" s="282" t="str">
        <f>IF($C95="","",_xlfn.XLOOKUP($C95,StrategiesSolutions[S&amp;S ID],StrategiesSolutions[Dependency],""))</f>
        <v/>
      </c>
      <c r="H95" s="281" t="str">
        <f>IF($C95="","",_xlfn.XLOOKUP($C95,StrategiesSolutions[S&amp;S ID],StrategiesSolutions[Risk Assumption],""))</f>
        <v/>
      </c>
      <c r="I95" s="281" t="str">
        <f>IF($C95="","",_xlfn.XLOOKUP($C95,StrategiesSolutions[S&amp;S ID],StrategiesSolutions[Disruption Scenario],""))</f>
        <v/>
      </c>
      <c r="J95" s="281" t="str">
        <f>IF($C95="","",_xlfn.XLOOKUP($C95,StrategiesSolutions[S&amp;S ID],StrategiesSolutions[Strategy],""))</f>
        <v/>
      </c>
      <c r="K95" s="281" t="str">
        <f>IF($C95="","",_xlfn.LET(_xlpm.x,_xlfn.XLOOKUP($C95,StrategiesSolutions[S&amp;S ID],StrategiesSolutions[Strategy Details / Do nothing Justification],""),IF(_xlpm.x=0,"",_xlpm.x)))</f>
        <v/>
      </c>
      <c r="L95" s="95"/>
      <c r="M95" s="95"/>
      <c r="N95" s="285"/>
      <c r="O95" s="283" t="str">
        <f t="shared" si="5"/>
        <v/>
      </c>
      <c r="P95" s="284" t="str">
        <f ca="1">IF($C95="","",_xlfn.LET(_xlpm.ssStatus,_xlfn.XLOOKUP($C95,StrategiesSolutions[S&amp;S ID],StrategiesSolutions[Status],""),IF($L95="","Not Scheduled",IF($M95="",IF($L95&lt;TODAY(),"Overdue","Scheduled"),IF($N95="","Result Required",IF(OR($E95="",$F95="",$Q95=""),"Incomplete Exercise",IF($N95="Fail","Failed",IF(OR(OR($N95="Pass with Findings",$N95="Pass with finding"),_xlpm.ssStatus&lt;&gt;"Completed"),"Pass with Findings","Passed"))))))))</f>
        <v/>
      </c>
      <c r="Q95" t="str">
        <f t="shared" si="6"/>
        <v/>
      </c>
    </row>
    <row r="96" spans="1:17" x14ac:dyDescent="0.35">
      <c r="A96" s="279">
        <v>91</v>
      </c>
      <c r="B96" s="280" t="str">
        <f t="shared" si="4"/>
        <v/>
      </c>
      <c r="C96" s="92"/>
      <c r="D96" s="281" t="str">
        <f>IF($C96="","",_xlfn.XLOOKUP($C96,StrategiesSolutions[S&amp;S ID],StrategiesSolutions[Products / Services],""))</f>
        <v/>
      </c>
      <c r="E96" s="93"/>
      <c r="F96" s="93"/>
      <c r="G96" s="282" t="str">
        <f>IF($C96="","",_xlfn.XLOOKUP($C96,StrategiesSolutions[S&amp;S ID],StrategiesSolutions[Dependency],""))</f>
        <v/>
      </c>
      <c r="H96" s="281" t="str">
        <f>IF($C96="","",_xlfn.XLOOKUP($C96,StrategiesSolutions[S&amp;S ID],StrategiesSolutions[Risk Assumption],""))</f>
        <v/>
      </c>
      <c r="I96" s="281" t="str">
        <f>IF($C96="","",_xlfn.XLOOKUP($C96,StrategiesSolutions[S&amp;S ID],StrategiesSolutions[Disruption Scenario],""))</f>
        <v/>
      </c>
      <c r="J96" s="281" t="str">
        <f>IF($C96="","",_xlfn.XLOOKUP($C96,StrategiesSolutions[S&amp;S ID],StrategiesSolutions[Strategy],""))</f>
        <v/>
      </c>
      <c r="K96" s="281" t="str">
        <f>IF($C96="","",_xlfn.LET(_xlpm.x,_xlfn.XLOOKUP($C96,StrategiesSolutions[S&amp;S ID],StrategiesSolutions[Strategy Details / Do nothing Justification],""),IF(_xlpm.x=0,"",_xlpm.x)))</f>
        <v/>
      </c>
      <c r="L96" s="95"/>
      <c r="M96" s="95"/>
      <c r="N96" s="285"/>
      <c r="O96" s="283" t="str">
        <f t="shared" si="5"/>
        <v/>
      </c>
      <c r="P96" s="284" t="str">
        <f ca="1">IF($C96="","",_xlfn.LET(_xlpm.ssStatus,_xlfn.XLOOKUP($C96,StrategiesSolutions[S&amp;S ID],StrategiesSolutions[Status],""),IF($L96="","Not Scheduled",IF($M96="",IF($L96&lt;TODAY(),"Overdue","Scheduled"),IF($N96="","Result Required",IF(OR($E96="",$F96="",$Q96=""),"Incomplete Exercise",IF($N96="Fail","Failed",IF(OR(OR($N96="Pass with Findings",$N96="Pass with finding"),_xlpm.ssStatus&lt;&gt;"Completed"),"Pass with Findings","Passed"))))))))</f>
        <v/>
      </c>
      <c r="Q96" t="str">
        <f t="shared" si="6"/>
        <v/>
      </c>
    </row>
    <row r="97" spans="1:17" x14ac:dyDescent="0.35">
      <c r="A97" s="279">
        <v>92</v>
      </c>
      <c r="B97" s="280" t="str">
        <f t="shared" si="4"/>
        <v/>
      </c>
      <c r="C97" s="92"/>
      <c r="D97" s="281" t="str">
        <f>IF($C97="","",_xlfn.XLOOKUP($C97,StrategiesSolutions[S&amp;S ID],StrategiesSolutions[Products / Services],""))</f>
        <v/>
      </c>
      <c r="E97" s="93"/>
      <c r="F97" s="93"/>
      <c r="G97" s="282" t="str">
        <f>IF($C97="","",_xlfn.XLOOKUP($C97,StrategiesSolutions[S&amp;S ID],StrategiesSolutions[Dependency],""))</f>
        <v/>
      </c>
      <c r="H97" s="281" t="str">
        <f>IF($C97="","",_xlfn.XLOOKUP($C97,StrategiesSolutions[S&amp;S ID],StrategiesSolutions[Risk Assumption],""))</f>
        <v/>
      </c>
      <c r="I97" s="281" t="str">
        <f>IF($C97="","",_xlfn.XLOOKUP($C97,StrategiesSolutions[S&amp;S ID],StrategiesSolutions[Disruption Scenario],""))</f>
        <v/>
      </c>
      <c r="J97" s="281" t="str">
        <f>IF($C97="","",_xlfn.XLOOKUP($C97,StrategiesSolutions[S&amp;S ID],StrategiesSolutions[Strategy],""))</f>
        <v/>
      </c>
      <c r="K97" s="281" t="str">
        <f>IF($C97="","",_xlfn.LET(_xlpm.x,_xlfn.XLOOKUP($C97,StrategiesSolutions[S&amp;S ID],StrategiesSolutions[Strategy Details / Do nothing Justification],""),IF(_xlpm.x=0,"",_xlpm.x)))</f>
        <v/>
      </c>
      <c r="L97" s="95"/>
      <c r="M97" s="95"/>
      <c r="N97" s="285"/>
      <c r="O97" s="283" t="str">
        <f t="shared" si="5"/>
        <v/>
      </c>
      <c r="P97" s="284" t="str">
        <f ca="1">IF($C97="","",_xlfn.LET(_xlpm.ssStatus,_xlfn.XLOOKUP($C97,StrategiesSolutions[S&amp;S ID],StrategiesSolutions[Status],""),IF($L97="","Not Scheduled",IF($M97="",IF($L97&lt;TODAY(),"Overdue","Scheduled"),IF($N97="","Result Required",IF(OR($E97="",$F97="",$Q97=""),"Incomplete Exercise",IF($N97="Fail","Failed",IF(OR(OR($N97="Pass with Findings",$N97="Pass with finding"),_xlpm.ssStatus&lt;&gt;"Completed"),"Pass with Findings","Passed"))))))))</f>
        <v/>
      </c>
      <c r="Q97" t="str">
        <f t="shared" si="6"/>
        <v/>
      </c>
    </row>
    <row r="98" spans="1:17" x14ac:dyDescent="0.35">
      <c r="A98" s="279">
        <v>93</v>
      </c>
      <c r="B98" s="280" t="str">
        <f t="shared" si="4"/>
        <v/>
      </c>
      <c r="C98" s="92"/>
      <c r="D98" s="281" t="str">
        <f>IF($C98="","",_xlfn.XLOOKUP($C98,StrategiesSolutions[S&amp;S ID],StrategiesSolutions[Products / Services],""))</f>
        <v/>
      </c>
      <c r="E98" s="93"/>
      <c r="F98" s="93"/>
      <c r="G98" s="282" t="str">
        <f>IF($C98="","",_xlfn.XLOOKUP($C98,StrategiesSolutions[S&amp;S ID],StrategiesSolutions[Dependency],""))</f>
        <v/>
      </c>
      <c r="H98" s="281" t="str">
        <f>IF($C98="","",_xlfn.XLOOKUP($C98,StrategiesSolutions[S&amp;S ID],StrategiesSolutions[Risk Assumption],""))</f>
        <v/>
      </c>
      <c r="I98" s="281" t="str">
        <f>IF($C98="","",_xlfn.XLOOKUP($C98,StrategiesSolutions[S&amp;S ID],StrategiesSolutions[Disruption Scenario],""))</f>
        <v/>
      </c>
      <c r="J98" s="281" t="str">
        <f>IF($C98="","",_xlfn.XLOOKUP($C98,StrategiesSolutions[S&amp;S ID],StrategiesSolutions[Strategy],""))</f>
        <v/>
      </c>
      <c r="K98" s="281" t="str">
        <f>IF($C98="","",_xlfn.LET(_xlpm.x,_xlfn.XLOOKUP($C98,StrategiesSolutions[S&amp;S ID],StrategiesSolutions[Strategy Details / Do nothing Justification],""),IF(_xlpm.x=0,"",_xlpm.x)))</f>
        <v/>
      </c>
      <c r="L98" s="95"/>
      <c r="M98" s="95"/>
      <c r="N98" s="285"/>
      <c r="O98" s="283" t="str">
        <f t="shared" si="5"/>
        <v/>
      </c>
      <c r="P98" s="284" t="str">
        <f ca="1">IF($C98="","",_xlfn.LET(_xlpm.ssStatus,_xlfn.XLOOKUP($C98,StrategiesSolutions[S&amp;S ID],StrategiesSolutions[Status],""),IF($L98="","Not Scheduled",IF($M98="",IF($L98&lt;TODAY(),"Overdue","Scheduled"),IF($N98="","Result Required",IF(OR($E98="",$F98="",$Q98=""),"Incomplete Exercise",IF($N98="Fail","Failed",IF(OR(OR($N98="Pass with Findings",$N98="Pass with finding"),_xlpm.ssStatus&lt;&gt;"Completed"),"Pass with Findings","Passed"))))))))</f>
        <v/>
      </c>
      <c r="Q98" t="str">
        <f t="shared" si="6"/>
        <v/>
      </c>
    </row>
    <row r="99" spans="1:17" x14ac:dyDescent="0.35">
      <c r="A99" s="279">
        <v>94</v>
      </c>
      <c r="B99" s="280" t="str">
        <f t="shared" si="4"/>
        <v/>
      </c>
      <c r="C99" s="92"/>
      <c r="D99" s="281" t="str">
        <f>IF($C99="","",_xlfn.XLOOKUP($C99,StrategiesSolutions[S&amp;S ID],StrategiesSolutions[Products / Services],""))</f>
        <v/>
      </c>
      <c r="E99" s="93"/>
      <c r="F99" s="93"/>
      <c r="G99" s="282" t="str">
        <f>IF($C99="","",_xlfn.XLOOKUP($C99,StrategiesSolutions[S&amp;S ID],StrategiesSolutions[Dependency],""))</f>
        <v/>
      </c>
      <c r="H99" s="281" t="str">
        <f>IF($C99="","",_xlfn.XLOOKUP($C99,StrategiesSolutions[S&amp;S ID],StrategiesSolutions[Risk Assumption],""))</f>
        <v/>
      </c>
      <c r="I99" s="281" t="str">
        <f>IF($C99="","",_xlfn.XLOOKUP($C99,StrategiesSolutions[S&amp;S ID],StrategiesSolutions[Disruption Scenario],""))</f>
        <v/>
      </c>
      <c r="J99" s="281" t="str">
        <f>IF($C99="","",_xlfn.XLOOKUP($C99,StrategiesSolutions[S&amp;S ID],StrategiesSolutions[Strategy],""))</f>
        <v/>
      </c>
      <c r="K99" s="281" t="str">
        <f>IF($C99="","",_xlfn.LET(_xlpm.x,_xlfn.XLOOKUP($C99,StrategiesSolutions[S&amp;S ID],StrategiesSolutions[Strategy Details / Do nothing Justification],""),IF(_xlpm.x=0,"",_xlpm.x)))</f>
        <v/>
      </c>
      <c r="L99" s="95"/>
      <c r="M99" s="95"/>
      <c r="N99" s="285"/>
      <c r="O99" s="283" t="str">
        <f t="shared" si="5"/>
        <v/>
      </c>
      <c r="P99" s="284" t="str">
        <f ca="1">IF($C99="","",_xlfn.LET(_xlpm.ssStatus,_xlfn.XLOOKUP($C99,StrategiesSolutions[S&amp;S ID],StrategiesSolutions[Status],""),IF($L99="","Not Scheduled",IF($M99="",IF($L99&lt;TODAY(),"Overdue","Scheduled"),IF($N99="","Result Required",IF(OR($E99="",$F99="",$Q99=""),"Incomplete Exercise",IF($N99="Fail","Failed",IF(OR(OR($N99="Pass with Findings",$N99="Pass with finding"),_xlpm.ssStatus&lt;&gt;"Completed"),"Pass with Findings","Passed"))))))))</f>
        <v/>
      </c>
      <c r="Q99" t="str">
        <f t="shared" si="6"/>
        <v/>
      </c>
    </row>
    <row r="100" spans="1:17" x14ac:dyDescent="0.35">
      <c r="A100" s="279">
        <v>95</v>
      </c>
      <c r="B100" s="280" t="str">
        <f t="shared" si="4"/>
        <v/>
      </c>
      <c r="C100" s="92"/>
      <c r="D100" s="281" t="str">
        <f>IF($C100="","",_xlfn.XLOOKUP($C100,StrategiesSolutions[S&amp;S ID],StrategiesSolutions[Products / Services],""))</f>
        <v/>
      </c>
      <c r="E100" s="93"/>
      <c r="F100" s="93"/>
      <c r="G100" s="282" t="str">
        <f>IF($C100="","",_xlfn.XLOOKUP($C100,StrategiesSolutions[S&amp;S ID],StrategiesSolutions[Dependency],""))</f>
        <v/>
      </c>
      <c r="H100" s="281" t="str">
        <f>IF($C100="","",_xlfn.XLOOKUP($C100,StrategiesSolutions[S&amp;S ID],StrategiesSolutions[Risk Assumption],""))</f>
        <v/>
      </c>
      <c r="I100" s="281" t="str">
        <f>IF($C100="","",_xlfn.XLOOKUP($C100,StrategiesSolutions[S&amp;S ID],StrategiesSolutions[Disruption Scenario],""))</f>
        <v/>
      </c>
      <c r="J100" s="281" t="str">
        <f>IF($C100="","",_xlfn.XLOOKUP($C100,StrategiesSolutions[S&amp;S ID],StrategiesSolutions[Strategy],""))</f>
        <v/>
      </c>
      <c r="K100" s="281" t="str">
        <f>IF($C100="","",_xlfn.LET(_xlpm.x,_xlfn.XLOOKUP($C100,StrategiesSolutions[S&amp;S ID],StrategiesSolutions[Strategy Details / Do nothing Justification],""),IF(_xlpm.x=0,"",_xlpm.x)))</f>
        <v/>
      </c>
      <c r="L100" s="95"/>
      <c r="M100" s="95"/>
      <c r="N100" s="285"/>
      <c r="O100" s="283" t="str">
        <f t="shared" si="5"/>
        <v/>
      </c>
      <c r="P100" s="284" t="str">
        <f ca="1">IF($C100="","",_xlfn.LET(_xlpm.ssStatus,_xlfn.XLOOKUP($C100,StrategiesSolutions[S&amp;S ID],StrategiesSolutions[Status],""),IF($L100="","Not Scheduled",IF($M100="",IF($L100&lt;TODAY(),"Overdue","Scheduled"),IF($N100="","Result Required",IF(OR($E100="",$F100="",$Q100=""),"Incomplete Exercise",IF($N100="Fail","Failed",IF(OR(OR($N100="Pass with Findings",$N100="Pass with finding"),_xlpm.ssStatus&lt;&gt;"Completed"),"Pass with Findings","Passed"))))))))</f>
        <v/>
      </c>
      <c r="Q100" t="str">
        <f t="shared" si="6"/>
        <v/>
      </c>
    </row>
    <row r="101" spans="1:17" x14ac:dyDescent="0.35">
      <c r="A101" s="279">
        <v>96</v>
      </c>
      <c r="B101" s="280" t="str">
        <f t="shared" si="4"/>
        <v/>
      </c>
      <c r="C101" s="92"/>
      <c r="D101" s="281" t="str">
        <f>IF($C101="","",_xlfn.XLOOKUP($C101,StrategiesSolutions[S&amp;S ID],StrategiesSolutions[Products / Services],""))</f>
        <v/>
      </c>
      <c r="E101" s="93"/>
      <c r="F101" s="93"/>
      <c r="G101" s="282" t="str">
        <f>IF($C101="","",_xlfn.XLOOKUP($C101,StrategiesSolutions[S&amp;S ID],StrategiesSolutions[Dependency],""))</f>
        <v/>
      </c>
      <c r="H101" s="281" t="str">
        <f>IF($C101="","",_xlfn.XLOOKUP($C101,StrategiesSolutions[S&amp;S ID],StrategiesSolutions[Risk Assumption],""))</f>
        <v/>
      </c>
      <c r="I101" s="281" t="str">
        <f>IF($C101="","",_xlfn.XLOOKUP($C101,StrategiesSolutions[S&amp;S ID],StrategiesSolutions[Disruption Scenario],""))</f>
        <v/>
      </c>
      <c r="J101" s="281" t="str">
        <f>IF($C101="","",_xlfn.XLOOKUP($C101,StrategiesSolutions[S&amp;S ID],StrategiesSolutions[Strategy],""))</f>
        <v/>
      </c>
      <c r="K101" s="281" t="str">
        <f>IF($C101="","",_xlfn.LET(_xlpm.x,_xlfn.XLOOKUP($C101,StrategiesSolutions[S&amp;S ID],StrategiesSolutions[Strategy Details / Do nothing Justification],""),IF(_xlpm.x=0,"",_xlpm.x)))</f>
        <v/>
      </c>
      <c r="L101" s="95"/>
      <c r="M101" s="95"/>
      <c r="N101" s="285"/>
      <c r="O101" s="283" t="str">
        <f t="shared" si="5"/>
        <v/>
      </c>
      <c r="P101" s="284" t="str">
        <f ca="1">IF($C101="","",_xlfn.LET(_xlpm.ssStatus,_xlfn.XLOOKUP($C101,StrategiesSolutions[S&amp;S ID],StrategiesSolutions[Status],""),IF($L101="","Not Scheduled",IF($M101="",IF($L101&lt;TODAY(),"Overdue","Scheduled"),IF($N101="","Result Required",IF(OR($E101="",$F101="",$Q101=""),"Incomplete Exercise",IF($N101="Fail","Failed",IF(OR(OR($N101="Pass with Findings",$N101="Pass with finding"),_xlpm.ssStatus&lt;&gt;"Completed"),"Pass with Findings","Passed"))))))))</f>
        <v/>
      </c>
      <c r="Q101" t="str">
        <f t="shared" si="6"/>
        <v/>
      </c>
    </row>
    <row r="102" spans="1:17" x14ac:dyDescent="0.35">
      <c r="A102" s="279">
        <v>97</v>
      </c>
      <c r="B102" s="280" t="str">
        <f t="shared" si="4"/>
        <v/>
      </c>
      <c r="C102" s="92"/>
      <c r="D102" s="281" t="str">
        <f>IF($C102="","",_xlfn.XLOOKUP($C102,StrategiesSolutions[S&amp;S ID],StrategiesSolutions[Products / Services],""))</f>
        <v/>
      </c>
      <c r="E102" s="93"/>
      <c r="F102" s="93"/>
      <c r="G102" s="282" t="str">
        <f>IF($C102="","",_xlfn.XLOOKUP($C102,StrategiesSolutions[S&amp;S ID],StrategiesSolutions[Dependency],""))</f>
        <v/>
      </c>
      <c r="H102" s="281" t="str">
        <f>IF($C102="","",_xlfn.XLOOKUP($C102,StrategiesSolutions[S&amp;S ID],StrategiesSolutions[Risk Assumption],""))</f>
        <v/>
      </c>
      <c r="I102" s="281" t="str">
        <f>IF($C102="","",_xlfn.XLOOKUP($C102,StrategiesSolutions[S&amp;S ID],StrategiesSolutions[Disruption Scenario],""))</f>
        <v/>
      </c>
      <c r="J102" s="281" t="str">
        <f>IF($C102="","",_xlfn.XLOOKUP($C102,StrategiesSolutions[S&amp;S ID],StrategiesSolutions[Strategy],""))</f>
        <v/>
      </c>
      <c r="K102" s="281" t="str">
        <f>IF($C102="","",_xlfn.LET(_xlpm.x,_xlfn.XLOOKUP($C102,StrategiesSolutions[S&amp;S ID],StrategiesSolutions[Strategy Details / Do nothing Justification],""),IF(_xlpm.x=0,"",_xlpm.x)))</f>
        <v/>
      </c>
      <c r="L102" s="95"/>
      <c r="M102" s="95"/>
      <c r="N102" s="285"/>
      <c r="O102" s="283" t="str">
        <f t="shared" si="5"/>
        <v/>
      </c>
      <c r="P102" s="284" t="str">
        <f ca="1">IF($C102="","",_xlfn.LET(_xlpm.ssStatus,_xlfn.XLOOKUP($C102,StrategiesSolutions[S&amp;S ID],StrategiesSolutions[Status],""),IF($L102="","Not Scheduled",IF($M102="",IF($L102&lt;TODAY(),"Overdue","Scheduled"),IF($N102="","Result Required",IF(OR($E102="",$F102="",$Q102=""),"Incomplete Exercise",IF($N102="Fail","Failed",IF(OR(OR($N102="Pass with Findings",$N102="Pass with finding"),_xlpm.ssStatus&lt;&gt;"Completed"),"Pass with Findings","Passed"))))))))</f>
        <v/>
      </c>
      <c r="Q102" t="str">
        <f t="shared" si="6"/>
        <v/>
      </c>
    </row>
    <row r="103" spans="1:17" x14ac:dyDescent="0.35">
      <c r="A103" s="279">
        <v>98</v>
      </c>
      <c r="B103" s="280" t="str">
        <f t="shared" si="4"/>
        <v/>
      </c>
      <c r="C103" s="92"/>
      <c r="D103" s="281" t="str">
        <f>IF($C103="","",_xlfn.XLOOKUP($C103,StrategiesSolutions[S&amp;S ID],StrategiesSolutions[Products / Services],""))</f>
        <v/>
      </c>
      <c r="E103" s="93"/>
      <c r="F103" s="93"/>
      <c r="G103" s="282" t="str">
        <f>IF($C103="","",_xlfn.XLOOKUP($C103,StrategiesSolutions[S&amp;S ID],StrategiesSolutions[Dependency],""))</f>
        <v/>
      </c>
      <c r="H103" s="281" t="str">
        <f>IF($C103="","",_xlfn.XLOOKUP($C103,StrategiesSolutions[S&amp;S ID],StrategiesSolutions[Risk Assumption],""))</f>
        <v/>
      </c>
      <c r="I103" s="281" t="str">
        <f>IF($C103="","",_xlfn.XLOOKUP($C103,StrategiesSolutions[S&amp;S ID],StrategiesSolutions[Disruption Scenario],""))</f>
        <v/>
      </c>
      <c r="J103" s="281" t="str">
        <f>IF($C103="","",_xlfn.XLOOKUP($C103,StrategiesSolutions[S&amp;S ID],StrategiesSolutions[Strategy],""))</f>
        <v/>
      </c>
      <c r="K103" s="281" t="str">
        <f>IF($C103="","",_xlfn.LET(_xlpm.x,_xlfn.XLOOKUP($C103,StrategiesSolutions[S&amp;S ID],StrategiesSolutions[Strategy Details / Do nothing Justification],""),IF(_xlpm.x=0,"",_xlpm.x)))</f>
        <v/>
      </c>
      <c r="L103" s="95"/>
      <c r="M103" s="95"/>
      <c r="N103" s="285"/>
      <c r="O103" s="283" t="str">
        <f t="shared" si="5"/>
        <v/>
      </c>
      <c r="P103" s="284" t="str">
        <f ca="1">IF($C103="","",_xlfn.LET(_xlpm.ssStatus,_xlfn.XLOOKUP($C103,StrategiesSolutions[S&amp;S ID],StrategiesSolutions[Status],""),IF($L103="","Not Scheduled",IF($M103="",IF($L103&lt;TODAY(),"Overdue","Scheduled"),IF($N103="","Result Required",IF(OR($E103="",$F103="",$Q103=""),"Incomplete Exercise",IF($N103="Fail","Failed",IF(OR(OR($N103="Pass with Findings",$N103="Pass with finding"),_xlpm.ssStatus&lt;&gt;"Completed"),"Pass with Findings","Passed"))))))))</f>
        <v/>
      </c>
      <c r="Q103" t="str">
        <f t="shared" si="6"/>
        <v/>
      </c>
    </row>
    <row r="104" spans="1:17" x14ac:dyDescent="0.35">
      <c r="A104" s="279">
        <v>99</v>
      </c>
      <c r="B104" s="280" t="str">
        <f t="shared" si="4"/>
        <v/>
      </c>
      <c r="C104" s="92"/>
      <c r="D104" s="281" t="str">
        <f>IF($C104="","",_xlfn.XLOOKUP($C104,StrategiesSolutions[S&amp;S ID],StrategiesSolutions[Products / Services],""))</f>
        <v/>
      </c>
      <c r="E104" s="93"/>
      <c r="F104" s="93"/>
      <c r="G104" s="282" t="str">
        <f>IF($C104="","",_xlfn.XLOOKUP($C104,StrategiesSolutions[S&amp;S ID],StrategiesSolutions[Dependency],""))</f>
        <v/>
      </c>
      <c r="H104" s="281" t="str">
        <f>IF($C104="","",_xlfn.XLOOKUP($C104,StrategiesSolutions[S&amp;S ID],StrategiesSolutions[Risk Assumption],""))</f>
        <v/>
      </c>
      <c r="I104" s="281" t="str">
        <f>IF($C104="","",_xlfn.XLOOKUP($C104,StrategiesSolutions[S&amp;S ID],StrategiesSolutions[Disruption Scenario],""))</f>
        <v/>
      </c>
      <c r="J104" s="281" t="str">
        <f>IF($C104="","",_xlfn.XLOOKUP($C104,StrategiesSolutions[S&amp;S ID],StrategiesSolutions[Strategy],""))</f>
        <v/>
      </c>
      <c r="K104" s="281" t="str">
        <f>IF($C104="","",_xlfn.LET(_xlpm.x,_xlfn.XLOOKUP($C104,StrategiesSolutions[S&amp;S ID],StrategiesSolutions[Strategy Details / Do nothing Justification],""),IF(_xlpm.x=0,"",_xlpm.x)))</f>
        <v/>
      </c>
      <c r="L104" s="95"/>
      <c r="M104" s="95"/>
      <c r="N104" s="285"/>
      <c r="O104" s="283" t="str">
        <f t="shared" si="5"/>
        <v/>
      </c>
      <c r="P104" s="284" t="str">
        <f ca="1">IF($C104="","",_xlfn.LET(_xlpm.ssStatus,_xlfn.XLOOKUP($C104,StrategiesSolutions[S&amp;S ID],StrategiesSolutions[Status],""),IF($L104="","Not Scheduled",IF($M104="",IF($L104&lt;TODAY(),"Overdue","Scheduled"),IF($N104="","Result Required",IF(OR($E104="",$F104="",$Q104=""),"Incomplete Exercise",IF($N104="Fail","Failed",IF(OR(OR($N104="Pass with Findings",$N104="Pass with finding"),_xlpm.ssStatus&lt;&gt;"Completed"),"Pass with Findings","Passed"))))))))</f>
        <v/>
      </c>
      <c r="Q104" t="str">
        <f t="shared" si="6"/>
        <v/>
      </c>
    </row>
    <row r="105" spans="1:17" x14ac:dyDescent="0.35">
      <c r="A105" s="279">
        <v>100</v>
      </c>
      <c r="B105" s="280" t="str">
        <f t="shared" si="4"/>
        <v/>
      </c>
      <c r="C105" s="92"/>
      <c r="D105" s="281" t="str">
        <f>IF($C105="","",_xlfn.XLOOKUP($C105,StrategiesSolutions[S&amp;S ID],StrategiesSolutions[Products / Services],""))</f>
        <v/>
      </c>
      <c r="E105" s="93"/>
      <c r="F105" s="93"/>
      <c r="G105" s="282" t="str">
        <f>IF($C105="","",_xlfn.XLOOKUP($C105,StrategiesSolutions[S&amp;S ID],StrategiesSolutions[Dependency],""))</f>
        <v/>
      </c>
      <c r="H105" s="281" t="str">
        <f>IF($C105="","",_xlfn.XLOOKUP($C105,StrategiesSolutions[S&amp;S ID],StrategiesSolutions[Risk Assumption],""))</f>
        <v/>
      </c>
      <c r="I105" s="281" t="str">
        <f>IF($C105="","",_xlfn.XLOOKUP($C105,StrategiesSolutions[S&amp;S ID],StrategiesSolutions[Disruption Scenario],""))</f>
        <v/>
      </c>
      <c r="J105" s="281" t="str">
        <f>IF($C105="","",_xlfn.XLOOKUP($C105,StrategiesSolutions[S&amp;S ID],StrategiesSolutions[Strategy],""))</f>
        <v/>
      </c>
      <c r="K105" s="281" t="str">
        <f>IF($C105="","",_xlfn.LET(_xlpm.x,_xlfn.XLOOKUP($C105,StrategiesSolutions[S&amp;S ID],StrategiesSolutions[Strategy Details / Do nothing Justification],""),IF(_xlpm.x=0,"",_xlpm.x)))</f>
        <v/>
      </c>
      <c r="L105" s="95"/>
      <c r="M105" s="95"/>
      <c r="N105" s="285"/>
      <c r="O105" s="283" t="str">
        <f t="shared" si="5"/>
        <v/>
      </c>
      <c r="P105" s="284" t="str">
        <f ca="1">IF($C105="","",_xlfn.LET(_xlpm.ssStatus,_xlfn.XLOOKUP($C105,StrategiesSolutions[S&amp;S ID],StrategiesSolutions[Status],""),IF($L105="","Not Scheduled",IF($M105="",IF($L105&lt;TODAY(),"Overdue","Scheduled"),IF($N105="","Result Required",IF(OR($E105="",$F105="",$Q105=""),"Incomplete Exercise",IF($N105="Fail","Failed",IF(OR(OR($N105="Pass with Findings",$N105="Pass with finding"),_xlpm.ssStatus&lt;&gt;"Completed"),"Pass with Findings","Passed"))))))))</f>
        <v/>
      </c>
      <c r="Q105" t="str">
        <f t="shared" si="6"/>
        <v/>
      </c>
    </row>
    <row r="110" spans="1:17" x14ac:dyDescent="0.35">
      <c r="K110" s="27"/>
    </row>
    <row r="111" spans="1:17" x14ac:dyDescent="0.35">
      <c r="K111" s="27"/>
    </row>
  </sheetData>
  <mergeCells count="7">
    <mergeCell ref="A2:P2"/>
    <mergeCell ref="A1:P1"/>
    <mergeCell ref="E4:F4"/>
    <mergeCell ref="J4:K4"/>
    <mergeCell ref="G4:I4"/>
    <mergeCell ref="A4:D4"/>
    <mergeCell ref="L4:P4"/>
  </mergeCells>
  <conditionalFormatting sqref="B6:B105 N6:O105">
    <cfRule type="cellIs" dxfId="93" priority="2" operator="equal">
      <formula>"Completed"</formula>
    </cfRule>
    <cfRule type="cellIs" dxfId="92" priority="3" operator="equal">
      <formula>"Overdue"</formula>
    </cfRule>
    <cfRule type="cellIs" dxfId="91" priority="4" operator="equal">
      <formula>"In Progress"</formula>
    </cfRule>
    <cfRule type="cellIs" dxfId="90" priority="5" operator="equal">
      <formula>"Not Scheduled"</formula>
    </cfRule>
  </conditionalFormatting>
  <conditionalFormatting sqref="P6:P105">
    <cfRule type="expression" dxfId="89" priority="6">
      <formula>$P6="Passed"</formula>
    </cfRule>
    <cfRule type="expression" dxfId="88" priority="7">
      <formula>$P6="Pass with Findings"</formula>
    </cfRule>
    <cfRule type="expression" dxfId="87" priority="8">
      <formula>$P6="Failed"</formula>
    </cfRule>
    <cfRule type="expression" dxfId="86" priority="9">
      <formula>$P6="Overdue"</formula>
    </cfRule>
    <cfRule type="expression" dxfId="85" priority="10">
      <formula>OR($P6="Result Required",$P6="Incomplete Exercise")</formula>
    </cfRule>
    <cfRule type="expression" dxfId="84" priority="11">
      <formula>$P6="Scheduled"</formula>
    </cfRule>
    <cfRule type="expression" dxfId="83" priority="12">
      <formula>$P6="Not Scheduled"</formula>
    </cfRule>
    <cfRule type="expression" dxfId="82" priority="13">
      <formula>AND($B6&lt;&gt;"",OR($P6="Overdue",$P6="Not Scheduled"))</formula>
    </cfRule>
  </conditionalFormatting>
  <dataValidations count="2">
    <dataValidation type="list" allowBlank="1" sqref="C6:C105" xr:uid="{00000000-0002-0000-0E00-000000000000}">
      <formula1>SSIDs</formula1>
      <formula2>0</formula2>
    </dataValidation>
    <dataValidation type="list" allowBlank="1" showInputMessage="1" showErrorMessage="1" errorTitle="Invalid result" error="Select Pass, Pass with Findings, or Fail." promptTitle="Exercise result" prompt="Select Pass, Pass with Findings, or Fail based on evidence." sqref="N6:N105" xr:uid="{A3D76ED4-3FB1-4633-B7E5-6EC54AC2817F}">
      <formula1>"Pass,Pass with Findings,Fail"</formula1>
    </dataValidation>
  </dataValidations>
  <pageMargins left="0.75" right="0.75" top="1" bottom="1" header="0.511811023622047" footer="0.51180555555555596"/>
  <pageSetup paperSize="9" orientation="portrait" horizontalDpi="300" verticalDpi="300"/>
  <legacy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2A900"/>
  </sheetPr>
  <dimension ref="A1:X200"/>
  <sheetViews>
    <sheetView showGridLines="0" topLeftCell="I1" zoomScale="70" zoomScaleNormal="70" workbookViewId="0">
      <pane ySplit="5" topLeftCell="A6" activePane="bottomLeft" state="frozen"/>
      <selection pane="bottomLeft" activeCell="X6" sqref="X6:X60"/>
    </sheetView>
  </sheetViews>
  <sheetFormatPr defaultColWidth="8.54296875" defaultRowHeight="14.5" x14ac:dyDescent="0.35"/>
  <cols>
    <col min="1" max="1" width="6.90625" bestFit="1" customWidth="1"/>
    <col min="2" max="2" width="20.54296875" bestFit="1" customWidth="1"/>
    <col min="3" max="3" width="23.453125" bestFit="1" customWidth="1"/>
    <col min="4" max="4" width="11.453125" bestFit="1" customWidth="1"/>
    <col min="5" max="5" width="9.6328125" bestFit="1" customWidth="1"/>
    <col min="6" max="6" width="11.453125" bestFit="1" customWidth="1"/>
    <col min="7" max="7" width="11.81640625" bestFit="1" customWidth="1"/>
    <col min="8" max="8" width="11.1796875" bestFit="1" customWidth="1"/>
    <col min="9" max="9" width="21.90625" bestFit="1" customWidth="1"/>
    <col min="10" max="10" width="20.7265625" bestFit="1" customWidth="1"/>
    <col min="11" max="11" width="17.1796875" bestFit="1" customWidth="1"/>
    <col min="12" max="12" width="11.453125" bestFit="1" customWidth="1"/>
    <col min="13" max="13" width="16.08984375" bestFit="1" customWidth="1"/>
    <col min="14" max="14" width="18.54296875" bestFit="1" customWidth="1"/>
    <col min="15" max="15" width="19.6328125" bestFit="1" customWidth="1"/>
    <col min="16" max="16" width="21.26953125" bestFit="1" customWidth="1"/>
    <col min="17" max="17" width="23.26953125" bestFit="1" customWidth="1"/>
    <col min="18" max="18" width="14" bestFit="1" customWidth="1"/>
    <col min="19" max="19" width="16.08984375" bestFit="1" customWidth="1"/>
    <col min="20" max="20" width="15.6328125" bestFit="1" customWidth="1"/>
    <col min="21" max="21" width="16.1796875" bestFit="1" customWidth="1"/>
    <col min="22" max="22" width="14.1796875" bestFit="1" customWidth="1"/>
    <col min="23" max="23" width="23.453125" bestFit="1" customWidth="1"/>
    <col min="24" max="24" width="17" bestFit="1" customWidth="1"/>
  </cols>
  <sheetData>
    <row r="1" spans="1:24" ht="18.5" x14ac:dyDescent="0.35">
      <c r="A1" s="317" t="s">
        <v>381</v>
      </c>
      <c r="B1" s="317"/>
      <c r="C1" s="317"/>
      <c r="D1" s="317"/>
      <c r="E1" s="317"/>
      <c r="F1" s="317"/>
      <c r="G1" s="317"/>
      <c r="H1" s="317"/>
      <c r="I1" s="317"/>
      <c r="J1" s="317"/>
      <c r="K1" s="317"/>
      <c r="L1" s="317"/>
      <c r="M1" s="317"/>
      <c r="N1" s="317"/>
      <c r="O1" s="317"/>
      <c r="P1" s="317"/>
      <c r="Q1" s="317"/>
      <c r="R1" s="317"/>
      <c r="S1" s="317"/>
      <c r="T1" s="317"/>
      <c r="U1" s="317"/>
      <c r="V1" s="317"/>
      <c r="W1" s="317"/>
      <c r="X1" s="317"/>
    </row>
    <row r="2" spans="1:24" x14ac:dyDescent="0.35">
      <c r="A2" s="318" t="s">
        <v>382</v>
      </c>
      <c r="B2" s="318"/>
      <c r="C2" s="318"/>
      <c r="D2" s="318"/>
      <c r="E2" s="318"/>
      <c r="F2" s="318"/>
      <c r="G2" s="318"/>
      <c r="H2" s="318"/>
      <c r="I2" s="318"/>
      <c r="J2" s="318"/>
      <c r="K2" s="318"/>
      <c r="L2" s="318"/>
      <c r="M2" s="318"/>
      <c r="N2" s="318"/>
      <c r="O2" s="318"/>
      <c r="P2" s="318"/>
      <c r="Q2" s="318"/>
      <c r="R2" s="318"/>
      <c r="S2" s="318"/>
      <c r="T2" s="318"/>
      <c r="U2" s="318"/>
      <c r="V2" s="318"/>
      <c r="W2" s="318"/>
      <c r="X2" s="318"/>
    </row>
    <row r="5" spans="1:24" ht="29" x14ac:dyDescent="0.35">
      <c r="A5" s="201" t="s">
        <v>383</v>
      </c>
      <c r="B5" s="201" t="s">
        <v>346</v>
      </c>
      <c r="C5" s="201" t="s">
        <v>384</v>
      </c>
      <c r="D5" s="201" t="s">
        <v>385</v>
      </c>
      <c r="E5" s="201" t="s">
        <v>386</v>
      </c>
      <c r="F5" s="201" t="s">
        <v>387</v>
      </c>
      <c r="G5" s="201" t="s">
        <v>388</v>
      </c>
      <c r="H5" s="201" t="s">
        <v>389</v>
      </c>
      <c r="I5" s="201" t="s">
        <v>340</v>
      </c>
      <c r="J5" s="201" t="s">
        <v>719</v>
      </c>
      <c r="K5" s="201" t="s">
        <v>718</v>
      </c>
      <c r="L5" s="201" t="s">
        <v>341</v>
      </c>
      <c r="M5" s="201" t="s">
        <v>777</v>
      </c>
      <c r="N5" s="201" t="s">
        <v>778</v>
      </c>
      <c r="O5" s="201" t="s">
        <v>779</v>
      </c>
      <c r="P5" s="201" t="s">
        <v>780</v>
      </c>
      <c r="Q5" s="202" t="s">
        <v>781</v>
      </c>
      <c r="R5" s="202" t="s">
        <v>782</v>
      </c>
      <c r="S5" s="201" t="s">
        <v>940</v>
      </c>
      <c r="T5" s="201" t="s">
        <v>941</v>
      </c>
      <c r="U5" s="201" t="s">
        <v>942</v>
      </c>
      <c r="V5" s="201" t="s">
        <v>943</v>
      </c>
      <c r="W5" s="202" t="s">
        <v>944</v>
      </c>
      <c r="X5" s="202" t="s">
        <v>945</v>
      </c>
    </row>
    <row r="6" spans="1:24" ht="36" x14ac:dyDescent="0.35">
      <c r="A6" s="9" t="str" cm="1">
        <f t="array" ref="A6">_xlfn._xlws.FILTER(INDEX(RiskAssessment[],0,2),INDEX(RiskAssessment[],0,2)&lt;&gt;"","")</f>
        <v>RA-001</v>
      </c>
      <c r="B6" s="286" t="str" cm="1">
        <f t="array" ref="B6">IF(_xlfn.ANCHORARRAY(A6)="","",_xlfn.XLOOKUP(_xlfn.ANCHORARRAY(A6),INDEX(RiskAssessment[],0,2),INDEX(RiskAssessment[],0,7),""))</f>
        <v>Workforce evacuation</v>
      </c>
      <c r="C6" s="286" t="str" cm="1">
        <f t="array" ref="C6">IF(_xlfn.ANCHORARRAY(A6)="","",_xlfn.XLOOKUP(_xlfn.ANCHORARRAY(A6),INDEX(RiskAssessment[],0,2),INDEX(RiskAssessment[],0,8),""))</f>
        <v>Inability to deliver the associated products/services due to [Workforce evacuation]</v>
      </c>
      <c r="D6" s="15" t="str" cm="1">
        <f t="array" ref="D6">IF(_xlfn.ANCHORARRAY(A6)="","",_xlfn.XLOOKUP(_xlfn.ANCHORARRAY(A6),INDEX(RiskAssessment[],0,2),INDEX(RiskAssessment[],0,5),""))</f>
        <v>People</v>
      </c>
      <c r="E6" s="15" t="str" cm="1">
        <f t="array" ref="E6">IF(_xlfn.ANCHORARRAY(A6)="","",_xlfn.XLOOKUP(_xlfn.ANCHORARRAY(A6),INDEX(RiskAssessment[],0,2),INDEX(RiskAssessment[],0,12),""))</f>
        <v>Frequent</v>
      </c>
      <c r="F6" s="15" t="str" cm="1">
        <f t="array" ref="F6">IF(_xlfn.ANCHORARRAY(A6)="","",_xlfn.XLOOKUP(_xlfn.ANCHORARRAY(A6),INDEX(RiskAssessment[],0,2),INDEX(RiskAssessment[],0,14),""))</f>
        <v>Critical</v>
      </c>
      <c r="G6" s="15" t="str" cm="1">
        <f t="array" ref="G6">IF(_xlfn.ANCHORARRAY(A6)="","",_xlfn.XLOOKUP(_xlfn.ANCHORARRAY(A6),INDEX(RiskAssessment[],0,2),INDEX(RiskAssessment[],0,16),""))</f>
        <v>Critical</v>
      </c>
      <c r="H6" s="287" cm="1">
        <f t="array" ref="H6">IF(_xlfn.ANCHORARRAY(A6)="","",_xlfn.XLOOKUP(_xlfn.ANCHORARRAY(A6),INDEX(RiskAssessment[],0,2),INDEX(RiskAssessment[],0,17),""))</f>
        <v>1</v>
      </c>
      <c r="I6" s="286" t="str" cm="1">
        <f t="array" ref="I6">_xlfn.MAP(_xlfn.ANCHORARRAY(A6),_xlfn.LAMBDA(_xlpm.id,IF(_xlpm.id="","",_xlfn.LET(_xlpm.r,_xlfn.XMATCH(_xlpm.id,INDEX(RiskAssessment[],0,2)),_xlpm.selBU,INDEX(INDEX(RiskAssessment[],0,3),_xlpm.r),_xlpm.selDiv,INDEX(INDEX(RiskAssessment[],0,4),_xlpm.r),_xlpm.selDep,INDEX(INDEX(RiskAssessment[],0,5),_xlpm.r),_xlpm.bia,_xlfn.SCAN("",'07. BIA'!$B$6:$B$285,_xlfn.LAMBDA(_xlpm.a,_xlpm.v,IF(_xlpm.v="",_xlpm.a,_xlpm.v))),_xlpm.bu,_xlfn.SCAN("",'07. BIA'!$C$6:$C$285,_xlfn.LAMBDA(_xlpm.a,_xlpm.v,IF(_xlpm.v="",_xlpm.a,_xlpm.v))),_xlpm.div,_xlfn.SCAN("",'07. BIA'!$D$6:$D$285,_xlfn.LAMBDA(_xlpm.a,_xlpm.v,IF(_xlpm.v="",_xlpm.a,_xlpm.v))),_xlpm.srcDep,LOWER(SUBSTITUTE(SUBSTITUTE(SUBSTITUTE('07. BIA'!$G$6:$G$285," ",""),"-",""),"/","")),_xlpm.rawKey,LOWER(SUBSTITUTE(SUBSTITUTE(SUBSTITUTE(_xlpm.selDep," ",""),"-",""),"/","")),_xlpm.key,IF(_xlpm.rawKey="data","datainfo",_xlpm.rawKey),IF(_xlpm.selDiv="",IFERROR(_xlfn.TEXTJOIN(",",TRUE,_xlfn.UNIQUE(_xlfn._xlws.FILTER(_xlpm.bia,(_xlpm.bu=_xlpm.selBU)*(_xlpm.bia&lt;&gt;"")))),""),IF(_xlpm.selDep="","",IFERROR(_xlfn.TEXTJOIN(",",TRUE,_xlfn.UNIQUE(_xlfn._xlws.FILTER(_xlpm.bia,(_xlpm.bu=_xlpm.selBU)*(_xlpm.div=_xlpm.selDiv)*(_xlpm.srcDep=_xlpm.key)*('07. BIA'!$H$6:$H$285="Yes")))),"")))))))</f>
        <v>BIA-001</v>
      </c>
      <c r="J6" s="286" t="str" cm="1">
        <f t="array" ref="J6">_xlfn.MAP(_xlfn.ANCHORARRAY(A6),_xlfn.ANCHORARRAY(I6),_xlfn.LAMBDA(_xlpm.id,_xlpm.bias,IF(_xlpm.id="","",IF(_xlpm.bias="","",_xlfn.LET(_xlpm.x,TRIM(_xlfn.TEXTSPLIT(_xlpm.bias,",")),_xlpm.names,_xlfn.XLOOKUP(_xlpm.x,'07. BIA'!$B$6:$B$285,'07. BIA'!$E$6:$E$285,""),IFERROR(_xlfn.TEXTJOIN(", ",TRUE,_xlfn.UNIQUE(_xlfn._xlws.FILTER(_xlpm.names,_xlpm.names&lt;&gt;""))),""))))))</f>
        <v>cb</v>
      </c>
      <c r="K6" s="286" t="str" cm="1">
        <f t="array" ref="K6">_xlfn.MAP(_xlfn.ANCHORARRAY(A6),_xlfn.LAMBDA(_xlpm.id,IF(_xlpm.id="","",_xlfn.LET(_xlpm.ss,_xlfn._xlws.FILTER(INDEX(StrategiesSolutions[],0,3),(INDEX(StrategiesSolutions[],0,2)=_xlpm.id)*(INDEX(StrategiesSolutions[],0,3)&lt;&gt;""),""),_xlpm.x,_xlfn._xlws.FILTER(INDEX(RecoveryResponsePlans[],0,2),ISNUMBER(_xlfn.XMATCH(INDEX(RecoveryResponsePlans[],0,3),_xlpm.ss))*(INDEX(RecoveryResponsePlans[],0,2)&lt;&gt;""),""),IF(SUM(--(_xlpm.x&lt;&gt;""))=0,"Not Created",_xlfn.TEXTJOIN(",",TRUE,_xlfn.UNIQUE(_xlpm.x)))))))</f>
        <v>RR-001</v>
      </c>
      <c r="L6" s="15" t="str" cm="1">
        <f t="array" ref="L6">_xlfn.MAP(_xlfn.ANCHORARRAY(A6),_xlfn.LAMBDA(_xlpm.id,IF(_xlpm.id="","",_xlfn.LET(_xlpm.x,_xlfn._xlws.FILTER(INDEX(StrategiesSolutions[],0,3),(INDEX(StrategiesSolutions[],0,2)=_xlpm.id)*(INDEX(StrategiesSolutions[],0,3)&lt;&gt;""),""),IF(SUM(--(_xlpm.x&lt;&gt;""))=0,"Not Created",_xlfn.TEXTJOIN(",",TRUE,_xlfn.UNIQUE(_xlpm.x)))))))</f>
        <v>SS-030</v>
      </c>
      <c r="M6" s="15" t="str" cm="1">
        <f t="array" aca="1" ref="M6" ca="1">_xlfn.MAP(_xlfn.ANCHORARRAY(A6),_xlfn.LAMBDA(_xlpm.id,IF(_xlpm.id="","",_xlfn.LET(_xlpm.s,_xlfn._xlws.FILTER(INDEX(StrategiesSolutions[],0,20),(INDEX(StrategiesSolutions[],0,2)=_xlpm.id)*(INDEX(StrategiesSolutions[],0,3)&lt;&gt;""),""),_xlpm.n,SUM(--(_xlpm.s&lt;&gt;"")),_xlpm.ord,{"Completed","Planned","In Progress","Incomplete","Overdue"},IF(_xlpm.n=0,"Not Created",INDEX(_xlpm.ord,1,MAX(IFERROR(_xlfn.XMATCH(_xlpm.s,_xlpm.ord,0),4))))))))</f>
        <v>Planned</v>
      </c>
      <c r="N6" s="288" t="str" cm="1">
        <f t="array" aca="1" ref="N6" ca="1">_xlfn.MAP(_xlfn.ANCHORARRAY(A6),_xlfn.LAMBDA(_xlpm.id,IF(_xlpm.id="","",_xlfn.LET(_xlpm.d,_xlfn._xlws.FILTER(INDEX(StrategiesSolutions[],0,18),(INDEX(StrategiesSolutions[],0,2)=_xlpm.id)*(INDEX(StrategiesSolutions[],0,3)&lt;&gt;"")*(INDEX(StrategiesSolutions[],0,20)&lt;&gt;"Completed")*(ISNUMBER(INDEX(StrategiesSolutions[],0,18))),""),IF(SUM(--ISNUMBER(_xlpm.d))=0,"",MIN(_xlpm.d))))))</f>
        <v/>
      </c>
      <c r="O6" s="15" t="str" cm="1">
        <f t="array" aca="1" ref="O6" ca="1">_xlfn.MAP(_xlfn.ANCHORARRAY(A6),_xlfn.LAMBDA(_xlpm.id,IF(_xlpm.id="","",_xlfn.LET(_xlpm.ss,_xlfn._xlws.FILTER(INDEX(StrategiesSolutions[],0,3),(INDEX(StrategiesSolutions[],0,2)=_xlpm.id)*(INDEX(StrategiesSolutions[],0,3)&lt;&gt;""),""),_xlpm.st,_xlfn._xlws.FILTER(INDEX(RecoveryResponsePlans[],0,16),ISNUMBER(_xlfn.XMATCH(INDEX(RecoveryResponsePlans[],0,3),_xlpm.ss))*(INDEX(RecoveryResponsePlans[],0,2)&lt;&gt;""),""),_xlpm.n,SUM(--(_xlpm.st&lt;&gt;"")),_xlpm.ord,{"Passed","Scheduled","Not Scheduled","Pass with Findings","Result Required","Incomplete Exercise","Overdue","Failed"},IF(_xlpm.n=0,"Not Created",INDEX(_xlpm.ord,1,MAX(IFERROR(_xlfn.XMATCH(_xlpm.st,_xlpm.ord,0),4))))))))</f>
        <v>Not Scheduled</v>
      </c>
      <c r="P6" s="289" t="str" cm="1">
        <f t="array" aca="1" ref="P6" ca="1">IF(_xlfn.ANCHORARRAY(A6)="","",IF(_xlfn.ANCHORARRAY(X6)="Incomplete","Red - Action Required",_xlfn.MAP(_xlfn.ANCHORARRAY(G6),_xlfn.ANCHORARRAY(H6),_xlfn.ANCHORARRAY(M6),_xlfn.ANCHORARRAY(N6),_xlfn.ANCHORARRAY(O6),_xlfn.LAMBDA(_xlpm.rating,_xlpm.priority,_xlpm.ss,_xlpm.due,_xlpm.exercise,_xlfn.LET(_xlpm.critical,OR(_xlpm.rating="Critical",AND(ISNUMBER(_xlpm.priority),_xlpm.priority=1)),_xlpm.unrated,_xlpm.rating="",_xlfn.IFS(OR(_xlpm.unrated,_xlpm.ss="Overdue",_xlpm.exercise="Failed",_xlpm.exercise="Overdue",AND(_xlpm.critical,OR(_xlpm.ss="Not Created",_xlpm.exercise="Not Created"))),"Red - Action Required",OR(_xlpm.ss="Not Created",_xlpm.ss="Incomplete",_xlpm.ss="In Progress",_xlpm.exercise="Not Created",_xlpm.exercise="Result Required",_xlpm.exercise="Not Scheduled",AND(ISNUMBER(_xlpm.due),_xlpm.due&lt;TODAY())),"Amber - Attention",TRUE,"Green - On Track"))))))</f>
        <v>Red - Action Required</v>
      </c>
      <c r="Q6" s="289" t="str" cm="1">
        <f t="array" aca="1" ref="Q6" ca="1">IF(_xlfn.ANCHORARRAY(A6)="","",IF(_xlfn.ANCHORARRAY(X6)="Incomplete","ESCALATE: Source risk record incomplete",_xlfn.MAP(_xlfn.ANCHORARRAY(G6),_xlfn.ANCHORARRAY(H6),_xlfn.ANCHORARRAY(M6),_xlfn.ANCHORARRAY(N6),_xlfn.ANCHORARRAY(O6),_xlfn.ANCHORARRAY(P6),_xlfn.LAMBDA(_xlpm.rating,_xlpm.priority,_xlpm.ss,_xlpm.due,_xlpm.exercise,_xlpm.health,_xlfn.LET(_xlpm.critical,OR(_xlpm.rating="Critical",AND(ISNUMBER(_xlpm.priority),_xlpm.priority=1)),_xlpm.unrated,_xlpm.rating="",_xlfn.IFS(AND(_xlpm.unrated,_xlpm.ss="Not Created"),"ESCALATE: Unrated risk has no strategy",AND(_xlpm.critical,_xlpm.ss="Not Created"),"ESCALATE: Critical risk has no strategy",AND(_xlpm.critical,_xlpm.exercise="Not Created"),"ESCALATE: Critical risk has no recovery plan",_xlpm.ss="Overdue","ESCALATE: Strategy overdue",AND(ISNUMBER(_xlpm.due),_xlpm.due&lt;TODAY()),"ESCALATE: Strategy action overdue",_xlpm.exercise="Overdue","ESCALATE: Exercise overdue",_xlpm.exercise="Failed","ESCALATE: Exercise failed",_xlpm.exercise="Result Required","ESCALATE: Exercise result required",OR(_xlpm.exercise="Not Scheduled",_xlpm.exercise="Not Created"),"REVIEW: Exercise not scheduled",_xlpm.health="Amber - Attention","REVIEW: Treatment needs attention",TRUE,"MONITOR"))))))</f>
        <v>ESCALATE: Source risk record incomplete</v>
      </c>
      <c r="R6" s="289" t="str" cm="1">
        <f t="array" ref="R6">IF(_xlfn.ANCHORARRAY(A6)="","",_xlfn.LET(_xlpm.x,_xlfn.XLOOKUP(_xlfn.ANCHORARRAY(A6),INDEX(RiskAssessment[],0,2),INDEX(RiskAssessment[],0,18),""),IF(_xlpm.x=0,"",_xlpm.x)))</f>
        <v/>
      </c>
      <c r="S6" s="289" cm="1">
        <f t="array" ref="S6">IF(_xlfn.ANCHORARRAY(A6)="","",_xlfn.XLOOKUP(_xlfn.ANCHORARRAY(A6),INDEX(RiskAssessment[],0,2),INDEX(RiskAssessment[],0,21),""))</f>
        <v>0</v>
      </c>
      <c r="T6" s="289" cm="1">
        <f t="array" ref="T6">IF(_xlfn.ANCHORARRAY(A6)="","",_xlfn.XLOOKUP(_xlfn.ANCHORARRAY(A6),INDEX(RiskAssessment[],0,2),INDEX(RiskAssessment[],0,22),""))</f>
        <v>0</v>
      </c>
      <c r="U6" s="289" cm="1">
        <f t="array" ref="U6">IF(_xlfn.ANCHORARRAY(A6)="","",_xlfn.XLOOKUP(_xlfn.ANCHORARRAY(A6),INDEX(RiskAssessment[],0,2),INDEX(RiskAssessment[],0,23),""))</f>
        <v>0</v>
      </c>
      <c r="V6" s="289" cm="1">
        <f t="array" ref="V6">IF(_xlfn.ANCHORARRAY(A6)="","",_xlfn.XLOOKUP(_xlfn.ANCHORARRAY(A6),INDEX(RiskAssessment[],0,2),INDEX(RiskAssessment[],0,24),""))</f>
        <v>0</v>
      </c>
      <c r="W6" s="289" cm="1">
        <f t="array" ref="W6">IF(_xlfn.ANCHORARRAY(A6)="","",_xlfn.XLOOKUP(_xlfn.ANCHORARRAY(A6),INDEX(RiskAssessment[],0,2),INDEX(RiskAssessment[],0,25),""))</f>
        <v>0</v>
      </c>
      <c r="X6" s="289" t="str" cm="1">
        <f t="array" ref="X6">IF(_xlfn.ANCHORARRAY(A6)="","",_xlfn.XLOOKUP(_xlfn.ANCHORARRAY(A6),INDEX(RiskAssessment[],0,2),INDEX(RiskAssessment[],0,26),""))</f>
        <v>Incomplete</v>
      </c>
    </row>
    <row r="7" spans="1:24" x14ac:dyDescent="0.35">
      <c r="A7" s="9"/>
      <c r="B7" s="286"/>
      <c r="C7" s="286"/>
      <c r="D7" s="15"/>
      <c r="E7" s="15"/>
      <c r="F7" s="15"/>
      <c r="G7" s="15"/>
      <c r="H7" s="287"/>
      <c r="I7" s="286"/>
      <c r="J7" s="286"/>
      <c r="K7" s="286"/>
      <c r="L7" s="15"/>
      <c r="M7" s="15"/>
      <c r="N7" s="288"/>
      <c r="O7" s="15"/>
      <c r="P7" s="289"/>
      <c r="Q7" s="289"/>
      <c r="R7" s="289"/>
      <c r="S7" s="289"/>
      <c r="T7" s="289"/>
      <c r="U7" s="289"/>
      <c r="V7" s="289"/>
      <c r="W7" s="289"/>
      <c r="X7" s="289"/>
    </row>
    <row r="8" spans="1:24" x14ac:dyDescent="0.35">
      <c r="A8" s="9"/>
      <c r="B8" s="286"/>
      <c r="C8" s="286"/>
      <c r="D8" s="15"/>
      <c r="E8" s="15"/>
      <c r="F8" s="15"/>
      <c r="G8" s="15"/>
      <c r="H8" s="287"/>
      <c r="I8" s="286"/>
      <c r="J8" s="286"/>
      <c r="K8" s="286"/>
      <c r="L8" s="15"/>
      <c r="M8" s="15"/>
      <c r="N8" s="288"/>
      <c r="O8" s="15"/>
      <c r="P8" s="289"/>
      <c r="Q8" s="289"/>
      <c r="R8" s="289"/>
      <c r="S8" s="289"/>
      <c r="T8" s="289"/>
      <c r="U8" s="289"/>
      <c r="V8" s="289"/>
      <c r="W8" s="289"/>
      <c r="X8" s="289"/>
    </row>
    <row r="9" spans="1:24" x14ac:dyDescent="0.35">
      <c r="A9" s="9"/>
      <c r="B9" s="286"/>
      <c r="C9" s="286"/>
      <c r="D9" s="15"/>
      <c r="E9" s="15"/>
      <c r="F9" s="15"/>
      <c r="G9" s="15"/>
      <c r="H9" s="287"/>
      <c r="I9" s="286"/>
      <c r="J9" s="286"/>
      <c r="K9" s="286"/>
      <c r="L9" s="15"/>
      <c r="M9" s="15"/>
      <c r="N9" s="288"/>
      <c r="O9" s="15"/>
      <c r="P9" s="289"/>
      <c r="Q9" s="289"/>
      <c r="R9" s="289"/>
      <c r="S9" s="289"/>
      <c r="T9" s="289"/>
      <c r="U9" s="289"/>
      <c r="V9" s="289"/>
      <c r="W9" s="289"/>
      <c r="X9" s="289"/>
    </row>
    <row r="10" spans="1:24" x14ac:dyDescent="0.35">
      <c r="A10" s="9"/>
      <c r="B10" s="286"/>
      <c r="C10" s="286"/>
      <c r="D10" s="15"/>
      <c r="E10" s="15"/>
      <c r="F10" s="15"/>
      <c r="G10" s="15"/>
      <c r="H10" s="287"/>
      <c r="I10" s="286"/>
      <c r="J10" s="286"/>
      <c r="K10" s="286"/>
      <c r="L10" s="15"/>
      <c r="M10" s="15"/>
      <c r="N10" s="288"/>
      <c r="O10" s="15"/>
      <c r="P10" s="289"/>
      <c r="Q10" s="289"/>
      <c r="R10" s="289"/>
      <c r="S10" s="289"/>
      <c r="T10" s="289"/>
      <c r="U10" s="289"/>
      <c r="V10" s="289"/>
      <c r="W10" s="289"/>
      <c r="X10" s="289"/>
    </row>
    <row r="11" spans="1:24" x14ac:dyDescent="0.35">
      <c r="A11" s="9"/>
      <c r="B11" s="286"/>
      <c r="C11" s="286"/>
      <c r="D11" s="15"/>
      <c r="E11" s="15"/>
      <c r="F11" s="15"/>
      <c r="G11" s="15"/>
      <c r="H11" s="287"/>
      <c r="I11" s="286"/>
      <c r="J11" s="286"/>
      <c r="K11" s="286"/>
      <c r="L11" s="15"/>
      <c r="M11" s="15"/>
      <c r="N11" s="288"/>
      <c r="O11" s="15"/>
      <c r="P11" s="289"/>
      <c r="Q11" s="289"/>
      <c r="R11" s="289"/>
      <c r="S11" s="289"/>
      <c r="T11" s="289"/>
      <c r="U11" s="289"/>
      <c r="V11" s="289"/>
      <c r="W11" s="289"/>
      <c r="X11" s="289"/>
    </row>
    <row r="12" spans="1:24" x14ac:dyDescent="0.35">
      <c r="A12" s="9"/>
      <c r="B12" s="286"/>
      <c r="C12" s="286"/>
      <c r="D12" s="15"/>
      <c r="E12" s="15"/>
      <c r="F12" s="15"/>
      <c r="G12" s="15"/>
      <c r="H12" s="287"/>
      <c r="I12" s="286"/>
      <c r="J12" s="286"/>
      <c r="K12" s="286"/>
      <c r="L12" s="15"/>
      <c r="M12" s="15"/>
      <c r="N12" s="288"/>
      <c r="O12" s="15"/>
      <c r="P12" s="289"/>
      <c r="Q12" s="289"/>
      <c r="R12" s="289"/>
      <c r="S12" s="289"/>
      <c r="T12" s="289"/>
      <c r="U12" s="289"/>
      <c r="V12" s="289"/>
      <c r="W12" s="289"/>
      <c r="X12" s="289"/>
    </row>
    <row r="13" spans="1:24" x14ac:dyDescent="0.35">
      <c r="A13" s="9"/>
      <c r="B13" s="286"/>
      <c r="C13" s="286"/>
      <c r="D13" s="15"/>
      <c r="E13" s="15"/>
      <c r="F13" s="15"/>
      <c r="G13" s="15"/>
      <c r="H13" s="287"/>
      <c r="I13" s="286"/>
      <c r="J13" s="286"/>
      <c r="K13" s="286"/>
      <c r="L13" s="15"/>
      <c r="M13" s="15"/>
      <c r="N13" s="288"/>
      <c r="O13" s="15"/>
      <c r="P13" s="289"/>
      <c r="Q13" s="289"/>
      <c r="R13" s="289"/>
      <c r="S13" s="289"/>
      <c r="T13" s="289"/>
      <c r="U13" s="289"/>
      <c r="V13" s="289"/>
      <c r="W13" s="289"/>
      <c r="X13" s="289"/>
    </row>
    <row r="14" spans="1:24" x14ac:dyDescent="0.35">
      <c r="A14" s="9"/>
      <c r="B14" s="286"/>
      <c r="C14" s="286"/>
      <c r="D14" s="15"/>
      <c r="E14" s="15"/>
      <c r="F14" s="15"/>
      <c r="G14" s="15"/>
      <c r="H14" s="287"/>
      <c r="I14" s="286"/>
      <c r="J14" s="286"/>
      <c r="K14" s="286"/>
      <c r="L14" s="15"/>
      <c r="M14" s="15"/>
      <c r="N14" s="288"/>
      <c r="O14" s="15"/>
      <c r="P14" s="289"/>
      <c r="Q14" s="289"/>
      <c r="R14" s="289"/>
      <c r="S14" s="289"/>
      <c r="T14" s="289"/>
      <c r="U14" s="289"/>
      <c r="V14" s="289"/>
      <c r="W14" s="289"/>
      <c r="X14" s="289"/>
    </row>
    <row r="15" spans="1:24" x14ac:dyDescent="0.35">
      <c r="A15" s="9"/>
      <c r="B15" s="286"/>
      <c r="C15" s="286"/>
      <c r="D15" s="15"/>
      <c r="E15" s="15"/>
      <c r="F15" s="15"/>
      <c r="G15" s="15"/>
      <c r="H15" s="287"/>
      <c r="I15" s="286"/>
      <c r="J15" s="286"/>
      <c r="K15" s="286"/>
      <c r="L15" s="15"/>
      <c r="M15" s="15"/>
      <c r="N15" s="288"/>
      <c r="O15" s="15"/>
      <c r="P15" s="289"/>
      <c r="Q15" s="289"/>
      <c r="R15" s="289"/>
      <c r="S15" s="289"/>
      <c r="T15" s="289"/>
      <c r="U15" s="289"/>
      <c r="V15" s="289"/>
      <c r="W15" s="289"/>
      <c r="X15" s="289"/>
    </row>
    <row r="16" spans="1:24" x14ac:dyDescent="0.35">
      <c r="A16" s="9"/>
      <c r="B16" s="286"/>
      <c r="C16" s="286"/>
      <c r="D16" s="15"/>
      <c r="E16" s="15"/>
      <c r="F16" s="15"/>
      <c r="G16" s="15"/>
      <c r="H16" s="287"/>
      <c r="I16" s="286"/>
      <c r="J16" s="286"/>
      <c r="K16" s="286"/>
      <c r="L16" s="15"/>
      <c r="M16" s="15"/>
      <c r="N16" s="288"/>
      <c r="O16" s="15"/>
      <c r="P16" s="289"/>
      <c r="Q16" s="289"/>
      <c r="R16" s="289"/>
      <c r="S16" s="289"/>
      <c r="T16" s="289"/>
      <c r="U16" s="289"/>
      <c r="V16" s="289"/>
      <c r="W16" s="289"/>
      <c r="X16" s="289"/>
    </row>
    <row r="17" spans="1:24" x14ac:dyDescent="0.35">
      <c r="A17" s="9"/>
      <c r="B17" s="286"/>
      <c r="C17" s="286"/>
      <c r="D17" s="15"/>
      <c r="E17" s="15"/>
      <c r="F17" s="15"/>
      <c r="G17" s="15"/>
      <c r="H17" s="287"/>
      <c r="I17" s="286"/>
      <c r="J17" s="286"/>
      <c r="K17" s="286"/>
      <c r="L17" s="15"/>
      <c r="M17" s="15"/>
      <c r="N17" s="288"/>
      <c r="O17" s="15"/>
      <c r="P17" s="289"/>
      <c r="Q17" s="289"/>
      <c r="R17" s="289"/>
      <c r="S17" s="289"/>
      <c r="T17" s="289"/>
      <c r="U17" s="289"/>
      <c r="V17" s="289"/>
      <c r="W17" s="289"/>
      <c r="X17" s="289"/>
    </row>
    <row r="18" spans="1:24" x14ac:dyDescent="0.35">
      <c r="A18" s="9"/>
      <c r="B18" s="286"/>
      <c r="C18" s="286"/>
      <c r="D18" s="15"/>
      <c r="E18" s="15"/>
      <c r="F18" s="15"/>
      <c r="G18" s="15"/>
      <c r="H18" s="287"/>
      <c r="I18" s="286"/>
      <c r="J18" s="286"/>
      <c r="K18" s="286"/>
      <c r="L18" s="15"/>
      <c r="M18" s="15"/>
      <c r="N18" s="288"/>
      <c r="O18" s="15"/>
      <c r="P18" s="289"/>
      <c r="Q18" s="289"/>
      <c r="R18" s="289"/>
      <c r="S18" s="289"/>
      <c r="T18" s="289"/>
      <c r="U18" s="289"/>
      <c r="V18" s="289"/>
      <c r="W18" s="289"/>
      <c r="X18" s="289"/>
    </row>
    <row r="19" spans="1:24" x14ac:dyDescent="0.35">
      <c r="A19" s="9"/>
      <c r="B19" s="286"/>
      <c r="C19" s="286"/>
      <c r="D19" s="15"/>
      <c r="E19" s="15"/>
      <c r="F19" s="15"/>
      <c r="G19" s="15"/>
      <c r="H19" s="287"/>
      <c r="I19" s="286"/>
      <c r="J19" s="286"/>
      <c r="K19" s="286"/>
      <c r="L19" s="15"/>
      <c r="M19" s="15"/>
      <c r="N19" s="288"/>
      <c r="O19" s="15"/>
      <c r="P19" s="289"/>
      <c r="Q19" s="289"/>
      <c r="R19" s="289"/>
      <c r="S19" s="289"/>
      <c r="T19" s="289"/>
      <c r="U19" s="289"/>
      <c r="V19" s="289"/>
      <c r="W19" s="289"/>
      <c r="X19" s="289"/>
    </row>
    <row r="20" spans="1:24" x14ac:dyDescent="0.35">
      <c r="A20" s="9"/>
      <c r="B20" s="286"/>
      <c r="C20" s="286"/>
      <c r="D20" s="15"/>
      <c r="E20" s="15"/>
      <c r="F20" s="15"/>
      <c r="G20" s="15"/>
      <c r="H20" s="287"/>
      <c r="I20" s="286"/>
      <c r="J20" s="286"/>
      <c r="K20" s="286"/>
      <c r="L20" s="15"/>
      <c r="M20" s="15"/>
      <c r="N20" s="288"/>
      <c r="O20" s="15"/>
      <c r="P20" s="289"/>
      <c r="Q20" s="289"/>
      <c r="R20" s="289"/>
      <c r="S20" s="289"/>
      <c r="T20" s="289"/>
      <c r="U20" s="289"/>
      <c r="V20" s="289"/>
      <c r="W20" s="289"/>
      <c r="X20" s="289"/>
    </row>
    <row r="21" spans="1:24" x14ac:dyDescent="0.35">
      <c r="A21" s="9"/>
      <c r="B21" s="286"/>
      <c r="C21" s="286"/>
      <c r="D21" s="15"/>
      <c r="E21" s="15"/>
      <c r="F21" s="15"/>
      <c r="G21" s="15"/>
      <c r="H21" s="287"/>
      <c r="I21" s="286"/>
      <c r="J21" s="286"/>
      <c r="K21" s="286"/>
      <c r="L21" s="15"/>
      <c r="M21" s="15"/>
      <c r="N21" s="288"/>
      <c r="O21" s="15"/>
      <c r="P21" s="289"/>
      <c r="Q21" s="289"/>
      <c r="R21" s="289"/>
      <c r="S21" s="289"/>
      <c r="T21" s="289"/>
      <c r="U21" s="289"/>
      <c r="V21" s="289"/>
      <c r="W21" s="289"/>
      <c r="X21" s="289"/>
    </row>
    <row r="22" spans="1:24" x14ac:dyDescent="0.35">
      <c r="A22" s="9"/>
      <c r="B22" s="286"/>
      <c r="C22" s="286"/>
      <c r="D22" s="15"/>
      <c r="E22" s="15"/>
      <c r="F22" s="15"/>
      <c r="G22" s="15"/>
      <c r="H22" s="287"/>
      <c r="I22" s="286"/>
      <c r="J22" s="286"/>
      <c r="K22" s="286"/>
      <c r="L22" s="15"/>
      <c r="M22" s="15"/>
      <c r="N22" s="288"/>
      <c r="O22" s="15"/>
      <c r="P22" s="289"/>
      <c r="Q22" s="289"/>
      <c r="R22" s="289"/>
      <c r="S22" s="289"/>
      <c r="T22" s="289"/>
      <c r="U22" s="289"/>
      <c r="V22" s="289"/>
      <c r="W22" s="289"/>
      <c r="X22" s="289"/>
    </row>
    <row r="23" spans="1:24" x14ac:dyDescent="0.35">
      <c r="A23" s="9"/>
      <c r="B23" s="286"/>
      <c r="C23" s="286"/>
      <c r="D23" s="15"/>
      <c r="E23" s="15"/>
      <c r="F23" s="15"/>
      <c r="G23" s="15"/>
      <c r="H23" s="287"/>
      <c r="I23" s="286"/>
      <c r="J23" s="286"/>
      <c r="K23" s="286"/>
      <c r="L23" s="15"/>
      <c r="M23" s="15"/>
      <c r="N23" s="288"/>
      <c r="O23" s="15"/>
      <c r="P23" s="289"/>
      <c r="Q23" s="289"/>
      <c r="R23" s="289"/>
      <c r="S23" s="289"/>
      <c r="T23" s="289"/>
      <c r="U23" s="289"/>
      <c r="V23" s="289"/>
      <c r="W23" s="289"/>
      <c r="X23" s="289"/>
    </row>
    <row r="24" spans="1:24" x14ac:dyDescent="0.35">
      <c r="A24" s="9"/>
      <c r="B24" s="286"/>
      <c r="C24" s="286"/>
      <c r="D24" s="15"/>
      <c r="E24" s="15"/>
      <c r="F24" s="15"/>
      <c r="G24" s="15"/>
      <c r="H24" s="287"/>
      <c r="I24" s="286"/>
      <c r="J24" s="286"/>
      <c r="K24" s="286"/>
      <c r="L24" s="15"/>
      <c r="M24" s="15"/>
      <c r="N24" s="288"/>
      <c r="O24" s="15"/>
      <c r="P24" s="289"/>
      <c r="Q24" s="289"/>
      <c r="R24" s="289"/>
      <c r="S24" s="289"/>
      <c r="T24" s="289"/>
      <c r="U24" s="289"/>
      <c r="V24" s="289"/>
      <c r="W24" s="289"/>
      <c r="X24" s="289"/>
    </row>
    <row r="25" spans="1:24" x14ac:dyDescent="0.35">
      <c r="A25" s="9"/>
      <c r="B25" s="286"/>
      <c r="C25" s="286"/>
      <c r="D25" s="15"/>
      <c r="E25" s="15"/>
      <c r="F25" s="15"/>
      <c r="G25" s="15"/>
      <c r="H25" s="287"/>
      <c r="I25" s="286"/>
      <c r="J25" s="286"/>
      <c r="K25" s="286"/>
      <c r="L25" s="15"/>
      <c r="M25" s="15"/>
      <c r="N25" s="288"/>
      <c r="O25" s="15"/>
      <c r="P25" s="289"/>
      <c r="Q25" s="289"/>
      <c r="R25" s="289"/>
      <c r="S25" s="289"/>
      <c r="T25" s="289"/>
      <c r="U25" s="289"/>
      <c r="V25" s="289"/>
      <c r="W25" s="289"/>
      <c r="X25" s="289"/>
    </row>
    <row r="26" spans="1:24" x14ac:dyDescent="0.35">
      <c r="A26" s="9"/>
      <c r="B26" s="286"/>
      <c r="C26" s="286"/>
      <c r="D26" s="15"/>
      <c r="E26" s="15"/>
      <c r="F26" s="15"/>
      <c r="G26" s="15"/>
      <c r="H26" s="287"/>
      <c r="I26" s="286"/>
      <c r="J26" s="286"/>
      <c r="K26" s="286"/>
      <c r="L26" s="15"/>
      <c r="M26" s="15"/>
      <c r="N26" s="288"/>
      <c r="O26" s="15"/>
      <c r="P26" s="289"/>
      <c r="Q26" s="289"/>
      <c r="R26" s="289"/>
      <c r="S26" s="289"/>
      <c r="T26" s="289"/>
      <c r="U26" s="289"/>
      <c r="V26" s="289"/>
      <c r="W26" s="289"/>
      <c r="X26" s="289"/>
    </row>
    <row r="27" spans="1:24" x14ac:dyDescent="0.35">
      <c r="A27" s="9"/>
      <c r="B27" s="286"/>
      <c r="C27" s="286"/>
      <c r="D27" s="15"/>
      <c r="E27" s="15"/>
      <c r="F27" s="15"/>
      <c r="G27" s="15"/>
      <c r="H27" s="287"/>
      <c r="I27" s="286"/>
      <c r="J27" s="286"/>
      <c r="K27" s="286"/>
      <c r="L27" s="15"/>
      <c r="M27" s="15"/>
      <c r="N27" s="288"/>
      <c r="O27" s="15"/>
      <c r="P27" s="289"/>
      <c r="Q27" s="289"/>
      <c r="R27" s="289"/>
      <c r="S27" s="289"/>
      <c r="T27" s="289"/>
      <c r="U27" s="289"/>
      <c r="V27" s="289"/>
      <c r="W27" s="289"/>
      <c r="X27" s="289"/>
    </row>
    <row r="28" spans="1:24" x14ac:dyDescent="0.35">
      <c r="A28" s="9"/>
      <c r="B28" s="286"/>
      <c r="C28" s="286"/>
      <c r="D28" s="15"/>
      <c r="E28" s="15"/>
      <c r="F28" s="15"/>
      <c r="G28" s="15"/>
      <c r="H28" s="287"/>
      <c r="I28" s="286"/>
      <c r="J28" s="286"/>
      <c r="K28" s="286"/>
      <c r="L28" s="15"/>
      <c r="M28" s="15"/>
      <c r="N28" s="288"/>
      <c r="O28" s="15"/>
      <c r="P28" s="289"/>
      <c r="Q28" s="289"/>
      <c r="R28" s="289"/>
      <c r="S28" s="289"/>
      <c r="T28" s="289"/>
      <c r="U28" s="289"/>
      <c r="V28" s="289"/>
      <c r="W28" s="289"/>
      <c r="X28" s="289"/>
    </row>
    <row r="29" spans="1:24" x14ac:dyDescent="0.35">
      <c r="A29" s="9"/>
      <c r="B29" s="286"/>
      <c r="C29" s="286"/>
      <c r="D29" s="15"/>
      <c r="E29" s="15"/>
      <c r="F29" s="15"/>
      <c r="G29" s="15"/>
      <c r="H29" s="287"/>
      <c r="I29" s="286"/>
      <c r="J29" s="286"/>
      <c r="K29" s="286"/>
      <c r="L29" s="15"/>
      <c r="M29" s="15"/>
      <c r="N29" s="288"/>
      <c r="O29" s="15"/>
      <c r="P29" s="289"/>
      <c r="Q29" s="289"/>
      <c r="R29" s="289"/>
      <c r="S29" s="289"/>
      <c r="T29" s="289"/>
      <c r="U29" s="289"/>
      <c r="V29" s="289"/>
      <c r="W29" s="289"/>
      <c r="X29" s="289"/>
    </row>
    <row r="30" spans="1:24" x14ac:dyDescent="0.35">
      <c r="A30" s="9"/>
      <c r="B30" s="286"/>
      <c r="C30" s="286"/>
      <c r="D30" s="15"/>
      <c r="E30" s="15"/>
      <c r="F30" s="15"/>
      <c r="G30" s="15"/>
      <c r="H30" s="287"/>
      <c r="I30" s="286"/>
      <c r="J30" s="286"/>
      <c r="K30" s="286"/>
      <c r="L30" s="15"/>
      <c r="M30" s="15"/>
      <c r="N30" s="288"/>
      <c r="O30" s="15"/>
      <c r="P30" s="289"/>
      <c r="Q30" s="289"/>
      <c r="R30" s="289"/>
      <c r="S30" s="289"/>
      <c r="T30" s="289"/>
      <c r="U30" s="289"/>
      <c r="V30" s="289"/>
      <c r="W30" s="289"/>
      <c r="X30" s="289"/>
    </row>
    <row r="31" spans="1:24" x14ac:dyDescent="0.35">
      <c r="A31" s="9"/>
      <c r="B31" s="286"/>
      <c r="C31" s="286"/>
      <c r="D31" s="15"/>
      <c r="E31" s="15"/>
      <c r="F31" s="15"/>
      <c r="G31" s="15"/>
      <c r="H31" s="287"/>
      <c r="I31" s="286"/>
      <c r="J31" s="286"/>
      <c r="K31" s="286"/>
      <c r="L31" s="15"/>
      <c r="M31" s="15"/>
      <c r="N31" s="288"/>
      <c r="O31" s="15"/>
      <c r="P31" s="289"/>
      <c r="Q31" s="289"/>
      <c r="R31" s="289"/>
      <c r="S31" s="289"/>
      <c r="T31" s="289"/>
      <c r="U31" s="289"/>
      <c r="V31" s="289"/>
      <c r="W31" s="289"/>
      <c r="X31" s="289"/>
    </row>
    <row r="32" spans="1:24" x14ac:dyDescent="0.35">
      <c r="A32" s="9"/>
      <c r="B32" s="286"/>
      <c r="C32" s="286"/>
      <c r="D32" s="15"/>
      <c r="E32" s="15"/>
      <c r="F32" s="15"/>
      <c r="G32" s="15"/>
      <c r="H32" s="287"/>
      <c r="I32" s="286"/>
      <c r="J32" s="286"/>
      <c r="K32" s="286"/>
      <c r="L32" s="15"/>
      <c r="M32" s="15"/>
      <c r="N32" s="288"/>
      <c r="O32" s="15"/>
      <c r="P32" s="289"/>
      <c r="Q32" s="289"/>
      <c r="R32" s="289"/>
      <c r="S32" s="289"/>
      <c r="T32" s="289"/>
      <c r="U32" s="289"/>
      <c r="V32" s="289"/>
      <c r="W32" s="289"/>
      <c r="X32" s="289"/>
    </row>
    <row r="33" spans="1:24" x14ac:dyDescent="0.35">
      <c r="A33" s="9"/>
      <c r="B33" s="286"/>
      <c r="C33" s="286"/>
      <c r="D33" s="15"/>
      <c r="E33" s="15"/>
      <c r="F33" s="15"/>
      <c r="G33" s="15"/>
      <c r="H33" s="287"/>
      <c r="I33" s="286"/>
      <c r="J33" s="286"/>
      <c r="K33" s="286"/>
      <c r="L33" s="15"/>
      <c r="M33" s="15"/>
      <c r="N33" s="288"/>
      <c r="O33" s="15"/>
      <c r="P33" s="289"/>
      <c r="Q33" s="289"/>
      <c r="R33" s="289"/>
      <c r="S33" s="289"/>
      <c r="T33" s="289"/>
      <c r="U33" s="289"/>
      <c r="V33" s="289"/>
      <c r="W33" s="289"/>
      <c r="X33" s="289"/>
    </row>
    <row r="34" spans="1:24" x14ac:dyDescent="0.35">
      <c r="A34" s="9"/>
      <c r="B34" s="286"/>
      <c r="C34" s="286"/>
      <c r="D34" s="15"/>
      <c r="E34" s="15"/>
      <c r="F34" s="15"/>
      <c r="G34" s="15"/>
      <c r="H34" s="287"/>
      <c r="I34" s="286"/>
      <c r="J34" s="286"/>
      <c r="K34" s="286"/>
      <c r="L34" s="15"/>
      <c r="M34" s="15"/>
      <c r="N34" s="288"/>
      <c r="O34" s="15"/>
      <c r="P34" s="289"/>
      <c r="Q34" s="289"/>
      <c r="R34" s="289"/>
      <c r="S34" s="289"/>
      <c r="T34" s="289"/>
      <c r="U34" s="289"/>
      <c r="V34" s="289"/>
      <c r="W34" s="289"/>
      <c r="X34" s="289"/>
    </row>
    <row r="35" spans="1:24" x14ac:dyDescent="0.35">
      <c r="A35" s="9"/>
      <c r="B35" s="286"/>
      <c r="C35" s="286"/>
      <c r="D35" s="15"/>
      <c r="E35" s="15"/>
      <c r="F35" s="15"/>
      <c r="G35" s="15"/>
      <c r="H35" s="287"/>
      <c r="I35" s="286"/>
      <c r="J35" s="286"/>
      <c r="K35" s="286"/>
      <c r="L35" s="15"/>
      <c r="M35" s="15"/>
      <c r="N35" s="288"/>
      <c r="O35" s="15"/>
      <c r="P35" s="289"/>
      <c r="Q35" s="289"/>
      <c r="R35" s="289"/>
      <c r="S35" s="289"/>
      <c r="T35" s="289"/>
      <c r="U35" s="289"/>
      <c r="V35" s="289"/>
      <c r="W35" s="289"/>
      <c r="X35" s="289"/>
    </row>
    <row r="36" spans="1:24" x14ac:dyDescent="0.35">
      <c r="A36" s="9"/>
      <c r="B36" s="286"/>
      <c r="C36" s="286"/>
      <c r="D36" s="15"/>
      <c r="E36" s="15"/>
      <c r="F36" s="15"/>
      <c r="G36" s="15"/>
      <c r="H36" s="287"/>
      <c r="I36" s="286"/>
      <c r="J36" s="286"/>
      <c r="K36" s="286"/>
      <c r="L36" s="15"/>
      <c r="M36" s="15"/>
      <c r="N36" s="288"/>
      <c r="O36" s="15"/>
      <c r="P36" s="289"/>
      <c r="Q36" s="289"/>
      <c r="R36" s="289"/>
      <c r="S36" s="289"/>
      <c r="T36" s="289"/>
      <c r="U36" s="289"/>
      <c r="V36" s="289"/>
      <c r="W36" s="289"/>
      <c r="X36" s="289"/>
    </row>
    <row r="37" spans="1:24" x14ac:dyDescent="0.35">
      <c r="A37" s="9"/>
      <c r="B37" s="286"/>
      <c r="C37" s="286"/>
      <c r="D37" s="15"/>
      <c r="E37" s="15"/>
      <c r="F37" s="15"/>
      <c r="G37" s="15"/>
      <c r="H37" s="287"/>
      <c r="I37" s="286"/>
      <c r="J37" s="286"/>
      <c r="K37" s="286"/>
      <c r="L37" s="15"/>
      <c r="M37" s="15"/>
      <c r="N37" s="288"/>
      <c r="O37" s="15"/>
      <c r="P37" s="289"/>
      <c r="Q37" s="289"/>
      <c r="R37" s="289"/>
      <c r="S37" s="289"/>
      <c r="T37" s="289"/>
      <c r="U37" s="289"/>
      <c r="V37" s="289"/>
      <c r="W37" s="289"/>
      <c r="X37" s="289"/>
    </row>
    <row r="38" spans="1:24" x14ac:dyDescent="0.35">
      <c r="A38" s="9"/>
      <c r="B38" s="286"/>
      <c r="C38" s="286"/>
      <c r="D38" s="15"/>
      <c r="E38" s="15"/>
      <c r="F38" s="15"/>
      <c r="G38" s="15"/>
      <c r="H38" s="287"/>
      <c r="I38" s="286"/>
      <c r="J38" s="286"/>
      <c r="K38" s="286"/>
      <c r="L38" s="15"/>
      <c r="M38" s="15"/>
      <c r="N38" s="288"/>
      <c r="O38" s="15"/>
      <c r="P38" s="289"/>
      <c r="Q38" s="289"/>
      <c r="R38" s="289"/>
      <c r="S38" s="289"/>
      <c r="T38" s="289"/>
      <c r="U38" s="289"/>
      <c r="V38" s="289"/>
      <c r="W38" s="289"/>
      <c r="X38" s="289"/>
    </row>
    <row r="39" spans="1:24" x14ac:dyDescent="0.35">
      <c r="A39" s="9"/>
      <c r="B39" s="286"/>
      <c r="C39" s="286"/>
      <c r="D39" s="15"/>
      <c r="E39" s="15"/>
      <c r="F39" s="15"/>
      <c r="G39" s="15"/>
      <c r="H39" s="287"/>
      <c r="I39" s="286"/>
      <c r="J39" s="286"/>
      <c r="K39" s="286"/>
      <c r="L39" s="15"/>
      <c r="M39" s="15"/>
      <c r="N39" s="288"/>
      <c r="O39" s="15"/>
      <c r="P39" s="289"/>
      <c r="Q39" s="289"/>
      <c r="R39" s="289"/>
      <c r="S39" s="289"/>
      <c r="T39" s="289"/>
      <c r="U39" s="289"/>
      <c r="V39" s="289"/>
      <c r="W39" s="289"/>
      <c r="X39" s="289"/>
    </row>
    <row r="40" spans="1:24" x14ac:dyDescent="0.35">
      <c r="A40" s="9"/>
      <c r="B40" s="286"/>
      <c r="C40" s="286"/>
      <c r="D40" s="15"/>
      <c r="E40" s="15"/>
      <c r="F40" s="15"/>
      <c r="G40" s="15"/>
      <c r="H40" s="287"/>
      <c r="I40" s="286"/>
      <c r="J40" s="286"/>
      <c r="K40" s="286"/>
      <c r="L40" s="15"/>
      <c r="M40" s="15"/>
      <c r="N40" s="288"/>
      <c r="O40" s="15"/>
      <c r="P40" s="289"/>
      <c r="Q40" s="289"/>
      <c r="R40" s="289"/>
      <c r="S40" s="289"/>
      <c r="T40" s="289"/>
      <c r="U40" s="289"/>
      <c r="V40" s="289"/>
      <c r="W40" s="289"/>
      <c r="X40" s="289"/>
    </row>
    <row r="41" spans="1:24" x14ac:dyDescent="0.35">
      <c r="A41" s="9"/>
      <c r="B41" s="286"/>
      <c r="C41" s="286"/>
      <c r="D41" s="15"/>
      <c r="E41" s="15"/>
      <c r="F41" s="15"/>
      <c r="G41" s="15"/>
      <c r="H41" s="287"/>
      <c r="I41" s="286"/>
      <c r="J41" s="286"/>
      <c r="K41" s="286"/>
      <c r="L41" s="15"/>
      <c r="M41" s="15"/>
      <c r="N41" s="288"/>
      <c r="O41" s="15"/>
      <c r="P41" s="289"/>
      <c r="Q41" s="289"/>
      <c r="R41" s="289"/>
      <c r="S41" s="289"/>
      <c r="T41" s="289"/>
      <c r="U41" s="289"/>
      <c r="V41" s="289"/>
      <c r="W41" s="289"/>
      <c r="X41" s="289"/>
    </row>
    <row r="42" spans="1:24" x14ac:dyDescent="0.35">
      <c r="A42" s="9"/>
      <c r="B42" s="286"/>
      <c r="C42" s="286"/>
      <c r="D42" s="15"/>
      <c r="E42" s="15"/>
      <c r="F42" s="15"/>
      <c r="G42" s="15"/>
      <c r="H42" s="287"/>
      <c r="I42" s="286"/>
      <c r="J42" s="286"/>
      <c r="K42" s="286"/>
      <c r="L42" s="15"/>
      <c r="M42" s="15"/>
      <c r="N42" s="288"/>
      <c r="O42" s="15"/>
      <c r="P42" s="289"/>
      <c r="Q42" s="289"/>
      <c r="R42" s="289"/>
      <c r="S42" s="289"/>
      <c r="T42" s="289"/>
      <c r="U42" s="289"/>
      <c r="V42" s="289"/>
      <c r="W42" s="289"/>
      <c r="X42" s="289"/>
    </row>
    <row r="43" spans="1:24" x14ac:dyDescent="0.35">
      <c r="A43" s="9"/>
      <c r="B43" s="286"/>
      <c r="C43" s="286"/>
      <c r="D43" s="15"/>
      <c r="E43" s="15"/>
      <c r="F43" s="15"/>
      <c r="G43" s="15"/>
      <c r="H43" s="287"/>
      <c r="I43" s="286"/>
      <c r="J43" s="286"/>
      <c r="K43" s="286"/>
      <c r="L43" s="15"/>
      <c r="M43" s="15"/>
      <c r="N43" s="288"/>
      <c r="O43" s="15"/>
      <c r="P43" s="289"/>
      <c r="Q43" s="289"/>
      <c r="R43" s="289"/>
      <c r="S43" s="289"/>
      <c r="T43" s="289"/>
      <c r="U43" s="289"/>
      <c r="V43" s="289"/>
      <c r="W43" s="289"/>
      <c r="X43" s="289"/>
    </row>
    <row r="44" spans="1:24" x14ac:dyDescent="0.35">
      <c r="A44" s="9"/>
      <c r="B44" s="286"/>
      <c r="C44" s="286"/>
      <c r="D44" s="15"/>
      <c r="E44" s="15"/>
      <c r="F44" s="15"/>
      <c r="G44" s="15"/>
      <c r="H44" s="287"/>
      <c r="I44" s="286"/>
      <c r="J44" s="286"/>
      <c r="K44" s="286"/>
      <c r="L44" s="15"/>
      <c r="M44" s="15"/>
      <c r="N44" s="288"/>
      <c r="O44" s="15"/>
      <c r="P44" s="289"/>
      <c r="Q44" s="289"/>
      <c r="R44" s="289"/>
      <c r="S44" s="289"/>
      <c r="T44" s="289"/>
      <c r="U44" s="289"/>
      <c r="V44" s="289"/>
      <c r="W44" s="289"/>
      <c r="X44" s="289"/>
    </row>
    <row r="45" spans="1:24" x14ac:dyDescent="0.35">
      <c r="A45" s="9"/>
      <c r="B45" s="286"/>
      <c r="C45" s="286"/>
      <c r="D45" s="15"/>
      <c r="E45" s="15"/>
      <c r="F45" s="15"/>
      <c r="G45" s="15"/>
      <c r="H45" s="287"/>
      <c r="I45" s="286"/>
      <c r="J45" s="286"/>
      <c r="K45" s="286"/>
      <c r="L45" s="15"/>
      <c r="M45" s="15"/>
      <c r="N45" s="288"/>
      <c r="O45" s="15"/>
      <c r="P45" s="289"/>
      <c r="Q45" s="289"/>
      <c r="R45" s="289"/>
      <c r="S45" s="289"/>
      <c r="T45" s="289"/>
      <c r="U45" s="289"/>
      <c r="V45" s="289"/>
      <c r="W45" s="289"/>
      <c r="X45" s="289"/>
    </row>
    <row r="46" spans="1:24" x14ac:dyDescent="0.35">
      <c r="A46" s="9"/>
      <c r="B46" s="286"/>
      <c r="C46" s="286"/>
      <c r="D46" s="15"/>
      <c r="E46" s="15"/>
      <c r="F46" s="15"/>
      <c r="G46" s="15"/>
      <c r="H46" s="287"/>
      <c r="I46" s="286"/>
      <c r="J46" s="286"/>
      <c r="K46" s="286"/>
      <c r="L46" s="15"/>
      <c r="M46" s="15"/>
      <c r="N46" s="288"/>
      <c r="O46" s="15"/>
      <c r="P46" s="289"/>
      <c r="Q46" s="289"/>
      <c r="R46" s="289"/>
      <c r="S46" s="289"/>
      <c r="T46" s="289"/>
      <c r="U46" s="289"/>
      <c r="V46" s="289"/>
      <c r="W46" s="289"/>
      <c r="X46" s="289"/>
    </row>
    <row r="47" spans="1:24" x14ac:dyDescent="0.35">
      <c r="A47" s="9"/>
      <c r="B47" s="286"/>
      <c r="C47" s="286"/>
      <c r="D47" s="15"/>
      <c r="E47" s="15"/>
      <c r="F47" s="15"/>
      <c r="G47" s="15"/>
      <c r="H47" s="287"/>
      <c r="I47" s="286"/>
      <c r="J47" s="286"/>
      <c r="K47" s="286"/>
      <c r="L47" s="15"/>
      <c r="M47" s="15"/>
      <c r="N47" s="288"/>
      <c r="O47" s="15"/>
      <c r="P47" s="289"/>
      <c r="Q47" s="289"/>
      <c r="R47" s="289"/>
      <c r="S47" s="289"/>
      <c r="T47" s="289"/>
      <c r="U47" s="289"/>
      <c r="V47" s="289"/>
      <c r="W47" s="289"/>
      <c r="X47" s="289"/>
    </row>
    <row r="48" spans="1:24" x14ac:dyDescent="0.35">
      <c r="A48" s="9"/>
      <c r="B48" s="286"/>
      <c r="C48" s="286"/>
      <c r="D48" s="15"/>
      <c r="E48" s="15"/>
      <c r="F48" s="15"/>
      <c r="G48" s="15"/>
      <c r="H48" s="287"/>
      <c r="I48" s="286"/>
      <c r="J48" s="286"/>
      <c r="K48" s="286"/>
      <c r="L48" s="15"/>
      <c r="M48" s="15"/>
      <c r="N48" s="288"/>
      <c r="O48" s="15"/>
      <c r="P48" s="289"/>
      <c r="Q48" s="289"/>
      <c r="R48" s="289"/>
      <c r="S48" s="289"/>
      <c r="T48" s="289"/>
      <c r="U48" s="289"/>
      <c r="V48" s="289"/>
      <c r="W48" s="289"/>
      <c r="X48" s="289"/>
    </row>
    <row r="49" spans="1:24" x14ac:dyDescent="0.35">
      <c r="A49" s="9"/>
      <c r="B49" s="286"/>
      <c r="C49" s="286"/>
      <c r="D49" s="15"/>
      <c r="E49" s="15"/>
      <c r="F49" s="15"/>
      <c r="G49" s="15"/>
      <c r="H49" s="287"/>
      <c r="I49" s="286"/>
      <c r="J49" s="286"/>
      <c r="K49" s="286"/>
      <c r="L49" s="15"/>
      <c r="M49" s="15"/>
      <c r="N49" s="288"/>
      <c r="O49" s="15"/>
      <c r="P49" s="289"/>
      <c r="Q49" s="289"/>
      <c r="R49" s="289"/>
      <c r="S49" s="289"/>
      <c r="T49" s="289"/>
      <c r="U49" s="289"/>
      <c r="V49" s="289"/>
      <c r="W49" s="289"/>
      <c r="X49" s="289"/>
    </row>
    <row r="50" spans="1:24" x14ac:dyDescent="0.35">
      <c r="A50" s="9"/>
      <c r="B50" s="286"/>
      <c r="C50" s="286"/>
      <c r="D50" s="15"/>
      <c r="E50" s="15"/>
      <c r="F50" s="15"/>
      <c r="G50" s="15"/>
      <c r="H50" s="287"/>
      <c r="I50" s="286"/>
      <c r="J50" s="286"/>
      <c r="K50" s="286"/>
      <c r="L50" s="15"/>
      <c r="M50" s="15"/>
      <c r="N50" s="288"/>
      <c r="O50" s="15"/>
      <c r="P50" s="289"/>
      <c r="Q50" s="289"/>
      <c r="R50" s="289"/>
      <c r="S50" s="289"/>
      <c r="T50" s="289"/>
      <c r="U50" s="289"/>
      <c r="V50" s="289"/>
      <c r="W50" s="289"/>
      <c r="X50" s="289"/>
    </row>
    <row r="51" spans="1:24" x14ac:dyDescent="0.35">
      <c r="A51" s="9"/>
      <c r="B51" s="286"/>
      <c r="C51" s="286"/>
      <c r="D51" s="15"/>
      <c r="E51" s="15"/>
      <c r="F51" s="15"/>
      <c r="G51" s="15"/>
      <c r="H51" s="287"/>
      <c r="I51" s="286"/>
      <c r="J51" s="286"/>
      <c r="K51" s="286"/>
      <c r="L51" s="15"/>
      <c r="M51" s="15"/>
      <c r="N51" s="288"/>
      <c r="O51" s="15"/>
      <c r="P51" s="289"/>
      <c r="Q51" s="289"/>
      <c r="R51" s="289"/>
      <c r="S51" s="289"/>
      <c r="T51" s="289"/>
      <c r="U51" s="289"/>
      <c r="V51" s="289"/>
      <c r="W51" s="289"/>
      <c r="X51" s="289"/>
    </row>
    <row r="52" spans="1:24" x14ac:dyDescent="0.35">
      <c r="A52" s="9"/>
      <c r="B52" s="286"/>
      <c r="C52" s="286"/>
      <c r="D52" s="15"/>
      <c r="E52" s="15"/>
      <c r="F52" s="15"/>
      <c r="G52" s="15"/>
      <c r="H52" s="287"/>
      <c r="I52" s="286"/>
      <c r="J52" s="286"/>
      <c r="K52" s="286"/>
      <c r="L52" s="15"/>
      <c r="M52" s="15"/>
      <c r="N52" s="288"/>
      <c r="O52" s="15"/>
      <c r="P52" s="289"/>
      <c r="Q52" s="289"/>
      <c r="R52" s="289"/>
      <c r="S52" s="289"/>
      <c r="T52" s="289"/>
      <c r="U52" s="289"/>
      <c r="V52" s="289"/>
      <c r="W52" s="289"/>
      <c r="X52" s="289"/>
    </row>
    <row r="53" spans="1:24" x14ac:dyDescent="0.35">
      <c r="A53" s="9"/>
      <c r="B53" s="286"/>
      <c r="C53" s="286"/>
      <c r="D53" s="15"/>
      <c r="E53" s="15"/>
      <c r="F53" s="15"/>
      <c r="G53" s="15"/>
      <c r="H53" s="287"/>
      <c r="I53" s="286"/>
      <c r="J53" s="286"/>
      <c r="K53" s="286"/>
      <c r="L53" s="15"/>
      <c r="M53" s="15"/>
      <c r="N53" s="288"/>
      <c r="O53" s="15"/>
      <c r="P53" s="289"/>
      <c r="Q53" s="289"/>
      <c r="R53" s="289"/>
      <c r="S53" s="289"/>
      <c r="T53" s="289"/>
      <c r="U53" s="289"/>
      <c r="V53" s="289"/>
      <c r="W53" s="289"/>
      <c r="X53" s="289"/>
    </row>
    <row r="54" spans="1:24" x14ac:dyDescent="0.35">
      <c r="A54" s="9"/>
      <c r="B54" s="286"/>
      <c r="C54" s="286"/>
      <c r="D54" s="15"/>
      <c r="E54" s="15"/>
      <c r="F54" s="15"/>
      <c r="G54" s="15"/>
      <c r="H54" s="287"/>
      <c r="I54" s="286"/>
      <c r="J54" s="286"/>
      <c r="K54" s="286"/>
      <c r="L54" s="15"/>
      <c r="M54" s="15"/>
      <c r="N54" s="288"/>
      <c r="O54" s="15"/>
      <c r="P54" s="289"/>
      <c r="Q54" s="289"/>
      <c r="R54" s="289"/>
      <c r="S54" s="289"/>
      <c r="T54" s="289"/>
      <c r="U54" s="289"/>
      <c r="V54" s="289"/>
      <c r="W54" s="289"/>
      <c r="X54" s="289"/>
    </row>
    <row r="55" spans="1:24" x14ac:dyDescent="0.35">
      <c r="A55" s="9"/>
      <c r="B55" s="286"/>
      <c r="C55" s="286"/>
      <c r="D55" s="15"/>
      <c r="E55" s="15"/>
      <c r="F55" s="15"/>
      <c r="G55" s="15"/>
      <c r="H55" s="287"/>
      <c r="I55" s="286"/>
      <c r="J55" s="286"/>
      <c r="K55" s="286"/>
      <c r="L55" s="15"/>
      <c r="M55" s="15"/>
      <c r="N55" s="288"/>
      <c r="O55" s="15"/>
      <c r="P55" s="289"/>
      <c r="Q55" s="289"/>
      <c r="R55" s="289"/>
      <c r="S55" s="289"/>
      <c r="T55" s="289"/>
      <c r="U55" s="289"/>
      <c r="V55" s="289"/>
      <c r="W55" s="289"/>
      <c r="X55" s="289"/>
    </row>
    <row r="56" spans="1:24" x14ac:dyDescent="0.35">
      <c r="A56" s="9"/>
      <c r="B56" s="286"/>
      <c r="C56" s="286"/>
      <c r="D56" s="15"/>
      <c r="E56" s="15"/>
      <c r="F56" s="15"/>
      <c r="G56" s="15"/>
      <c r="H56" s="287"/>
      <c r="I56" s="286"/>
      <c r="J56" s="286"/>
      <c r="K56" s="286"/>
      <c r="L56" s="15"/>
      <c r="M56" s="15"/>
      <c r="N56" s="288"/>
      <c r="O56" s="15"/>
      <c r="P56" s="289"/>
      <c r="Q56" s="289"/>
      <c r="R56" s="289"/>
      <c r="S56" s="289"/>
      <c r="T56" s="289"/>
      <c r="U56" s="289"/>
      <c r="V56" s="289"/>
      <c r="W56" s="289"/>
      <c r="X56" s="289"/>
    </row>
    <row r="57" spans="1:24" x14ac:dyDescent="0.35">
      <c r="A57" s="9"/>
      <c r="B57" s="286"/>
      <c r="C57" s="286"/>
      <c r="D57" s="15"/>
      <c r="E57" s="15"/>
      <c r="F57" s="15"/>
      <c r="G57" s="15"/>
      <c r="H57" s="287"/>
      <c r="I57" s="286"/>
      <c r="J57" s="286"/>
      <c r="K57" s="286"/>
      <c r="L57" s="15"/>
      <c r="M57" s="15"/>
      <c r="N57" s="288"/>
      <c r="O57" s="15"/>
      <c r="P57" s="289"/>
      <c r="Q57" s="289"/>
      <c r="R57" s="289"/>
      <c r="S57" s="289"/>
      <c r="T57" s="289"/>
      <c r="U57" s="289"/>
      <c r="V57" s="289"/>
      <c r="W57" s="289"/>
      <c r="X57" s="289"/>
    </row>
    <row r="58" spans="1:24" x14ac:dyDescent="0.35">
      <c r="A58" s="9"/>
      <c r="B58" s="286"/>
      <c r="C58" s="286"/>
      <c r="D58" s="15"/>
      <c r="E58" s="15"/>
      <c r="F58" s="15"/>
      <c r="G58" s="15"/>
      <c r="H58" s="287"/>
      <c r="I58" s="286"/>
      <c r="J58" s="286"/>
      <c r="K58" s="286"/>
      <c r="L58" s="15"/>
      <c r="M58" s="15"/>
      <c r="N58" s="288"/>
      <c r="O58" s="15"/>
      <c r="P58" s="289"/>
      <c r="Q58" s="289"/>
      <c r="R58" s="289"/>
      <c r="S58" s="289"/>
      <c r="T58" s="289"/>
      <c r="U58" s="289"/>
      <c r="V58" s="289"/>
      <c r="W58" s="289"/>
      <c r="X58" s="289"/>
    </row>
    <row r="59" spans="1:24" x14ac:dyDescent="0.35">
      <c r="A59" s="9"/>
      <c r="B59" s="286"/>
      <c r="C59" s="286"/>
      <c r="D59" s="15"/>
      <c r="E59" s="15"/>
      <c r="F59" s="15"/>
      <c r="G59" s="15"/>
      <c r="H59" s="287"/>
      <c r="I59" s="286"/>
      <c r="J59" s="286"/>
      <c r="K59" s="286"/>
      <c r="L59" s="15"/>
      <c r="M59" s="15"/>
      <c r="N59" s="288"/>
      <c r="O59" s="15"/>
      <c r="P59" s="289"/>
      <c r="Q59" s="289"/>
      <c r="R59" s="289"/>
      <c r="S59" s="289"/>
      <c r="T59" s="289"/>
      <c r="U59" s="289"/>
      <c r="V59" s="289"/>
      <c r="W59" s="289"/>
      <c r="X59" s="289"/>
    </row>
    <row r="60" spans="1:24" x14ac:dyDescent="0.35">
      <c r="A60" s="9"/>
      <c r="B60" s="286"/>
      <c r="C60" s="286"/>
      <c r="D60" s="15"/>
      <c r="E60" s="15"/>
      <c r="F60" s="15"/>
      <c r="G60" s="15"/>
      <c r="H60" s="287"/>
      <c r="I60" s="286"/>
      <c r="J60" s="286"/>
      <c r="K60" s="286"/>
      <c r="L60" s="15"/>
      <c r="M60" s="15"/>
      <c r="N60" s="288"/>
      <c r="O60" s="15"/>
      <c r="P60" s="289"/>
      <c r="Q60" s="289"/>
      <c r="R60" s="289"/>
      <c r="S60" s="289"/>
      <c r="T60" s="289"/>
      <c r="U60" s="289"/>
      <c r="V60" s="289"/>
      <c r="W60" s="289"/>
      <c r="X60" s="289"/>
    </row>
    <row r="61" spans="1:24" x14ac:dyDescent="0.35">
      <c r="A61" s="7"/>
      <c r="B61" s="7"/>
      <c r="C61" s="7"/>
      <c r="D61" s="7"/>
      <c r="E61" s="7"/>
      <c r="F61" s="7"/>
      <c r="G61" s="7"/>
      <c r="H61" s="205"/>
      <c r="I61" s="7"/>
      <c r="J61" s="7"/>
      <c r="K61" s="7"/>
      <c r="L61" s="7"/>
      <c r="M61" s="7"/>
      <c r="N61" s="203"/>
      <c r="O61" s="7"/>
      <c r="Q61" s="7"/>
      <c r="R61" s="7"/>
    </row>
    <row r="62" spans="1:24" x14ac:dyDescent="0.35">
      <c r="A62" s="7"/>
      <c r="B62" s="7"/>
      <c r="C62" s="7"/>
      <c r="D62" s="7"/>
      <c r="E62" s="7"/>
      <c r="F62" s="7"/>
      <c r="G62" s="7"/>
      <c r="H62" s="205"/>
      <c r="I62" s="7"/>
      <c r="J62" s="7"/>
      <c r="K62" s="7"/>
      <c r="L62" s="7"/>
      <c r="M62" s="7"/>
      <c r="N62" s="203"/>
      <c r="O62" s="7"/>
      <c r="Q62" s="7"/>
      <c r="R62" s="7"/>
    </row>
    <row r="63" spans="1:24" x14ac:dyDescent="0.35">
      <c r="A63" s="7"/>
      <c r="B63" s="7"/>
      <c r="C63" s="7"/>
      <c r="D63" s="7"/>
      <c r="E63" s="7"/>
      <c r="F63" s="7"/>
      <c r="G63" s="7"/>
      <c r="H63" s="205"/>
      <c r="I63" s="7"/>
      <c r="J63" s="7"/>
      <c r="K63" s="7"/>
      <c r="L63" s="7"/>
      <c r="M63" s="7"/>
      <c r="N63" s="203"/>
      <c r="O63" s="7"/>
      <c r="Q63" s="7"/>
      <c r="R63" s="7"/>
    </row>
    <row r="64" spans="1:24" x14ac:dyDescent="0.35">
      <c r="A64" s="7"/>
      <c r="B64" s="7"/>
      <c r="C64" s="7"/>
      <c r="D64" s="7"/>
      <c r="E64" s="7"/>
      <c r="F64" s="7"/>
      <c r="G64" s="7"/>
      <c r="H64" s="205"/>
      <c r="I64" s="7"/>
      <c r="J64" s="7"/>
      <c r="K64" s="7"/>
      <c r="L64" s="7"/>
      <c r="M64" s="7"/>
      <c r="N64" s="203"/>
      <c r="O64" s="7"/>
      <c r="Q64" s="7"/>
      <c r="R64" s="7"/>
    </row>
    <row r="65" spans="1:18" x14ac:dyDescent="0.35">
      <c r="A65" s="7"/>
      <c r="B65" s="7"/>
      <c r="C65" s="7"/>
      <c r="D65" s="7"/>
      <c r="E65" s="7"/>
      <c r="F65" s="7"/>
      <c r="G65" s="7"/>
      <c r="H65" s="205"/>
      <c r="I65" s="7"/>
      <c r="J65" s="7"/>
      <c r="K65" s="7"/>
      <c r="L65" s="7"/>
      <c r="M65" s="7"/>
      <c r="N65" s="203"/>
      <c r="O65" s="7"/>
      <c r="Q65" s="7"/>
      <c r="R65" s="7"/>
    </row>
    <row r="66" spans="1:18" x14ac:dyDescent="0.35">
      <c r="B66" s="7"/>
      <c r="C66" s="7"/>
      <c r="H66" s="206"/>
      <c r="N66" s="204"/>
      <c r="Q66" s="7"/>
      <c r="R66" s="7"/>
    </row>
    <row r="67" spans="1:18" x14ac:dyDescent="0.35">
      <c r="B67" s="7"/>
      <c r="C67" s="7"/>
      <c r="H67" s="206"/>
      <c r="N67" s="204"/>
      <c r="Q67" s="7"/>
      <c r="R67" s="7"/>
    </row>
    <row r="68" spans="1:18" x14ac:dyDescent="0.35">
      <c r="B68" s="7"/>
      <c r="C68" s="7"/>
      <c r="H68" s="206"/>
      <c r="N68" s="204"/>
      <c r="Q68" s="7"/>
      <c r="R68" s="7"/>
    </row>
    <row r="69" spans="1:18" x14ac:dyDescent="0.35">
      <c r="B69" s="7"/>
      <c r="C69" s="7"/>
      <c r="H69" s="206"/>
      <c r="N69" s="204"/>
      <c r="Q69" s="7"/>
      <c r="R69" s="7"/>
    </row>
    <row r="70" spans="1:18" x14ac:dyDescent="0.35">
      <c r="B70" s="7"/>
      <c r="C70" s="7"/>
      <c r="H70" s="206"/>
      <c r="N70" s="204"/>
      <c r="Q70" s="7"/>
      <c r="R70" s="7"/>
    </row>
    <row r="71" spans="1:18" x14ac:dyDescent="0.35">
      <c r="B71" s="7"/>
      <c r="C71" s="7"/>
      <c r="H71" s="206"/>
      <c r="N71" s="204"/>
      <c r="Q71" s="7"/>
      <c r="R71" s="7"/>
    </row>
    <row r="72" spans="1:18" x14ac:dyDescent="0.35">
      <c r="B72" s="7"/>
      <c r="C72" s="7"/>
      <c r="H72" s="206"/>
      <c r="N72" s="204"/>
      <c r="Q72" s="7"/>
      <c r="R72" s="7"/>
    </row>
    <row r="73" spans="1:18" x14ac:dyDescent="0.35">
      <c r="B73" s="7"/>
      <c r="C73" s="7"/>
      <c r="H73" s="206"/>
      <c r="N73" s="204"/>
      <c r="Q73" s="7"/>
      <c r="R73" s="7"/>
    </row>
    <row r="74" spans="1:18" x14ac:dyDescent="0.35">
      <c r="B74" s="7"/>
      <c r="C74" s="7"/>
      <c r="H74" s="206"/>
      <c r="N74" s="204"/>
      <c r="Q74" s="7"/>
      <c r="R74" s="7"/>
    </row>
    <row r="75" spans="1:18" x14ac:dyDescent="0.35">
      <c r="B75" s="7"/>
      <c r="C75" s="7"/>
      <c r="H75" s="206"/>
      <c r="N75" s="204"/>
      <c r="Q75" s="7"/>
      <c r="R75" s="7"/>
    </row>
    <row r="76" spans="1:18" x14ac:dyDescent="0.35">
      <c r="B76" s="7"/>
      <c r="C76" s="7"/>
      <c r="H76" s="206"/>
      <c r="N76" s="204"/>
      <c r="Q76" s="7"/>
      <c r="R76" s="7"/>
    </row>
    <row r="77" spans="1:18" x14ac:dyDescent="0.35">
      <c r="B77" s="7"/>
      <c r="C77" s="7"/>
      <c r="H77" s="206"/>
      <c r="N77" s="204"/>
      <c r="Q77" s="7"/>
      <c r="R77" s="7"/>
    </row>
    <row r="78" spans="1:18" x14ac:dyDescent="0.35">
      <c r="B78" s="7"/>
      <c r="C78" s="7"/>
      <c r="H78" s="206"/>
      <c r="N78" s="204"/>
      <c r="Q78" s="7"/>
      <c r="R78" s="7"/>
    </row>
    <row r="79" spans="1:18" x14ac:dyDescent="0.35">
      <c r="B79" s="7"/>
      <c r="C79" s="7"/>
      <c r="H79" s="206"/>
      <c r="N79" s="204"/>
      <c r="Q79" s="7"/>
      <c r="R79" s="7"/>
    </row>
    <row r="80" spans="1:18" x14ac:dyDescent="0.35">
      <c r="B80" s="7"/>
      <c r="C80" s="7"/>
      <c r="H80" s="206"/>
      <c r="N80" s="204"/>
      <c r="Q80" s="7"/>
      <c r="R80" s="7"/>
    </row>
    <row r="81" spans="2:18" x14ac:dyDescent="0.35">
      <c r="B81" s="7"/>
      <c r="C81" s="7"/>
      <c r="H81" s="206"/>
      <c r="N81" s="204"/>
      <c r="Q81" s="7"/>
      <c r="R81" s="7"/>
    </row>
    <row r="82" spans="2:18" x14ac:dyDescent="0.35">
      <c r="B82" s="7"/>
      <c r="C82" s="7"/>
      <c r="H82" s="206"/>
      <c r="N82" s="204"/>
      <c r="Q82" s="7"/>
      <c r="R82" s="7"/>
    </row>
    <row r="83" spans="2:18" x14ac:dyDescent="0.35">
      <c r="B83" s="7"/>
      <c r="C83" s="7"/>
      <c r="H83" s="206"/>
      <c r="N83" s="204"/>
      <c r="Q83" s="7"/>
      <c r="R83" s="7"/>
    </row>
    <row r="84" spans="2:18" x14ac:dyDescent="0.35">
      <c r="B84" s="7"/>
      <c r="C84" s="7"/>
      <c r="H84" s="206"/>
      <c r="N84" s="204"/>
      <c r="Q84" s="7"/>
      <c r="R84" s="7"/>
    </row>
    <row r="85" spans="2:18" x14ac:dyDescent="0.35">
      <c r="B85" s="7"/>
      <c r="C85" s="7"/>
      <c r="H85" s="206"/>
      <c r="N85" s="204"/>
      <c r="Q85" s="7"/>
      <c r="R85" s="7"/>
    </row>
    <row r="86" spans="2:18" x14ac:dyDescent="0.35">
      <c r="B86" s="7"/>
      <c r="C86" s="7"/>
      <c r="H86" s="206"/>
      <c r="N86" s="204"/>
      <c r="Q86" s="7"/>
      <c r="R86" s="7"/>
    </row>
    <row r="87" spans="2:18" x14ac:dyDescent="0.35">
      <c r="B87" s="7"/>
      <c r="C87" s="7"/>
      <c r="H87" s="206"/>
      <c r="N87" s="204"/>
      <c r="Q87" s="7"/>
      <c r="R87" s="7"/>
    </row>
    <row r="88" spans="2:18" x14ac:dyDescent="0.35">
      <c r="B88" s="7"/>
      <c r="C88" s="7"/>
      <c r="H88" s="206"/>
      <c r="N88" s="204"/>
      <c r="Q88" s="7"/>
      <c r="R88" s="7"/>
    </row>
    <row r="89" spans="2:18" x14ac:dyDescent="0.35">
      <c r="B89" s="7"/>
      <c r="C89" s="7"/>
      <c r="H89" s="206"/>
      <c r="N89" s="204"/>
      <c r="Q89" s="7"/>
      <c r="R89" s="7"/>
    </row>
    <row r="90" spans="2:18" x14ac:dyDescent="0.35">
      <c r="B90" s="7"/>
      <c r="C90" s="7"/>
      <c r="H90" s="206"/>
      <c r="N90" s="204"/>
      <c r="Q90" s="7"/>
      <c r="R90" s="7"/>
    </row>
    <row r="91" spans="2:18" x14ac:dyDescent="0.35">
      <c r="B91" s="7"/>
      <c r="C91" s="7"/>
      <c r="H91" s="206"/>
      <c r="N91" s="204"/>
      <c r="Q91" s="7"/>
      <c r="R91" s="7"/>
    </row>
    <row r="92" spans="2:18" x14ac:dyDescent="0.35">
      <c r="B92" s="7"/>
      <c r="C92" s="7"/>
      <c r="H92" s="206"/>
      <c r="N92" s="204"/>
      <c r="Q92" s="7"/>
      <c r="R92" s="7"/>
    </row>
    <row r="93" spans="2:18" x14ac:dyDescent="0.35">
      <c r="B93" s="7"/>
      <c r="C93" s="7"/>
      <c r="H93" s="206"/>
      <c r="N93" s="204"/>
      <c r="Q93" s="7"/>
      <c r="R93" s="7"/>
    </row>
    <row r="94" spans="2:18" x14ac:dyDescent="0.35">
      <c r="B94" s="7"/>
      <c r="C94" s="7"/>
      <c r="H94" s="206"/>
      <c r="N94" s="204"/>
      <c r="Q94" s="7"/>
      <c r="R94" s="7"/>
    </row>
    <row r="95" spans="2:18" x14ac:dyDescent="0.35">
      <c r="B95" s="7"/>
      <c r="C95" s="7"/>
      <c r="H95" s="206"/>
      <c r="N95" s="204"/>
      <c r="Q95" s="7"/>
      <c r="R95" s="7"/>
    </row>
    <row r="96" spans="2:18" x14ac:dyDescent="0.35">
      <c r="B96" s="7"/>
      <c r="C96" s="7"/>
      <c r="H96" s="206"/>
      <c r="N96" s="204"/>
      <c r="Q96" s="7"/>
      <c r="R96" s="7"/>
    </row>
    <row r="97" spans="2:18" x14ac:dyDescent="0.35">
      <c r="B97" s="7"/>
      <c r="C97" s="7"/>
      <c r="H97" s="206"/>
      <c r="N97" s="204"/>
      <c r="Q97" s="7"/>
      <c r="R97" s="7"/>
    </row>
    <row r="98" spans="2:18" x14ac:dyDescent="0.35">
      <c r="B98" s="7"/>
      <c r="C98" s="7"/>
      <c r="H98" s="206"/>
      <c r="N98" s="204"/>
      <c r="Q98" s="7"/>
      <c r="R98" s="7"/>
    </row>
    <row r="99" spans="2:18" x14ac:dyDescent="0.35">
      <c r="B99" s="7"/>
      <c r="C99" s="7"/>
      <c r="H99" s="206"/>
      <c r="N99" s="204"/>
      <c r="Q99" s="7"/>
      <c r="R99" s="7"/>
    </row>
    <row r="100" spans="2:18" x14ac:dyDescent="0.35">
      <c r="B100" s="7"/>
      <c r="C100" s="7"/>
      <c r="H100" s="206"/>
      <c r="N100" s="204"/>
      <c r="Q100" s="7"/>
      <c r="R100" s="7"/>
    </row>
    <row r="101" spans="2:18" x14ac:dyDescent="0.35">
      <c r="B101" s="7"/>
      <c r="C101" s="7"/>
      <c r="H101" s="206"/>
      <c r="N101" s="204"/>
      <c r="Q101" s="7"/>
      <c r="R101" s="7"/>
    </row>
    <row r="102" spans="2:18" x14ac:dyDescent="0.35">
      <c r="B102" s="7"/>
      <c r="C102" s="7"/>
      <c r="H102" s="206"/>
      <c r="N102" s="204"/>
      <c r="Q102" s="7"/>
      <c r="R102" s="7"/>
    </row>
    <row r="103" spans="2:18" x14ac:dyDescent="0.35">
      <c r="B103" s="7"/>
      <c r="C103" s="7"/>
      <c r="H103" s="206"/>
      <c r="N103" s="204"/>
      <c r="Q103" s="7"/>
      <c r="R103" s="7"/>
    </row>
    <row r="104" spans="2:18" x14ac:dyDescent="0.35">
      <c r="B104" s="7"/>
      <c r="C104" s="7"/>
      <c r="H104" s="206"/>
      <c r="N104" s="204"/>
      <c r="Q104" s="7"/>
      <c r="R104" s="7"/>
    </row>
    <row r="105" spans="2:18" x14ac:dyDescent="0.35">
      <c r="B105" s="7"/>
      <c r="C105" s="7"/>
      <c r="H105" s="206"/>
      <c r="N105" s="204"/>
      <c r="Q105" s="7"/>
      <c r="R105" s="7"/>
    </row>
    <row r="106" spans="2:18" x14ac:dyDescent="0.35">
      <c r="B106" s="7"/>
      <c r="C106" s="7"/>
      <c r="H106" s="206"/>
      <c r="N106" s="204"/>
      <c r="Q106" s="7"/>
      <c r="R106" s="7"/>
    </row>
    <row r="107" spans="2:18" x14ac:dyDescent="0.35">
      <c r="B107" s="7"/>
      <c r="C107" s="7"/>
      <c r="H107" s="206"/>
      <c r="N107" s="204"/>
      <c r="Q107" s="7"/>
      <c r="R107" s="7"/>
    </row>
    <row r="108" spans="2:18" x14ac:dyDescent="0.35">
      <c r="B108" s="7"/>
      <c r="C108" s="7"/>
      <c r="H108" s="206"/>
      <c r="N108" s="204"/>
      <c r="Q108" s="7"/>
      <c r="R108" s="7"/>
    </row>
    <row r="109" spans="2:18" x14ac:dyDescent="0.35">
      <c r="B109" s="7"/>
      <c r="C109" s="7"/>
      <c r="H109" s="206"/>
      <c r="N109" s="204"/>
      <c r="Q109" s="7"/>
      <c r="R109" s="7"/>
    </row>
    <row r="110" spans="2:18" x14ac:dyDescent="0.35">
      <c r="B110" s="7"/>
      <c r="C110" s="7"/>
      <c r="H110" s="206"/>
      <c r="N110" s="204"/>
      <c r="Q110" s="7"/>
      <c r="R110" s="7"/>
    </row>
    <row r="111" spans="2:18" x14ac:dyDescent="0.35">
      <c r="B111" s="7"/>
      <c r="C111" s="7"/>
      <c r="H111" s="206"/>
      <c r="N111" s="204"/>
      <c r="Q111" s="7"/>
      <c r="R111" s="7"/>
    </row>
    <row r="112" spans="2:18" x14ac:dyDescent="0.35">
      <c r="B112" s="7"/>
      <c r="C112" s="7"/>
      <c r="H112" s="206"/>
      <c r="N112" s="204"/>
      <c r="Q112" s="7"/>
      <c r="R112" s="7"/>
    </row>
    <row r="113" spans="2:18" x14ac:dyDescent="0.35">
      <c r="B113" s="7"/>
      <c r="C113" s="7"/>
      <c r="H113" s="206"/>
      <c r="N113" s="204"/>
      <c r="Q113" s="7"/>
      <c r="R113" s="7"/>
    </row>
    <row r="114" spans="2:18" x14ac:dyDescent="0.35">
      <c r="B114" s="7"/>
      <c r="C114" s="7"/>
      <c r="H114" s="206"/>
      <c r="N114" s="204"/>
      <c r="Q114" s="7"/>
      <c r="R114" s="7"/>
    </row>
    <row r="115" spans="2:18" x14ac:dyDescent="0.35">
      <c r="B115" s="7"/>
      <c r="C115" s="7"/>
      <c r="H115" s="206"/>
      <c r="N115" s="204"/>
      <c r="Q115" s="7"/>
      <c r="R115" s="7"/>
    </row>
    <row r="116" spans="2:18" x14ac:dyDescent="0.35">
      <c r="B116" s="7"/>
      <c r="C116" s="7"/>
      <c r="H116" s="206"/>
      <c r="N116" s="204"/>
      <c r="Q116" s="7"/>
      <c r="R116" s="7"/>
    </row>
    <row r="117" spans="2:18" x14ac:dyDescent="0.35">
      <c r="B117" s="7"/>
      <c r="C117" s="7"/>
      <c r="H117" s="206"/>
      <c r="N117" s="204"/>
      <c r="Q117" s="7"/>
      <c r="R117" s="7"/>
    </row>
    <row r="118" spans="2:18" x14ac:dyDescent="0.35">
      <c r="B118" s="7"/>
      <c r="C118" s="7"/>
      <c r="H118" s="206"/>
      <c r="N118" s="204"/>
      <c r="Q118" s="7"/>
      <c r="R118" s="7"/>
    </row>
    <row r="119" spans="2:18" x14ac:dyDescent="0.35">
      <c r="B119" s="7"/>
      <c r="C119" s="7"/>
      <c r="H119" s="206"/>
      <c r="N119" s="204"/>
      <c r="Q119" s="7"/>
      <c r="R119" s="7"/>
    </row>
    <row r="120" spans="2:18" x14ac:dyDescent="0.35">
      <c r="B120" s="7"/>
      <c r="C120" s="7"/>
      <c r="H120" s="206"/>
      <c r="N120" s="204"/>
      <c r="Q120" s="7"/>
      <c r="R120" s="7"/>
    </row>
    <row r="121" spans="2:18" x14ac:dyDescent="0.35">
      <c r="B121" s="7"/>
      <c r="C121" s="7"/>
      <c r="H121" s="206"/>
      <c r="N121" s="204"/>
      <c r="Q121" s="7"/>
      <c r="R121" s="7"/>
    </row>
    <row r="122" spans="2:18" x14ac:dyDescent="0.35">
      <c r="B122" s="7"/>
      <c r="C122" s="7"/>
      <c r="H122" s="206"/>
      <c r="N122" s="204"/>
      <c r="Q122" s="7"/>
      <c r="R122" s="7"/>
    </row>
    <row r="123" spans="2:18" x14ac:dyDescent="0.35">
      <c r="B123" s="7"/>
      <c r="C123" s="7"/>
      <c r="H123" s="206"/>
      <c r="N123" s="204"/>
      <c r="Q123" s="7"/>
      <c r="R123" s="7"/>
    </row>
    <row r="124" spans="2:18" x14ac:dyDescent="0.35">
      <c r="B124" s="7"/>
      <c r="C124" s="7"/>
      <c r="H124" s="206"/>
      <c r="N124" s="204"/>
      <c r="Q124" s="7"/>
      <c r="R124" s="7"/>
    </row>
    <row r="125" spans="2:18" x14ac:dyDescent="0.35">
      <c r="B125" s="7"/>
      <c r="C125" s="7"/>
      <c r="H125" s="206"/>
      <c r="N125" s="204"/>
      <c r="Q125" s="7"/>
      <c r="R125" s="7"/>
    </row>
    <row r="126" spans="2:18" x14ac:dyDescent="0.35">
      <c r="B126" s="7"/>
      <c r="C126" s="7"/>
      <c r="H126" s="206"/>
      <c r="N126" s="204"/>
      <c r="Q126" s="7"/>
      <c r="R126" s="7"/>
    </row>
    <row r="127" spans="2:18" x14ac:dyDescent="0.35">
      <c r="B127" s="7"/>
      <c r="C127" s="7"/>
      <c r="H127" s="206"/>
      <c r="N127" s="204"/>
      <c r="Q127" s="7"/>
      <c r="R127" s="7"/>
    </row>
    <row r="128" spans="2:18" x14ac:dyDescent="0.35">
      <c r="B128" s="7"/>
      <c r="C128" s="7"/>
      <c r="H128" s="206"/>
      <c r="N128" s="204"/>
      <c r="Q128" s="7"/>
      <c r="R128" s="7"/>
    </row>
    <row r="129" spans="2:18" x14ac:dyDescent="0.35">
      <c r="B129" s="7"/>
      <c r="C129" s="7"/>
      <c r="H129" s="206"/>
      <c r="N129" s="204"/>
      <c r="Q129" s="7"/>
      <c r="R129" s="7"/>
    </row>
    <row r="130" spans="2:18" x14ac:dyDescent="0.35">
      <c r="B130" s="7"/>
      <c r="C130" s="7"/>
      <c r="H130" s="206"/>
      <c r="N130" s="204"/>
      <c r="Q130" s="7"/>
      <c r="R130" s="7"/>
    </row>
    <row r="131" spans="2:18" x14ac:dyDescent="0.35">
      <c r="B131" s="7"/>
      <c r="C131" s="7"/>
      <c r="H131" s="206"/>
      <c r="N131" s="204"/>
      <c r="Q131" s="7"/>
      <c r="R131" s="7"/>
    </row>
    <row r="132" spans="2:18" x14ac:dyDescent="0.35">
      <c r="B132" s="7"/>
      <c r="C132" s="7"/>
      <c r="H132" s="206"/>
      <c r="N132" s="204"/>
      <c r="Q132" s="7"/>
      <c r="R132" s="7"/>
    </row>
    <row r="133" spans="2:18" x14ac:dyDescent="0.35">
      <c r="B133" s="7"/>
      <c r="C133" s="7"/>
      <c r="H133" s="206"/>
      <c r="N133" s="204"/>
      <c r="Q133" s="7"/>
      <c r="R133" s="7"/>
    </row>
    <row r="134" spans="2:18" x14ac:dyDescent="0.35">
      <c r="B134" s="7"/>
      <c r="C134" s="7"/>
      <c r="H134" s="206"/>
      <c r="N134" s="204"/>
      <c r="Q134" s="7"/>
      <c r="R134" s="7"/>
    </row>
    <row r="135" spans="2:18" x14ac:dyDescent="0.35">
      <c r="B135" s="7"/>
      <c r="C135" s="7"/>
      <c r="H135" s="206"/>
      <c r="N135" s="204"/>
      <c r="Q135" s="7"/>
      <c r="R135" s="7"/>
    </row>
    <row r="136" spans="2:18" x14ac:dyDescent="0.35">
      <c r="B136" s="7"/>
      <c r="C136" s="7"/>
      <c r="H136" s="206"/>
      <c r="N136" s="204"/>
      <c r="Q136" s="7"/>
      <c r="R136" s="7"/>
    </row>
    <row r="137" spans="2:18" x14ac:dyDescent="0.35">
      <c r="B137" s="7"/>
      <c r="C137" s="7"/>
      <c r="H137" s="206"/>
      <c r="N137" s="204"/>
      <c r="Q137" s="7"/>
      <c r="R137" s="7"/>
    </row>
    <row r="138" spans="2:18" x14ac:dyDescent="0.35">
      <c r="B138" s="7"/>
      <c r="C138" s="7"/>
      <c r="H138" s="206"/>
      <c r="N138" s="204"/>
      <c r="Q138" s="7"/>
      <c r="R138" s="7"/>
    </row>
    <row r="139" spans="2:18" x14ac:dyDescent="0.35">
      <c r="B139" s="7"/>
      <c r="C139" s="7"/>
      <c r="H139" s="206"/>
      <c r="N139" s="204"/>
      <c r="Q139" s="7"/>
      <c r="R139" s="7"/>
    </row>
    <row r="140" spans="2:18" x14ac:dyDescent="0.35">
      <c r="B140" s="7"/>
      <c r="C140" s="7"/>
      <c r="H140" s="206"/>
      <c r="N140" s="204"/>
      <c r="Q140" s="7"/>
      <c r="R140" s="7"/>
    </row>
    <row r="141" spans="2:18" x14ac:dyDescent="0.35">
      <c r="B141" s="7"/>
      <c r="C141" s="7"/>
      <c r="H141" s="206"/>
      <c r="N141" s="204"/>
      <c r="Q141" s="7"/>
      <c r="R141" s="7"/>
    </row>
    <row r="142" spans="2:18" x14ac:dyDescent="0.35">
      <c r="B142" s="7"/>
      <c r="C142" s="7"/>
      <c r="H142" s="206"/>
      <c r="N142" s="204"/>
      <c r="Q142" s="7"/>
      <c r="R142" s="7"/>
    </row>
    <row r="143" spans="2:18" x14ac:dyDescent="0.35">
      <c r="B143" s="7"/>
      <c r="C143" s="7"/>
      <c r="H143" s="206"/>
      <c r="N143" s="204"/>
      <c r="Q143" s="7"/>
      <c r="R143" s="7"/>
    </row>
    <row r="144" spans="2:18" x14ac:dyDescent="0.35">
      <c r="B144" s="7"/>
      <c r="C144" s="7"/>
      <c r="H144" s="206"/>
      <c r="N144" s="204"/>
      <c r="Q144" s="7"/>
      <c r="R144" s="7"/>
    </row>
    <row r="145" spans="2:18" x14ac:dyDescent="0.35">
      <c r="B145" s="7"/>
      <c r="C145" s="7"/>
      <c r="H145" s="206"/>
      <c r="N145" s="204"/>
      <c r="Q145" s="7"/>
      <c r="R145" s="7"/>
    </row>
    <row r="146" spans="2:18" x14ac:dyDescent="0.35">
      <c r="B146" s="7"/>
      <c r="C146" s="7"/>
      <c r="H146" s="206"/>
      <c r="N146" s="204"/>
      <c r="Q146" s="7"/>
      <c r="R146" s="7"/>
    </row>
    <row r="147" spans="2:18" x14ac:dyDescent="0.35">
      <c r="B147" s="7"/>
      <c r="C147" s="7"/>
      <c r="H147" s="206"/>
      <c r="N147" s="204"/>
      <c r="Q147" s="7"/>
      <c r="R147" s="7"/>
    </row>
    <row r="148" spans="2:18" x14ac:dyDescent="0.35">
      <c r="B148" s="7"/>
      <c r="C148" s="7"/>
      <c r="H148" s="206"/>
      <c r="N148" s="204"/>
      <c r="Q148" s="7"/>
      <c r="R148" s="7"/>
    </row>
    <row r="149" spans="2:18" x14ac:dyDescent="0.35">
      <c r="B149" s="7"/>
      <c r="C149" s="7"/>
      <c r="H149" s="206"/>
      <c r="N149" s="204"/>
      <c r="Q149" s="7"/>
      <c r="R149" s="7"/>
    </row>
    <row r="150" spans="2:18" x14ac:dyDescent="0.35">
      <c r="B150" s="7"/>
      <c r="C150" s="7"/>
      <c r="H150" s="206"/>
      <c r="N150" s="204"/>
      <c r="Q150" s="7"/>
      <c r="R150" s="7"/>
    </row>
    <row r="151" spans="2:18" x14ac:dyDescent="0.35">
      <c r="B151" s="7"/>
      <c r="C151" s="7"/>
      <c r="H151" s="206"/>
      <c r="N151" s="204"/>
      <c r="Q151" s="7"/>
      <c r="R151" s="7"/>
    </row>
    <row r="152" spans="2:18" x14ac:dyDescent="0.35">
      <c r="B152" s="7"/>
      <c r="C152" s="7"/>
      <c r="H152" s="206"/>
      <c r="N152" s="204"/>
      <c r="Q152" s="7"/>
      <c r="R152" s="7"/>
    </row>
    <row r="153" spans="2:18" x14ac:dyDescent="0.35">
      <c r="B153" s="7"/>
      <c r="C153" s="7"/>
      <c r="H153" s="206"/>
      <c r="N153" s="204"/>
      <c r="Q153" s="7"/>
      <c r="R153" s="7"/>
    </row>
    <row r="154" spans="2:18" x14ac:dyDescent="0.35">
      <c r="B154" s="7"/>
      <c r="C154" s="7"/>
      <c r="H154" s="206"/>
      <c r="N154" s="204"/>
      <c r="Q154" s="7"/>
      <c r="R154" s="7"/>
    </row>
    <row r="155" spans="2:18" x14ac:dyDescent="0.35">
      <c r="B155" s="7"/>
      <c r="C155" s="7"/>
      <c r="H155" s="206"/>
      <c r="N155" s="204"/>
      <c r="Q155" s="7"/>
      <c r="R155" s="7"/>
    </row>
    <row r="156" spans="2:18" x14ac:dyDescent="0.35">
      <c r="B156" s="7"/>
      <c r="C156" s="7"/>
      <c r="H156" s="206"/>
      <c r="N156" s="204"/>
      <c r="Q156" s="7"/>
      <c r="R156" s="7"/>
    </row>
    <row r="157" spans="2:18" x14ac:dyDescent="0.35">
      <c r="B157" s="7"/>
      <c r="C157" s="7"/>
      <c r="H157" s="206"/>
      <c r="N157" s="204"/>
      <c r="Q157" s="7"/>
      <c r="R157" s="7"/>
    </row>
    <row r="158" spans="2:18" x14ac:dyDescent="0.35">
      <c r="B158" s="7"/>
      <c r="C158" s="7"/>
      <c r="H158" s="206"/>
      <c r="N158" s="204"/>
      <c r="Q158" s="7"/>
      <c r="R158" s="7"/>
    </row>
    <row r="159" spans="2:18" x14ac:dyDescent="0.35">
      <c r="B159" s="7"/>
      <c r="C159" s="7"/>
      <c r="H159" s="206"/>
      <c r="N159" s="204"/>
      <c r="Q159" s="7"/>
      <c r="R159" s="7"/>
    </row>
    <row r="160" spans="2:18" x14ac:dyDescent="0.35">
      <c r="B160" s="7"/>
      <c r="C160" s="7"/>
      <c r="H160" s="206"/>
      <c r="N160" s="204"/>
      <c r="Q160" s="7"/>
      <c r="R160" s="7"/>
    </row>
    <row r="161" spans="2:18" x14ac:dyDescent="0.35">
      <c r="B161" s="7"/>
      <c r="C161" s="7"/>
      <c r="H161" s="206"/>
      <c r="N161" s="204"/>
      <c r="Q161" s="7"/>
      <c r="R161" s="7"/>
    </row>
    <row r="162" spans="2:18" x14ac:dyDescent="0.35">
      <c r="B162" s="7"/>
      <c r="C162" s="7"/>
      <c r="H162" s="206"/>
      <c r="N162" s="204"/>
      <c r="Q162" s="7"/>
      <c r="R162" s="7"/>
    </row>
    <row r="163" spans="2:18" x14ac:dyDescent="0.35">
      <c r="B163" s="7"/>
      <c r="C163" s="7"/>
      <c r="H163" s="206"/>
      <c r="N163" s="204"/>
      <c r="Q163" s="7"/>
      <c r="R163" s="7"/>
    </row>
    <row r="164" spans="2:18" x14ac:dyDescent="0.35">
      <c r="B164" s="7"/>
      <c r="C164" s="7"/>
      <c r="H164" s="206"/>
      <c r="N164" s="204"/>
      <c r="Q164" s="7"/>
      <c r="R164" s="7"/>
    </row>
    <row r="165" spans="2:18" x14ac:dyDescent="0.35">
      <c r="B165" s="7"/>
      <c r="C165" s="7"/>
      <c r="H165" s="206"/>
      <c r="N165" s="204"/>
      <c r="Q165" s="7"/>
      <c r="R165" s="7"/>
    </row>
    <row r="166" spans="2:18" x14ac:dyDescent="0.35">
      <c r="B166" s="7"/>
      <c r="C166" s="7"/>
      <c r="H166" s="206"/>
      <c r="N166" s="204"/>
      <c r="Q166" s="7"/>
      <c r="R166" s="7"/>
    </row>
    <row r="167" spans="2:18" x14ac:dyDescent="0.35">
      <c r="B167" s="7"/>
      <c r="C167" s="7"/>
      <c r="H167" s="206"/>
      <c r="N167" s="204"/>
      <c r="Q167" s="7"/>
      <c r="R167" s="7"/>
    </row>
    <row r="168" spans="2:18" x14ac:dyDescent="0.35">
      <c r="B168" s="7"/>
      <c r="C168" s="7"/>
      <c r="H168" s="206"/>
      <c r="N168" s="204"/>
      <c r="Q168" s="7"/>
      <c r="R168" s="7"/>
    </row>
    <row r="169" spans="2:18" x14ac:dyDescent="0.35">
      <c r="B169" s="7"/>
      <c r="C169" s="7"/>
      <c r="H169" s="206"/>
      <c r="N169" s="204"/>
      <c r="Q169" s="7"/>
      <c r="R169" s="7"/>
    </row>
    <row r="170" spans="2:18" x14ac:dyDescent="0.35">
      <c r="B170" s="7"/>
      <c r="C170" s="7"/>
      <c r="H170" s="206"/>
      <c r="N170" s="204"/>
      <c r="Q170" s="7"/>
      <c r="R170" s="7"/>
    </row>
    <row r="171" spans="2:18" x14ac:dyDescent="0.35">
      <c r="B171" s="7"/>
      <c r="C171" s="7"/>
      <c r="H171" s="206"/>
      <c r="N171" s="204"/>
      <c r="Q171" s="7"/>
      <c r="R171" s="7"/>
    </row>
    <row r="172" spans="2:18" x14ac:dyDescent="0.35">
      <c r="B172" s="7"/>
      <c r="C172" s="7"/>
      <c r="H172" s="206"/>
      <c r="N172" s="204"/>
      <c r="Q172" s="7"/>
      <c r="R172" s="7"/>
    </row>
    <row r="173" spans="2:18" x14ac:dyDescent="0.35">
      <c r="B173" s="7"/>
      <c r="C173" s="7"/>
      <c r="H173" s="206"/>
      <c r="N173" s="204"/>
      <c r="Q173" s="7"/>
      <c r="R173" s="7"/>
    </row>
    <row r="174" spans="2:18" x14ac:dyDescent="0.35">
      <c r="B174" s="7"/>
      <c r="C174" s="7"/>
      <c r="H174" s="206"/>
      <c r="N174" s="204"/>
      <c r="Q174" s="7"/>
      <c r="R174" s="7"/>
    </row>
    <row r="175" spans="2:18" x14ac:dyDescent="0.35">
      <c r="B175" s="7"/>
      <c r="C175" s="7"/>
      <c r="H175" s="206"/>
      <c r="N175" s="204"/>
      <c r="Q175" s="7"/>
      <c r="R175" s="7"/>
    </row>
    <row r="176" spans="2:18" x14ac:dyDescent="0.35">
      <c r="B176" s="7"/>
      <c r="C176" s="7"/>
      <c r="H176" s="206"/>
      <c r="N176" s="204"/>
      <c r="Q176" s="7"/>
      <c r="R176" s="7"/>
    </row>
    <row r="177" spans="2:18" x14ac:dyDescent="0.35">
      <c r="B177" s="7"/>
      <c r="C177" s="7"/>
      <c r="H177" s="206"/>
      <c r="N177" s="204"/>
      <c r="Q177" s="7"/>
      <c r="R177" s="7"/>
    </row>
    <row r="178" spans="2:18" x14ac:dyDescent="0.35">
      <c r="B178" s="7"/>
      <c r="C178" s="7"/>
      <c r="H178" s="206"/>
      <c r="N178" s="204"/>
      <c r="Q178" s="7"/>
      <c r="R178" s="7"/>
    </row>
    <row r="179" spans="2:18" x14ac:dyDescent="0.35">
      <c r="B179" s="7"/>
      <c r="C179" s="7"/>
      <c r="H179" s="206"/>
      <c r="N179" s="204"/>
      <c r="Q179" s="7"/>
      <c r="R179" s="7"/>
    </row>
    <row r="180" spans="2:18" x14ac:dyDescent="0.35">
      <c r="B180" s="7"/>
      <c r="C180" s="7"/>
      <c r="H180" s="206"/>
      <c r="N180" s="204"/>
      <c r="Q180" s="7"/>
      <c r="R180" s="7"/>
    </row>
    <row r="181" spans="2:18" x14ac:dyDescent="0.35">
      <c r="B181" s="7"/>
      <c r="C181" s="7"/>
      <c r="H181" s="206"/>
      <c r="N181" s="204"/>
      <c r="Q181" s="7"/>
      <c r="R181" s="7"/>
    </row>
    <row r="182" spans="2:18" x14ac:dyDescent="0.35">
      <c r="B182" s="7"/>
      <c r="C182" s="7"/>
      <c r="H182" s="206"/>
      <c r="N182" s="204"/>
      <c r="Q182" s="7"/>
      <c r="R182" s="7"/>
    </row>
    <row r="183" spans="2:18" x14ac:dyDescent="0.35">
      <c r="B183" s="7"/>
      <c r="C183" s="7"/>
      <c r="H183" s="206"/>
      <c r="N183" s="204"/>
      <c r="Q183" s="7"/>
      <c r="R183" s="7"/>
    </row>
    <row r="184" spans="2:18" x14ac:dyDescent="0.35">
      <c r="B184" s="7"/>
      <c r="C184" s="7"/>
      <c r="H184" s="206"/>
      <c r="N184" s="204"/>
      <c r="Q184" s="7"/>
      <c r="R184" s="7"/>
    </row>
    <row r="185" spans="2:18" x14ac:dyDescent="0.35">
      <c r="B185" s="7"/>
      <c r="C185" s="7"/>
      <c r="H185" s="206"/>
      <c r="N185" s="204"/>
      <c r="Q185" s="7"/>
      <c r="R185" s="7"/>
    </row>
    <row r="186" spans="2:18" x14ac:dyDescent="0.35">
      <c r="B186" s="7"/>
      <c r="C186" s="7"/>
      <c r="H186" s="206"/>
      <c r="N186" s="204"/>
      <c r="Q186" s="7"/>
      <c r="R186" s="7"/>
    </row>
    <row r="187" spans="2:18" x14ac:dyDescent="0.35">
      <c r="B187" s="7"/>
      <c r="C187" s="7"/>
      <c r="H187" s="206"/>
      <c r="N187" s="204"/>
      <c r="Q187" s="7"/>
      <c r="R187" s="7"/>
    </row>
    <row r="188" spans="2:18" x14ac:dyDescent="0.35">
      <c r="B188" s="7"/>
      <c r="C188" s="7"/>
      <c r="H188" s="206"/>
      <c r="N188" s="204"/>
      <c r="Q188" s="7"/>
      <c r="R188" s="7"/>
    </row>
    <row r="189" spans="2:18" x14ac:dyDescent="0.35">
      <c r="B189" s="7"/>
      <c r="C189" s="7"/>
      <c r="H189" s="206"/>
      <c r="N189" s="204"/>
      <c r="Q189" s="7"/>
      <c r="R189" s="7"/>
    </row>
    <row r="190" spans="2:18" x14ac:dyDescent="0.35">
      <c r="B190" s="7"/>
      <c r="C190" s="7"/>
      <c r="H190" s="206"/>
      <c r="N190" s="204"/>
      <c r="Q190" s="7"/>
      <c r="R190" s="7"/>
    </row>
    <row r="191" spans="2:18" x14ac:dyDescent="0.35">
      <c r="B191" s="7"/>
      <c r="C191" s="7"/>
      <c r="H191" s="206"/>
      <c r="N191" s="204"/>
      <c r="Q191" s="7"/>
      <c r="R191" s="7"/>
    </row>
    <row r="192" spans="2:18" x14ac:dyDescent="0.35">
      <c r="B192" s="7"/>
      <c r="C192" s="7"/>
      <c r="H192" s="206"/>
      <c r="N192" s="204"/>
      <c r="Q192" s="7"/>
      <c r="R192" s="7"/>
    </row>
    <row r="193" spans="2:18" x14ac:dyDescent="0.35">
      <c r="B193" s="7"/>
      <c r="C193" s="7"/>
      <c r="H193" s="206"/>
      <c r="N193" s="204"/>
      <c r="Q193" s="7"/>
      <c r="R193" s="7"/>
    </row>
    <row r="194" spans="2:18" x14ac:dyDescent="0.35">
      <c r="B194" s="7"/>
      <c r="C194" s="7"/>
      <c r="H194" s="206"/>
      <c r="N194" s="204"/>
      <c r="Q194" s="7"/>
      <c r="R194" s="7"/>
    </row>
    <row r="195" spans="2:18" x14ac:dyDescent="0.35">
      <c r="B195" s="7"/>
      <c r="C195" s="7"/>
      <c r="H195" s="206"/>
      <c r="N195" s="204"/>
      <c r="Q195" s="7"/>
      <c r="R195" s="7"/>
    </row>
    <row r="196" spans="2:18" x14ac:dyDescent="0.35">
      <c r="B196" s="7"/>
      <c r="C196" s="7"/>
      <c r="H196" s="206"/>
      <c r="N196" s="204"/>
      <c r="Q196" s="7"/>
      <c r="R196" s="7"/>
    </row>
    <row r="197" spans="2:18" x14ac:dyDescent="0.35">
      <c r="B197" s="7"/>
      <c r="C197" s="7"/>
      <c r="H197" s="206"/>
      <c r="N197" s="204"/>
      <c r="Q197" s="7"/>
      <c r="R197" s="7"/>
    </row>
    <row r="198" spans="2:18" x14ac:dyDescent="0.35">
      <c r="B198" s="7"/>
      <c r="C198" s="7"/>
      <c r="H198" s="206"/>
      <c r="N198" s="204"/>
      <c r="Q198" s="7"/>
      <c r="R198" s="7"/>
    </row>
    <row r="199" spans="2:18" x14ac:dyDescent="0.35">
      <c r="B199" s="7"/>
      <c r="C199" s="7"/>
      <c r="H199" s="206"/>
      <c r="N199" s="204"/>
      <c r="Q199" s="7"/>
      <c r="R199" s="7"/>
    </row>
    <row r="200" spans="2:18" x14ac:dyDescent="0.35">
      <c r="B200" s="7"/>
      <c r="C200" s="7"/>
      <c r="H200" s="206"/>
      <c r="N200" s="204"/>
      <c r="Q200" s="7"/>
      <c r="R200" s="7"/>
    </row>
  </sheetData>
  <mergeCells count="2">
    <mergeCell ref="A1:X1"/>
    <mergeCell ref="A2:X2"/>
  </mergeCells>
  <conditionalFormatting sqref="G6:G60">
    <cfRule type="cellIs" dxfId="81" priority="31" operator="equal">
      <formula>"Critical"</formula>
    </cfRule>
    <cfRule type="cellIs" dxfId="80" priority="32" operator="equal">
      <formula>"Significant"</formula>
    </cfRule>
    <cfRule type="cellIs" dxfId="79" priority="33" operator="equal">
      <formula>"Moderate"</formula>
    </cfRule>
    <cfRule type="cellIs" dxfId="78" priority="34" operator="equal">
      <formula>"Low"</formula>
    </cfRule>
  </conditionalFormatting>
  <conditionalFormatting sqref="P6:P200">
    <cfRule type="expression" dxfId="77" priority="35">
      <formula>$P6="Red - Action Required"</formula>
    </cfRule>
    <cfRule type="expression" dxfId="76" priority="36">
      <formula>$P6="Amber - Attention"</formula>
    </cfRule>
    <cfRule type="expression" dxfId="75" priority="37">
      <formula>$P6="Green - On Track"</formula>
    </cfRule>
  </conditionalFormatting>
  <conditionalFormatting sqref="Q61:Q200">
    <cfRule type="expression" dxfId="74" priority="38">
      <formula>LEFT($Q61,8)="ESCALATE"</formula>
    </cfRule>
    <cfRule type="expression" dxfId="73" priority="39">
      <formula>LEFT($Q61,6)="REVIEW"</formula>
    </cfRule>
  </conditionalFormatting>
  <conditionalFormatting sqref="Q6:X60">
    <cfRule type="expression" dxfId="72" priority="1">
      <formula>$P6="Red - Action Required"</formula>
    </cfRule>
    <cfRule type="expression" dxfId="71" priority="2">
      <formula>$P6="Amber - Attention"</formula>
    </cfRule>
    <cfRule type="expression" dxfId="70" priority="3">
      <formula>$P6="Green - On Track"</formula>
    </cfRule>
  </conditionalFormatting>
  <pageMargins left="0.75" right="0.75" top="1" bottom="1" header="0.511811023622047" footer="0.51180555555555596"/>
  <pageSetup paperSize="9" orientation="portrait" horizontalDpi="300" verticalDpi="30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483A-FF9E-4A41-9763-AC0B247F37CC}">
  <dimension ref="A1:X105"/>
  <sheetViews>
    <sheetView topLeftCell="A2" workbookViewId="0">
      <selection activeCell="A2" sqref="A1:XFD1048576"/>
    </sheetView>
  </sheetViews>
  <sheetFormatPr defaultRowHeight="14.5" x14ac:dyDescent="0.35"/>
  <cols>
    <col min="1" max="1" width="6.26953125" bestFit="1" customWidth="1"/>
    <col min="2" max="2" width="10.08984375" bestFit="1" customWidth="1"/>
    <col min="3" max="3" width="13.453125" bestFit="1" customWidth="1"/>
    <col min="4" max="4" width="12.26953125" bestFit="1" customWidth="1"/>
    <col min="5" max="5" width="13.90625" bestFit="1" customWidth="1"/>
    <col min="6" max="6" width="9.54296875" bestFit="1" customWidth="1"/>
    <col min="7" max="7" width="10.1796875" bestFit="1" customWidth="1"/>
    <col min="8" max="8" width="22.08984375" bestFit="1" customWidth="1"/>
    <col min="9" max="9" width="12.6328125" bestFit="1" customWidth="1"/>
    <col min="10" max="10" width="18" bestFit="1" customWidth="1"/>
    <col min="11" max="11" width="9" bestFit="1" customWidth="1"/>
    <col min="12" max="12" width="12.90625" bestFit="1" customWidth="1"/>
    <col min="13" max="13" width="8.453125" bestFit="1" customWidth="1"/>
    <col min="14" max="14" width="14.1796875" bestFit="1" customWidth="1"/>
    <col min="15" max="15" width="19.6328125" bestFit="1" customWidth="1"/>
    <col min="16" max="16" width="13.1796875" bestFit="1" customWidth="1"/>
    <col min="17" max="17" width="14.54296875" bestFit="1" customWidth="1"/>
    <col min="18" max="18" width="14" bestFit="1" customWidth="1"/>
    <col min="19" max="19" width="12.26953125" bestFit="1" customWidth="1"/>
    <col min="20" max="20" width="10.6328125" bestFit="1" customWidth="1"/>
    <col min="21" max="22" width="8.81640625" bestFit="1" customWidth="1"/>
    <col min="23" max="23" width="9.08984375" bestFit="1" customWidth="1"/>
    <col min="24" max="24" width="10.453125" bestFit="1" customWidth="1"/>
  </cols>
  <sheetData>
    <row r="1" spans="1:24" ht="23.5" x14ac:dyDescent="0.55000000000000004">
      <c r="A1" s="386" t="s">
        <v>788</v>
      </c>
      <c r="B1" s="386"/>
      <c r="C1" s="386"/>
      <c r="D1" s="386"/>
      <c r="E1" s="386"/>
      <c r="F1" s="386"/>
      <c r="G1" s="386"/>
      <c r="H1" s="386"/>
      <c r="I1" s="386"/>
      <c r="J1" s="386"/>
      <c r="K1" s="386"/>
      <c r="L1" s="386"/>
      <c r="M1" s="386"/>
      <c r="N1" s="386"/>
      <c r="O1" s="386"/>
      <c r="P1" s="386"/>
      <c r="Q1" s="386"/>
      <c r="R1" s="386"/>
      <c r="S1" s="386"/>
      <c r="T1" s="386"/>
      <c r="U1" s="386"/>
      <c r="V1" s="386"/>
      <c r="W1" s="386"/>
      <c r="X1" s="386"/>
    </row>
    <row r="2" spans="1:24" x14ac:dyDescent="0.35">
      <c r="A2" s="387" t="s">
        <v>789</v>
      </c>
      <c r="B2" s="387"/>
      <c r="C2" s="387"/>
      <c r="D2" s="387"/>
      <c r="E2" s="387"/>
      <c r="F2" s="387"/>
      <c r="G2" s="387"/>
      <c r="H2" s="387"/>
      <c r="I2" s="387"/>
      <c r="J2" s="387"/>
      <c r="K2" s="387"/>
      <c r="L2" s="387"/>
      <c r="M2" s="387"/>
      <c r="N2" s="387"/>
      <c r="O2" s="387"/>
      <c r="P2" s="387"/>
      <c r="Q2" s="387"/>
      <c r="R2" s="387"/>
      <c r="S2" s="387"/>
      <c r="T2" s="387"/>
      <c r="U2" s="387"/>
      <c r="V2" s="387"/>
      <c r="W2" s="387"/>
      <c r="X2" s="387"/>
    </row>
    <row r="3" spans="1:24" x14ac:dyDescent="0.35">
      <c r="A3" s="388" t="s">
        <v>790</v>
      </c>
      <c r="B3" s="388"/>
      <c r="C3" s="388"/>
      <c r="D3" s="388"/>
      <c r="E3" s="388"/>
      <c r="F3" s="388"/>
      <c r="G3" s="388"/>
      <c r="H3" s="388"/>
      <c r="I3" s="388"/>
      <c r="J3" s="388"/>
      <c r="K3" s="388"/>
      <c r="L3" s="388"/>
      <c r="M3" s="388"/>
      <c r="N3" s="388"/>
      <c r="O3" s="388"/>
      <c r="P3" s="388"/>
      <c r="Q3" s="388"/>
      <c r="R3" s="388"/>
      <c r="S3" s="388"/>
      <c r="T3" s="388"/>
      <c r="U3" s="388"/>
      <c r="V3" s="388"/>
      <c r="W3" s="388"/>
      <c r="X3" s="388"/>
    </row>
    <row r="5" spans="1:24" ht="29" x14ac:dyDescent="0.35">
      <c r="A5" s="247" t="s">
        <v>237</v>
      </c>
      <c r="B5" s="247" t="s">
        <v>791</v>
      </c>
      <c r="C5" s="247" t="s">
        <v>792</v>
      </c>
      <c r="D5" s="247" t="s">
        <v>793</v>
      </c>
      <c r="E5" s="247" t="s">
        <v>794</v>
      </c>
      <c r="F5" s="247" t="s">
        <v>795</v>
      </c>
      <c r="G5" s="247" t="s">
        <v>796</v>
      </c>
      <c r="H5" s="247" t="s">
        <v>797</v>
      </c>
      <c r="I5" s="247" t="s">
        <v>798</v>
      </c>
      <c r="J5" s="247" t="s">
        <v>799</v>
      </c>
      <c r="K5" s="247" t="s">
        <v>6</v>
      </c>
      <c r="L5" s="247" t="s">
        <v>591</v>
      </c>
      <c r="M5" s="247" t="s">
        <v>5</v>
      </c>
      <c r="N5" s="247" t="s">
        <v>800</v>
      </c>
      <c r="O5" s="247" t="s">
        <v>801</v>
      </c>
      <c r="P5" s="247" t="s">
        <v>802</v>
      </c>
      <c r="Q5" s="247" t="s">
        <v>803</v>
      </c>
      <c r="R5" s="247" t="s">
        <v>804</v>
      </c>
      <c r="S5" s="247" t="s">
        <v>805</v>
      </c>
      <c r="T5" s="247" t="s">
        <v>696</v>
      </c>
      <c r="U5" s="247" t="s">
        <v>383</v>
      </c>
      <c r="V5" s="247" t="s">
        <v>760</v>
      </c>
      <c r="W5" s="247" t="s">
        <v>769</v>
      </c>
      <c r="X5" s="247" t="s">
        <v>318</v>
      </c>
    </row>
    <row r="6" spans="1:24" x14ac:dyDescent="0.35">
      <c r="A6" s="290">
        <v>1</v>
      </c>
      <c r="B6" s="32" t="str">
        <f t="shared" ref="B6:B69" si="0">IF(F6="","","CAPA-"&amp;TEXT(A6,"000"))</f>
        <v/>
      </c>
      <c r="C6" s="291"/>
      <c r="E6" s="204"/>
      <c r="F6" s="7"/>
      <c r="G6" s="291"/>
      <c r="H6" s="7"/>
      <c r="I6" s="7"/>
      <c r="J6" s="7"/>
      <c r="L6" s="204"/>
      <c r="M6" s="291"/>
      <c r="N6" s="7"/>
      <c r="O6" s="7"/>
      <c r="P6" s="204"/>
      <c r="Q6" s="291"/>
      <c r="R6" s="204"/>
      <c r="S6" s="206" t="str">
        <f t="shared" ref="S6:S37" ca="1" si="1">IF(E6="","",IF(R6&lt;&gt;"",R6-E6,TODAY()-E6))</f>
        <v/>
      </c>
      <c r="T6" t="str">
        <f t="shared" ref="T6:T69" ca="1" si="2">IF(OR(M6="Closed",M6="Cancelled",L6=""),"",IF(L6&lt;TODAY(),"Overdue","On Track"))</f>
        <v/>
      </c>
      <c r="X6" s="7"/>
    </row>
    <row r="7" spans="1:24" x14ac:dyDescent="0.35">
      <c r="A7" s="290">
        <v>2</v>
      </c>
      <c r="B7" s="32" t="str">
        <f t="shared" si="0"/>
        <v/>
      </c>
      <c r="C7" s="291"/>
      <c r="E7" s="204"/>
      <c r="F7" s="7"/>
      <c r="G7" s="291"/>
      <c r="H7" s="7"/>
      <c r="I7" s="7"/>
      <c r="J7" s="7"/>
      <c r="L7" s="204"/>
      <c r="M7" s="291"/>
      <c r="N7" s="7"/>
      <c r="O7" s="7"/>
      <c r="P7" s="204"/>
      <c r="Q7" s="291"/>
      <c r="R7" s="204"/>
      <c r="S7" s="206" t="str">
        <f t="shared" ca="1" si="1"/>
        <v/>
      </c>
      <c r="T7" t="str">
        <f t="shared" ca="1" si="2"/>
        <v/>
      </c>
      <c r="X7" s="7"/>
    </row>
    <row r="8" spans="1:24" x14ac:dyDescent="0.35">
      <c r="A8" s="290">
        <v>3</v>
      </c>
      <c r="B8" s="32" t="str">
        <f t="shared" si="0"/>
        <v/>
      </c>
      <c r="C8" s="291"/>
      <c r="E8" s="204"/>
      <c r="F8" s="7"/>
      <c r="G8" s="291"/>
      <c r="H8" s="7"/>
      <c r="I8" s="7"/>
      <c r="J8" s="7"/>
      <c r="L8" s="204"/>
      <c r="M8" s="291"/>
      <c r="N8" s="7"/>
      <c r="O8" s="7"/>
      <c r="P8" s="204"/>
      <c r="Q8" s="291"/>
      <c r="R8" s="204"/>
      <c r="S8" s="206" t="str">
        <f t="shared" ca="1" si="1"/>
        <v/>
      </c>
      <c r="T8" t="str">
        <f t="shared" ca="1" si="2"/>
        <v/>
      </c>
      <c r="X8" s="7"/>
    </row>
    <row r="9" spans="1:24" x14ac:dyDescent="0.35">
      <c r="A9" s="290">
        <v>4</v>
      </c>
      <c r="B9" s="32" t="str">
        <f t="shared" si="0"/>
        <v/>
      </c>
      <c r="C9" s="291"/>
      <c r="E9" s="204"/>
      <c r="F9" s="7"/>
      <c r="G9" s="291"/>
      <c r="H9" s="7"/>
      <c r="I9" s="7"/>
      <c r="J9" s="7"/>
      <c r="L9" s="204"/>
      <c r="M9" s="291"/>
      <c r="N9" s="7"/>
      <c r="O9" s="7"/>
      <c r="P9" s="204"/>
      <c r="Q9" s="291"/>
      <c r="R9" s="204"/>
      <c r="S9" s="206" t="str">
        <f t="shared" ca="1" si="1"/>
        <v/>
      </c>
      <c r="T9" t="str">
        <f t="shared" ca="1" si="2"/>
        <v/>
      </c>
      <c r="X9" s="7"/>
    </row>
    <row r="10" spans="1:24" x14ac:dyDescent="0.35">
      <c r="A10" s="290">
        <v>5</v>
      </c>
      <c r="B10" s="32" t="str">
        <f t="shared" si="0"/>
        <v/>
      </c>
      <c r="C10" s="291"/>
      <c r="E10" s="204"/>
      <c r="F10" s="7"/>
      <c r="G10" s="291"/>
      <c r="H10" s="7"/>
      <c r="I10" s="7"/>
      <c r="J10" s="7"/>
      <c r="L10" s="204"/>
      <c r="M10" s="291"/>
      <c r="N10" s="7"/>
      <c r="O10" s="7"/>
      <c r="P10" s="204"/>
      <c r="Q10" s="291"/>
      <c r="R10" s="204"/>
      <c r="S10" s="206" t="str">
        <f t="shared" ca="1" si="1"/>
        <v/>
      </c>
      <c r="T10" t="str">
        <f t="shared" ca="1" si="2"/>
        <v/>
      </c>
      <c r="X10" s="7"/>
    </row>
    <row r="11" spans="1:24" x14ac:dyDescent="0.35">
      <c r="A11" s="290">
        <v>6</v>
      </c>
      <c r="B11" s="32" t="str">
        <f t="shared" si="0"/>
        <v/>
      </c>
      <c r="C11" s="291"/>
      <c r="E11" s="204"/>
      <c r="F11" s="7"/>
      <c r="G11" s="291"/>
      <c r="H11" s="7"/>
      <c r="I11" s="7"/>
      <c r="J11" s="7"/>
      <c r="L11" s="204"/>
      <c r="M11" s="291"/>
      <c r="N11" s="7"/>
      <c r="O11" s="7"/>
      <c r="P11" s="204"/>
      <c r="Q11" s="291"/>
      <c r="R11" s="204"/>
      <c r="S11" s="206" t="str">
        <f t="shared" ca="1" si="1"/>
        <v/>
      </c>
      <c r="T11" t="str">
        <f t="shared" ca="1" si="2"/>
        <v/>
      </c>
      <c r="X11" s="7"/>
    </row>
    <row r="12" spans="1:24" x14ac:dyDescent="0.35">
      <c r="A12" s="290">
        <v>7</v>
      </c>
      <c r="B12" s="32" t="str">
        <f t="shared" si="0"/>
        <v/>
      </c>
      <c r="C12" s="291"/>
      <c r="E12" s="204"/>
      <c r="F12" s="7"/>
      <c r="G12" s="291"/>
      <c r="H12" s="7"/>
      <c r="I12" s="7"/>
      <c r="J12" s="7"/>
      <c r="L12" s="204"/>
      <c r="M12" s="291"/>
      <c r="N12" s="7"/>
      <c r="O12" s="7"/>
      <c r="P12" s="204"/>
      <c r="Q12" s="291"/>
      <c r="R12" s="204"/>
      <c r="S12" s="206" t="str">
        <f t="shared" ca="1" si="1"/>
        <v/>
      </c>
      <c r="T12" t="str">
        <f t="shared" ca="1" si="2"/>
        <v/>
      </c>
      <c r="X12" s="7"/>
    </row>
    <row r="13" spans="1:24" x14ac:dyDescent="0.35">
      <c r="A13" s="290">
        <v>8</v>
      </c>
      <c r="B13" s="32" t="str">
        <f t="shared" si="0"/>
        <v/>
      </c>
      <c r="C13" s="291"/>
      <c r="E13" s="204"/>
      <c r="F13" s="7"/>
      <c r="G13" s="291"/>
      <c r="H13" s="7"/>
      <c r="I13" s="7"/>
      <c r="J13" s="7"/>
      <c r="L13" s="204"/>
      <c r="M13" s="291"/>
      <c r="N13" s="7"/>
      <c r="O13" s="7"/>
      <c r="P13" s="204"/>
      <c r="Q13" s="291"/>
      <c r="R13" s="204"/>
      <c r="S13" s="206" t="str">
        <f t="shared" ca="1" si="1"/>
        <v/>
      </c>
      <c r="T13" t="str">
        <f t="shared" ca="1" si="2"/>
        <v/>
      </c>
      <c r="X13" s="7"/>
    </row>
    <row r="14" spans="1:24" x14ac:dyDescent="0.35">
      <c r="A14" s="290">
        <v>9</v>
      </c>
      <c r="B14" s="32" t="str">
        <f t="shared" si="0"/>
        <v/>
      </c>
      <c r="C14" s="291"/>
      <c r="E14" s="204"/>
      <c r="F14" s="7"/>
      <c r="G14" s="291"/>
      <c r="H14" s="7"/>
      <c r="I14" s="7"/>
      <c r="J14" s="7"/>
      <c r="L14" s="204"/>
      <c r="M14" s="291"/>
      <c r="N14" s="7"/>
      <c r="O14" s="7"/>
      <c r="P14" s="204"/>
      <c r="Q14" s="291"/>
      <c r="R14" s="204"/>
      <c r="S14" s="206" t="str">
        <f t="shared" ca="1" si="1"/>
        <v/>
      </c>
      <c r="T14" t="str">
        <f t="shared" ca="1" si="2"/>
        <v/>
      </c>
      <c r="X14" s="7"/>
    </row>
    <row r="15" spans="1:24" x14ac:dyDescent="0.35">
      <c r="A15" s="290">
        <v>10</v>
      </c>
      <c r="B15" s="32" t="str">
        <f t="shared" si="0"/>
        <v/>
      </c>
      <c r="C15" s="291"/>
      <c r="E15" s="204"/>
      <c r="F15" s="7"/>
      <c r="G15" s="291"/>
      <c r="H15" s="7"/>
      <c r="I15" s="7"/>
      <c r="J15" s="7"/>
      <c r="L15" s="204"/>
      <c r="M15" s="291"/>
      <c r="N15" s="7"/>
      <c r="O15" s="7"/>
      <c r="P15" s="204"/>
      <c r="Q15" s="291"/>
      <c r="R15" s="204"/>
      <c r="S15" s="206" t="str">
        <f t="shared" ca="1" si="1"/>
        <v/>
      </c>
      <c r="T15" t="str">
        <f t="shared" ca="1" si="2"/>
        <v/>
      </c>
      <c r="X15" s="7"/>
    </row>
    <row r="16" spans="1:24" x14ac:dyDescent="0.35">
      <c r="A16" s="290">
        <v>11</v>
      </c>
      <c r="B16" s="32" t="str">
        <f t="shared" si="0"/>
        <v/>
      </c>
      <c r="C16" s="291"/>
      <c r="E16" s="204"/>
      <c r="F16" s="7"/>
      <c r="G16" s="291"/>
      <c r="H16" s="7"/>
      <c r="I16" s="7"/>
      <c r="J16" s="7"/>
      <c r="L16" s="204"/>
      <c r="M16" s="291"/>
      <c r="N16" s="7"/>
      <c r="O16" s="7"/>
      <c r="P16" s="204"/>
      <c r="Q16" s="291"/>
      <c r="R16" s="204"/>
      <c r="S16" s="206" t="str">
        <f t="shared" ca="1" si="1"/>
        <v/>
      </c>
      <c r="T16" t="str">
        <f t="shared" ca="1" si="2"/>
        <v/>
      </c>
      <c r="X16" s="7"/>
    </row>
    <row r="17" spans="1:24" x14ac:dyDescent="0.35">
      <c r="A17" s="290">
        <v>12</v>
      </c>
      <c r="B17" s="32" t="str">
        <f t="shared" si="0"/>
        <v/>
      </c>
      <c r="C17" s="291"/>
      <c r="E17" s="204"/>
      <c r="F17" s="7"/>
      <c r="G17" s="291"/>
      <c r="H17" s="7"/>
      <c r="I17" s="7"/>
      <c r="J17" s="7"/>
      <c r="L17" s="204"/>
      <c r="M17" s="291"/>
      <c r="N17" s="7"/>
      <c r="O17" s="7"/>
      <c r="P17" s="204"/>
      <c r="Q17" s="291"/>
      <c r="R17" s="204"/>
      <c r="S17" s="206" t="str">
        <f t="shared" ca="1" si="1"/>
        <v/>
      </c>
      <c r="T17" t="str">
        <f t="shared" ca="1" si="2"/>
        <v/>
      </c>
      <c r="X17" s="7"/>
    </row>
    <row r="18" spans="1:24" x14ac:dyDescent="0.35">
      <c r="A18" s="290">
        <v>13</v>
      </c>
      <c r="B18" s="32" t="str">
        <f t="shared" si="0"/>
        <v/>
      </c>
      <c r="C18" s="291"/>
      <c r="E18" s="204"/>
      <c r="F18" s="7"/>
      <c r="G18" s="291"/>
      <c r="H18" s="7"/>
      <c r="I18" s="7"/>
      <c r="J18" s="7"/>
      <c r="L18" s="204"/>
      <c r="M18" s="291"/>
      <c r="N18" s="7"/>
      <c r="O18" s="7"/>
      <c r="P18" s="204"/>
      <c r="Q18" s="291"/>
      <c r="R18" s="204"/>
      <c r="S18" s="206" t="str">
        <f t="shared" ca="1" si="1"/>
        <v/>
      </c>
      <c r="T18" t="str">
        <f t="shared" ca="1" si="2"/>
        <v/>
      </c>
      <c r="X18" s="7"/>
    </row>
    <row r="19" spans="1:24" x14ac:dyDescent="0.35">
      <c r="A19" s="290">
        <v>14</v>
      </c>
      <c r="B19" s="32" t="str">
        <f t="shared" si="0"/>
        <v/>
      </c>
      <c r="C19" s="291"/>
      <c r="E19" s="204"/>
      <c r="F19" s="7"/>
      <c r="G19" s="291"/>
      <c r="H19" s="7"/>
      <c r="I19" s="7"/>
      <c r="J19" s="7"/>
      <c r="L19" s="204"/>
      <c r="M19" s="291"/>
      <c r="N19" s="7"/>
      <c r="O19" s="7"/>
      <c r="P19" s="204"/>
      <c r="Q19" s="291"/>
      <c r="R19" s="204"/>
      <c r="S19" s="206" t="str">
        <f t="shared" ca="1" si="1"/>
        <v/>
      </c>
      <c r="T19" t="str">
        <f t="shared" ca="1" si="2"/>
        <v/>
      </c>
      <c r="X19" s="7"/>
    </row>
    <row r="20" spans="1:24" x14ac:dyDescent="0.35">
      <c r="A20" s="290">
        <v>15</v>
      </c>
      <c r="B20" s="32" t="str">
        <f t="shared" si="0"/>
        <v/>
      </c>
      <c r="C20" s="291"/>
      <c r="E20" s="204"/>
      <c r="F20" s="7"/>
      <c r="G20" s="291"/>
      <c r="H20" s="7"/>
      <c r="I20" s="7"/>
      <c r="J20" s="7"/>
      <c r="L20" s="204"/>
      <c r="M20" s="291"/>
      <c r="N20" s="7"/>
      <c r="O20" s="7"/>
      <c r="P20" s="204"/>
      <c r="Q20" s="291"/>
      <c r="R20" s="204"/>
      <c r="S20" s="206" t="str">
        <f t="shared" ca="1" si="1"/>
        <v/>
      </c>
      <c r="T20" t="str">
        <f t="shared" ca="1" si="2"/>
        <v/>
      </c>
      <c r="X20" s="7"/>
    </row>
    <row r="21" spans="1:24" x14ac:dyDescent="0.35">
      <c r="A21" s="290">
        <v>16</v>
      </c>
      <c r="B21" s="32" t="str">
        <f t="shared" si="0"/>
        <v/>
      </c>
      <c r="C21" s="291"/>
      <c r="E21" s="204"/>
      <c r="F21" s="7"/>
      <c r="G21" s="291"/>
      <c r="H21" s="7"/>
      <c r="I21" s="7"/>
      <c r="J21" s="7"/>
      <c r="L21" s="204"/>
      <c r="M21" s="291"/>
      <c r="N21" s="7"/>
      <c r="O21" s="7"/>
      <c r="P21" s="204"/>
      <c r="Q21" s="291"/>
      <c r="R21" s="204"/>
      <c r="S21" s="206" t="str">
        <f t="shared" ca="1" si="1"/>
        <v/>
      </c>
      <c r="T21" t="str">
        <f t="shared" ca="1" si="2"/>
        <v/>
      </c>
      <c r="X21" s="7"/>
    </row>
    <row r="22" spans="1:24" x14ac:dyDescent="0.35">
      <c r="A22" s="290">
        <v>17</v>
      </c>
      <c r="B22" s="32" t="str">
        <f t="shared" si="0"/>
        <v/>
      </c>
      <c r="C22" s="291"/>
      <c r="E22" s="204"/>
      <c r="F22" s="7"/>
      <c r="G22" s="291"/>
      <c r="H22" s="7"/>
      <c r="I22" s="7"/>
      <c r="J22" s="7"/>
      <c r="L22" s="204"/>
      <c r="M22" s="291"/>
      <c r="N22" s="7"/>
      <c r="O22" s="7"/>
      <c r="P22" s="204"/>
      <c r="Q22" s="291"/>
      <c r="R22" s="204"/>
      <c r="S22" s="206" t="str">
        <f t="shared" ca="1" si="1"/>
        <v/>
      </c>
      <c r="T22" t="str">
        <f t="shared" ca="1" si="2"/>
        <v/>
      </c>
      <c r="X22" s="7"/>
    </row>
    <row r="23" spans="1:24" x14ac:dyDescent="0.35">
      <c r="A23" s="290">
        <v>18</v>
      </c>
      <c r="B23" s="32" t="str">
        <f t="shared" si="0"/>
        <v/>
      </c>
      <c r="C23" s="291"/>
      <c r="E23" s="204"/>
      <c r="F23" s="7"/>
      <c r="G23" s="291"/>
      <c r="H23" s="7"/>
      <c r="I23" s="7"/>
      <c r="J23" s="7"/>
      <c r="L23" s="204"/>
      <c r="M23" s="291"/>
      <c r="N23" s="7"/>
      <c r="O23" s="7"/>
      <c r="P23" s="204"/>
      <c r="Q23" s="291"/>
      <c r="R23" s="204"/>
      <c r="S23" s="206" t="str">
        <f t="shared" ca="1" si="1"/>
        <v/>
      </c>
      <c r="T23" t="str">
        <f t="shared" ca="1" si="2"/>
        <v/>
      </c>
      <c r="X23" s="7"/>
    </row>
    <row r="24" spans="1:24" x14ac:dyDescent="0.35">
      <c r="A24" s="290">
        <v>19</v>
      </c>
      <c r="B24" s="32" t="str">
        <f t="shared" si="0"/>
        <v/>
      </c>
      <c r="C24" s="291"/>
      <c r="E24" s="204"/>
      <c r="F24" s="7"/>
      <c r="G24" s="291"/>
      <c r="H24" s="7"/>
      <c r="I24" s="7"/>
      <c r="J24" s="7"/>
      <c r="L24" s="204"/>
      <c r="M24" s="291"/>
      <c r="N24" s="7"/>
      <c r="O24" s="7"/>
      <c r="P24" s="204"/>
      <c r="Q24" s="291"/>
      <c r="R24" s="204"/>
      <c r="S24" s="206" t="str">
        <f t="shared" ca="1" si="1"/>
        <v/>
      </c>
      <c r="T24" t="str">
        <f t="shared" ca="1" si="2"/>
        <v/>
      </c>
      <c r="X24" s="7"/>
    </row>
    <row r="25" spans="1:24" x14ac:dyDescent="0.35">
      <c r="A25" s="290">
        <v>20</v>
      </c>
      <c r="B25" s="32" t="str">
        <f t="shared" si="0"/>
        <v/>
      </c>
      <c r="C25" s="291"/>
      <c r="E25" s="204"/>
      <c r="F25" s="7"/>
      <c r="G25" s="291"/>
      <c r="H25" s="7"/>
      <c r="I25" s="7"/>
      <c r="J25" s="7"/>
      <c r="L25" s="204"/>
      <c r="M25" s="291"/>
      <c r="N25" s="7"/>
      <c r="O25" s="7"/>
      <c r="P25" s="204"/>
      <c r="Q25" s="291"/>
      <c r="R25" s="204"/>
      <c r="S25" s="206" t="str">
        <f t="shared" ca="1" si="1"/>
        <v/>
      </c>
      <c r="T25" t="str">
        <f t="shared" ca="1" si="2"/>
        <v/>
      </c>
      <c r="X25" s="7"/>
    </row>
    <row r="26" spans="1:24" x14ac:dyDescent="0.35">
      <c r="A26" s="290">
        <v>21</v>
      </c>
      <c r="B26" s="32" t="str">
        <f t="shared" si="0"/>
        <v/>
      </c>
      <c r="C26" s="291"/>
      <c r="E26" s="204"/>
      <c r="F26" s="7"/>
      <c r="G26" s="291"/>
      <c r="H26" s="7"/>
      <c r="I26" s="7"/>
      <c r="J26" s="7"/>
      <c r="L26" s="204"/>
      <c r="M26" s="291"/>
      <c r="N26" s="7"/>
      <c r="O26" s="7"/>
      <c r="P26" s="204"/>
      <c r="Q26" s="291"/>
      <c r="R26" s="204"/>
      <c r="S26" s="206" t="str">
        <f t="shared" ca="1" si="1"/>
        <v/>
      </c>
      <c r="T26" t="str">
        <f t="shared" ca="1" si="2"/>
        <v/>
      </c>
      <c r="X26" s="7"/>
    </row>
    <row r="27" spans="1:24" x14ac:dyDescent="0.35">
      <c r="A27" s="290">
        <v>22</v>
      </c>
      <c r="B27" s="32" t="str">
        <f t="shared" si="0"/>
        <v/>
      </c>
      <c r="C27" s="291"/>
      <c r="E27" s="204"/>
      <c r="F27" s="7"/>
      <c r="G27" s="291"/>
      <c r="H27" s="7"/>
      <c r="I27" s="7"/>
      <c r="J27" s="7"/>
      <c r="L27" s="204"/>
      <c r="M27" s="291"/>
      <c r="N27" s="7"/>
      <c r="O27" s="7"/>
      <c r="P27" s="204"/>
      <c r="Q27" s="291"/>
      <c r="R27" s="204"/>
      <c r="S27" s="206" t="str">
        <f t="shared" ca="1" si="1"/>
        <v/>
      </c>
      <c r="T27" t="str">
        <f t="shared" ca="1" si="2"/>
        <v/>
      </c>
      <c r="X27" s="7"/>
    </row>
    <row r="28" spans="1:24" x14ac:dyDescent="0.35">
      <c r="A28" s="290">
        <v>23</v>
      </c>
      <c r="B28" s="32" t="str">
        <f t="shared" si="0"/>
        <v/>
      </c>
      <c r="C28" s="291"/>
      <c r="E28" s="204"/>
      <c r="F28" s="7"/>
      <c r="G28" s="291"/>
      <c r="H28" s="7"/>
      <c r="I28" s="7"/>
      <c r="J28" s="7"/>
      <c r="L28" s="204"/>
      <c r="M28" s="291"/>
      <c r="N28" s="7"/>
      <c r="O28" s="7"/>
      <c r="P28" s="204"/>
      <c r="Q28" s="291"/>
      <c r="R28" s="204"/>
      <c r="S28" s="206" t="str">
        <f t="shared" ca="1" si="1"/>
        <v/>
      </c>
      <c r="T28" t="str">
        <f t="shared" ca="1" si="2"/>
        <v/>
      </c>
      <c r="X28" s="7"/>
    </row>
    <row r="29" spans="1:24" x14ac:dyDescent="0.35">
      <c r="A29" s="290">
        <v>24</v>
      </c>
      <c r="B29" s="32" t="str">
        <f t="shared" si="0"/>
        <v/>
      </c>
      <c r="C29" s="291"/>
      <c r="E29" s="204"/>
      <c r="F29" s="7"/>
      <c r="G29" s="291"/>
      <c r="H29" s="7"/>
      <c r="I29" s="7"/>
      <c r="J29" s="7"/>
      <c r="L29" s="204"/>
      <c r="M29" s="291"/>
      <c r="N29" s="7"/>
      <c r="O29" s="7"/>
      <c r="P29" s="204"/>
      <c r="Q29" s="291"/>
      <c r="R29" s="204"/>
      <c r="S29" s="206" t="str">
        <f t="shared" ca="1" si="1"/>
        <v/>
      </c>
      <c r="T29" t="str">
        <f t="shared" ca="1" si="2"/>
        <v/>
      </c>
      <c r="X29" s="7"/>
    </row>
    <row r="30" spans="1:24" x14ac:dyDescent="0.35">
      <c r="A30" s="290">
        <v>25</v>
      </c>
      <c r="B30" s="32" t="str">
        <f t="shared" si="0"/>
        <v/>
      </c>
      <c r="C30" s="291"/>
      <c r="E30" s="204"/>
      <c r="F30" s="7"/>
      <c r="G30" s="291"/>
      <c r="H30" s="7"/>
      <c r="I30" s="7"/>
      <c r="J30" s="7"/>
      <c r="L30" s="204"/>
      <c r="M30" s="291"/>
      <c r="N30" s="7"/>
      <c r="O30" s="7"/>
      <c r="P30" s="204"/>
      <c r="Q30" s="291"/>
      <c r="R30" s="204"/>
      <c r="S30" s="206" t="str">
        <f t="shared" ca="1" si="1"/>
        <v/>
      </c>
      <c r="T30" t="str">
        <f t="shared" ca="1" si="2"/>
        <v/>
      </c>
      <c r="X30" s="7"/>
    </row>
    <row r="31" spans="1:24" x14ac:dyDescent="0.35">
      <c r="A31" s="290">
        <v>26</v>
      </c>
      <c r="B31" s="32" t="str">
        <f t="shared" si="0"/>
        <v/>
      </c>
      <c r="C31" s="291"/>
      <c r="E31" s="204"/>
      <c r="F31" s="7"/>
      <c r="G31" s="291"/>
      <c r="H31" s="7"/>
      <c r="I31" s="7"/>
      <c r="J31" s="7"/>
      <c r="L31" s="204"/>
      <c r="M31" s="291"/>
      <c r="N31" s="7"/>
      <c r="O31" s="7"/>
      <c r="P31" s="204"/>
      <c r="Q31" s="291"/>
      <c r="R31" s="204"/>
      <c r="S31" s="206" t="str">
        <f t="shared" ca="1" si="1"/>
        <v/>
      </c>
      <c r="T31" t="str">
        <f t="shared" ca="1" si="2"/>
        <v/>
      </c>
      <c r="X31" s="7"/>
    </row>
    <row r="32" spans="1:24" x14ac:dyDescent="0.35">
      <c r="A32" s="290">
        <v>27</v>
      </c>
      <c r="B32" s="32" t="str">
        <f t="shared" si="0"/>
        <v/>
      </c>
      <c r="C32" s="291"/>
      <c r="E32" s="204"/>
      <c r="F32" s="7"/>
      <c r="G32" s="291"/>
      <c r="H32" s="7"/>
      <c r="I32" s="7"/>
      <c r="J32" s="7"/>
      <c r="L32" s="204"/>
      <c r="M32" s="291"/>
      <c r="N32" s="7"/>
      <c r="O32" s="7"/>
      <c r="P32" s="204"/>
      <c r="Q32" s="291"/>
      <c r="R32" s="204"/>
      <c r="S32" s="206" t="str">
        <f t="shared" ca="1" si="1"/>
        <v/>
      </c>
      <c r="T32" t="str">
        <f t="shared" ca="1" si="2"/>
        <v/>
      </c>
      <c r="X32" s="7"/>
    </row>
    <row r="33" spans="1:24" x14ac:dyDescent="0.35">
      <c r="A33" s="290">
        <v>28</v>
      </c>
      <c r="B33" s="32" t="str">
        <f t="shared" si="0"/>
        <v/>
      </c>
      <c r="C33" s="291"/>
      <c r="E33" s="204"/>
      <c r="F33" s="7"/>
      <c r="G33" s="291"/>
      <c r="H33" s="7"/>
      <c r="I33" s="7"/>
      <c r="J33" s="7"/>
      <c r="L33" s="204"/>
      <c r="M33" s="291"/>
      <c r="N33" s="7"/>
      <c r="O33" s="7"/>
      <c r="P33" s="204"/>
      <c r="Q33" s="291"/>
      <c r="R33" s="204"/>
      <c r="S33" s="206" t="str">
        <f t="shared" ca="1" si="1"/>
        <v/>
      </c>
      <c r="T33" t="str">
        <f t="shared" ca="1" si="2"/>
        <v/>
      </c>
      <c r="X33" s="7"/>
    </row>
    <row r="34" spans="1:24" x14ac:dyDescent="0.35">
      <c r="A34" s="290">
        <v>29</v>
      </c>
      <c r="B34" s="32" t="str">
        <f t="shared" si="0"/>
        <v/>
      </c>
      <c r="C34" s="291"/>
      <c r="E34" s="204"/>
      <c r="F34" s="7"/>
      <c r="G34" s="291"/>
      <c r="H34" s="7"/>
      <c r="I34" s="7"/>
      <c r="J34" s="7"/>
      <c r="L34" s="204"/>
      <c r="M34" s="291"/>
      <c r="N34" s="7"/>
      <c r="O34" s="7"/>
      <c r="P34" s="204"/>
      <c r="Q34" s="291"/>
      <c r="R34" s="204"/>
      <c r="S34" s="206" t="str">
        <f t="shared" ca="1" si="1"/>
        <v/>
      </c>
      <c r="T34" t="str">
        <f t="shared" ca="1" si="2"/>
        <v/>
      </c>
      <c r="X34" s="7"/>
    </row>
    <row r="35" spans="1:24" x14ac:dyDescent="0.35">
      <c r="A35" s="290">
        <v>30</v>
      </c>
      <c r="B35" s="32" t="str">
        <f t="shared" si="0"/>
        <v/>
      </c>
      <c r="C35" s="291"/>
      <c r="E35" s="204"/>
      <c r="F35" s="7"/>
      <c r="G35" s="291"/>
      <c r="H35" s="7"/>
      <c r="I35" s="7"/>
      <c r="J35" s="7"/>
      <c r="L35" s="204"/>
      <c r="M35" s="291"/>
      <c r="N35" s="7"/>
      <c r="O35" s="7"/>
      <c r="P35" s="204"/>
      <c r="Q35" s="291"/>
      <c r="R35" s="204"/>
      <c r="S35" s="206" t="str">
        <f t="shared" ca="1" si="1"/>
        <v/>
      </c>
      <c r="T35" t="str">
        <f t="shared" ca="1" si="2"/>
        <v/>
      </c>
      <c r="X35" s="7"/>
    </row>
    <row r="36" spans="1:24" x14ac:dyDescent="0.35">
      <c r="A36" s="290">
        <v>31</v>
      </c>
      <c r="B36" s="32" t="str">
        <f t="shared" si="0"/>
        <v/>
      </c>
      <c r="C36" s="291"/>
      <c r="E36" s="204"/>
      <c r="F36" s="7"/>
      <c r="G36" s="291"/>
      <c r="H36" s="7"/>
      <c r="I36" s="7"/>
      <c r="J36" s="7"/>
      <c r="L36" s="204"/>
      <c r="M36" s="291"/>
      <c r="N36" s="7"/>
      <c r="O36" s="7"/>
      <c r="P36" s="204"/>
      <c r="Q36" s="291"/>
      <c r="R36" s="204"/>
      <c r="S36" s="206" t="str">
        <f t="shared" ca="1" si="1"/>
        <v/>
      </c>
      <c r="T36" t="str">
        <f t="shared" ca="1" si="2"/>
        <v/>
      </c>
      <c r="X36" s="7"/>
    </row>
    <row r="37" spans="1:24" x14ac:dyDescent="0.35">
      <c r="A37" s="290">
        <v>32</v>
      </c>
      <c r="B37" s="32" t="str">
        <f t="shared" si="0"/>
        <v/>
      </c>
      <c r="C37" s="291"/>
      <c r="E37" s="204"/>
      <c r="F37" s="7"/>
      <c r="G37" s="291"/>
      <c r="H37" s="7"/>
      <c r="I37" s="7"/>
      <c r="J37" s="7"/>
      <c r="L37" s="204"/>
      <c r="M37" s="291"/>
      <c r="N37" s="7"/>
      <c r="O37" s="7"/>
      <c r="P37" s="204"/>
      <c r="Q37" s="291"/>
      <c r="R37" s="204"/>
      <c r="S37" s="206" t="str">
        <f t="shared" ca="1" si="1"/>
        <v/>
      </c>
      <c r="T37" t="str">
        <f t="shared" ca="1" si="2"/>
        <v/>
      </c>
      <c r="X37" s="7"/>
    </row>
    <row r="38" spans="1:24" x14ac:dyDescent="0.35">
      <c r="A38" s="290">
        <v>33</v>
      </c>
      <c r="B38" s="32" t="str">
        <f t="shared" si="0"/>
        <v/>
      </c>
      <c r="C38" s="291"/>
      <c r="E38" s="204"/>
      <c r="F38" s="7"/>
      <c r="G38" s="291"/>
      <c r="H38" s="7"/>
      <c r="I38" s="7"/>
      <c r="J38" s="7"/>
      <c r="L38" s="204"/>
      <c r="M38" s="291"/>
      <c r="N38" s="7"/>
      <c r="O38" s="7"/>
      <c r="P38" s="204"/>
      <c r="Q38" s="291"/>
      <c r="R38" s="204"/>
      <c r="S38" s="206" t="str">
        <f t="shared" ref="S38:S69" ca="1" si="3">IF(E38="","",IF(R38&lt;&gt;"",R38-E38,TODAY()-E38))</f>
        <v/>
      </c>
      <c r="T38" t="str">
        <f t="shared" ca="1" si="2"/>
        <v/>
      </c>
      <c r="X38" s="7"/>
    </row>
    <row r="39" spans="1:24" x14ac:dyDescent="0.35">
      <c r="A39" s="290">
        <v>34</v>
      </c>
      <c r="B39" s="32" t="str">
        <f t="shared" si="0"/>
        <v/>
      </c>
      <c r="C39" s="291"/>
      <c r="E39" s="204"/>
      <c r="F39" s="7"/>
      <c r="G39" s="291"/>
      <c r="H39" s="7"/>
      <c r="I39" s="7"/>
      <c r="J39" s="7"/>
      <c r="L39" s="204"/>
      <c r="M39" s="291"/>
      <c r="N39" s="7"/>
      <c r="O39" s="7"/>
      <c r="P39" s="204"/>
      <c r="Q39" s="291"/>
      <c r="R39" s="204"/>
      <c r="S39" s="206" t="str">
        <f t="shared" ca="1" si="3"/>
        <v/>
      </c>
      <c r="T39" t="str">
        <f t="shared" ca="1" si="2"/>
        <v/>
      </c>
      <c r="X39" s="7"/>
    </row>
    <row r="40" spans="1:24" x14ac:dyDescent="0.35">
      <c r="A40" s="290">
        <v>35</v>
      </c>
      <c r="B40" s="32" t="str">
        <f t="shared" si="0"/>
        <v/>
      </c>
      <c r="C40" s="291"/>
      <c r="E40" s="204"/>
      <c r="F40" s="7"/>
      <c r="G40" s="291"/>
      <c r="H40" s="7"/>
      <c r="I40" s="7"/>
      <c r="J40" s="7"/>
      <c r="L40" s="204"/>
      <c r="M40" s="291"/>
      <c r="N40" s="7"/>
      <c r="O40" s="7"/>
      <c r="P40" s="204"/>
      <c r="Q40" s="291"/>
      <c r="R40" s="204"/>
      <c r="S40" s="206" t="str">
        <f t="shared" ca="1" si="3"/>
        <v/>
      </c>
      <c r="T40" t="str">
        <f t="shared" ca="1" si="2"/>
        <v/>
      </c>
      <c r="X40" s="7"/>
    </row>
    <row r="41" spans="1:24" x14ac:dyDescent="0.35">
      <c r="A41" s="290">
        <v>36</v>
      </c>
      <c r="B41" s="32" t="str">
        <f t="shared" si="0"/>
        <v/>
      </c>
      <c r="C41" s="291"/>
      <c r="E41" s="204"/>
      <c r="F41" s="7"/>
      <c r="G41" s="291"/>
      <c r="H41" s="7"/>
      <c r="I41" s="7"/>
      <c r="J41" s="7"/>
      <c r="L41" s="204"/>
      <c r="M41" s="291"/>
      <c r="N41" s="7"/>
      <c r="O41" s="7"/>
      <c r="P41" s="204"/>
      <c r="Q41" s="291"/>
      <c r="R41" s="204"/>
      <c r="S41" s="206" t="str">
        <f t="shared" ca="1" si="3"/>
        <v/>
      </c>
      <c r="T41" t="str">
        <f t="shared" ca="1" si="2"/>
        <v/>
      </c>
      <c r="X41" s="7"/>
    </row>
    <row r="42" spans="1:24" x14ac:dyDescent="0.35">
      <c r="A42" s="290">
        <v>37</v>
      </c>
      <c r="B42" s="32" t="str">
        <f t="shared" si="0"/>
        <v/>
      </c>
      <c r="C42" s="291"/>
      <c r="E42" s="204"/>
      <c r="F42" s="7"/>
      <c r="G42" s="291"/>
      <c r="H42" s="7"/>
      <c r="I42" s="7"/>
      <c r="J42" s="7"/>
      <c r="L42" s="204"/>
      <c r="M42" s="291"/>
      <c r="N42" s="7"/>
      <c r="O42" s="7"/>
      <c r="P42" s="204"/>
      <c r="Q42" s="291"/>
      <c r="R42" s="204"/>
      <c r="S42" s="206" t="str">
        <f t="shared" ca="1" si="3"/>
        <v/>
      </c>
      <c r="T42" t="str">
        <f t="shared" ca="1" si="2"/>
        <v/>
      </c>
      <c r="X42" s="7"/>
    </row>
    <row r="43" spans="1:24" x14ac:dyDescent="0.35">
      <c r="A43" s="290">
        <v>38</v>
      </c>
      <c r="B43" s="32" t="str">
        <f t="shared" si="0"/>
        <v/>
      </c>
      <c r="C43" s="291"/>
      <c r="E43" s="204"/>
      <c r="F43" s="7"/>
      <c r="G43" s="291"/>
      <c r="H43" s="7"/>
      <c r="I43" s="7"/>
      <c r="J43" s="7"/>
      <c r="L43" s="204"/>
      <c r="M43" s="291"/>
      <c r="N43" s="7"/>
      <c r="O43" s="7"/>
      <c r="P43" s="204"/>
      <c r="Q43" s="291"/>
      <c r="R43" s="204"/>
      <c r="S43" s="206" t="str">
        <f t="shared" ca="1" si="3"/>
        <v/>
      </c>
      <c r="T43" t="str">
        <f t="shared" ca="1" si="2"/>
        <v/>
      </c>
      <c r="X43" s="7"/>
    </row>
    <row r="44" spans="1:24" x14ac:dyDescent="0.35">
      <c r="A44" s="290">
        <v>39</v>
      </c>
      <c r="B44" s="32" t="str">
        <f t="shared" si="0"/>
        <v/>
      </c>
      <c r="C44" s="291"/>
      <c r="E44" s="204"/>
      <c r="F44" s="7"/>
      <c r="G44" s="291"/>
      <c r="H44" s="7"/>
      <c r="I44" s="7"/>
      <c r="J44" s="7"/>
      <c r="L44" s="204"/>
      <c r="M44" s="291"/>
      <c r="N44" s="7"/>
      <c r="O44" s="7"/>
      <c r="P44" s="204"/>
      <c r="Q44" s="291"/>
      <c r="R44" s="204"/>
      <c r="S44" s="206" t="str">
        <f t="shared" ca="1" si="3"/>
        <v/>
      </c>
      <c r="T44" t="str">
        <f t="shared" ca="1" si="2"/>
        <v/>
      </c>
      <c r="X44" s="7"/>
    </row>
    <row r="45" spans="1:24" x14ac:dyDescent="0.35">
      <c r="A45" s="290">
        <v>40</v>
      </c>
      <c r="B45" s="32" t="str">
        <f t="shared" si="0"/>
        <v/>
      </c>
      <c r="C45" s="291"/>
      <c r="E45" s="204"/>
      <c r="F45" s="7"/>
      <c r="G45" s="291"/>
      <c r="H45" s="7"/>
      <c r="I45" s="7"/>
      <c r="J45" s="7"/>
      <c r="L45" s="204"/>
      <c r="M45" s="291"/>
      <c r="N45" s="7"/>
      <c r="O45" s="7"/>
      <c r="P45" s="204"/>
      <c r="Q45" s="291"/>
      <c r="R45" s="204"/>
      <c r="S45" s="206" t="str">
        <f t="shared" ca="1" si="3"/>
        <v/>
      </c>
      <c r="T45" t="str">
        <f t="shared" ca="1" si="2"/>
        <v/>
      </c>
      <c r="X45" s="7"/>
    </row>
    <row r="46" spans="1:24" x14ac:dyDescent="0.35">
      <c r="A46" s="290">
        <v>41</v>
      </c>
      <c r="B46" s="32" t="str">
        <f t="shared" si="0"/>
        <v/>
      </c>
      <c r="C46" s="291"/>
      <c r="E46" s="204"/>
      <c r="F46" s="7"/>
      <c r="G46" s="291"/>
      <c r="H46" s="7"/>
      <c r="I46" s="7"/>
      <c r="J46" s="7"/>
      <c r="L46" s="204"/>
      <c r="M46" s="291"/>
      <c r="N46" s="7"/>
      <c r="O46" s="7"/>
      <c r="P46" s="204"/>
      <c r="Q46" s="291"/>
      <c r="R46" s="204"/>
      <c r="S46" s="206" t="str">
        <f t="shared" ca="1" si="3"/>
        <v/>
      </c>
      <c r="T46" t="str">
        <f t="shared" ca="1" si="2"/>
        <v/>
      </c>
      <c r="X46" s="7"/>
    </row>
    <row r="47" spans="1:24" x14ac:dyDescent="0.35">
      <c r="A47" s="290">
        <v>42</v>
      </c>
      <c r="B47" s="32" t="str">
        <f t="shared" si="0"/>
        <v/>
      </c>
      <c r="C47" s="291"/>
      <c r="E47" s="204"/>
      <c r="F47" s="7"/>
      <c r="G47" s="291"/>
      <c r="H47" s="7"/>
      <c r="I47" s="7"/>
      <c r="J47" s="7"/>
      <c r="L47" s="204"/>
      <c r="M47" s="291"/>
      <c r="N47" s="7"/>
      <c r="O47" s="7"/>
      <c r="P47" s="204"/>
      <c r="Q47" s="291"/>
      <c r="R47" s="204"/>
      <c r="S47" s="206" t="str">
        <f t="shared" ca="1" si="3"/>
        <v/>
      </c>
      <c r="T47" t="str">
        <f t="shared" ca="1" si="2"/>
        <v/>
      </c>
      <c r="X47" s="7"/>
    </row>
    <row r="48" spans="1:24" x14ac:dyDescent="0.35">
      <c r="A48" s="290">
        <v>43</v>
      </c>
      <c r="B48" s="32" t="str">
        <f t="shared" si="0"/>
        <v/>
      </c>
      <c r="C48" s="291"/>
      <c r="E48" s="204"/>
      <c r="F48" s="7"/>
      <c r="G48" s="291"/>
      <c r="H48" s="7"/>
      <c r="I48" s="7"/>
      <c r="J48" s="7"/>
      <c r="L48" s="204"/>
      <c r="M48" s="291"/>
      <c r="N48" s="7"/>
      <c r="O48" s="7"/>
      <c r="P48" s="204"/>
      <c r="Q48" s="291"/>
      <c r="R48" s="204"/>
      <c r="S48" s="206" t="str">
        <f t="shared" ca="1" si="3"/>
        <v/>
      </c>
      <c r="T48" t="str">
        <f t="shared" ca="1" si="2"/>
        <v/>
      </c>
      <c r="X48" s="7"/>
    </row>
    <row r="49" spans="1:24" x14ac:dyDescent="0.35">
      <c r="A49" s="290">
        <v>44</v>
      </c>
      <c r="B49" s="32" t="str">
        <f t="shared" si="0"/>
        <v/>
      </c>
      <c r="C49" s="291"/>
      <c r="E49" s="204"/>
      <c r="F49" s="7"/>
      <c r="G49" s="291"/>
      <c r="H49" s="7"/>
      <c r="I49" s="7"/>
      <c r="J49" s="7"/>
      <c r="L49" s="204"/>
      <c r="M49" s="291"/>
      <c r="N49" s="7"/>
      <c r="O49" s="7"/>
      <c r="P49" s="204"/>
      <c r="Q49" s="291"/>
      <c r="R49" s="204"/>
      <c r="S49" s="206" t="str">
        <f t="shared" ca="1" si="3"/>
        <v/>
      </c>
      <c r="T49" t="str">
        <f t="shared" ca="1" si="2"/>
        <v/>
      </c>
      <c r="X49" s="7"/>
    </row>
    <row r="50" spans="1:24" x14ac:dyDescent="0.35">
      <c r="A50" s="290">
        <v>45</v>
      </c>
      <c r="B50" s="32" t="str">
        <f t="shared" si="0"/>
        <v/>
      </c>
      <c r="C50" s="291"/>
      <c r="E50" s="204"/>
      <c r="F50" s="7"/>
      <c r="G50" s="291"/>
      <c r="H50" s="7"/>
      <c r="I50" s="7"/>
      <c r="J50" s="7"/>
      <c r="L50" s="204"/>
      <c r="M50" s="291"/>
      <c r="N50" s="7"/>
      <c r="O50" s="7"/>
      <c r="P50" s="204"/>
      <c r="Q50" s="291"/>
      <c r="R50" s="204"/>
      <c r="S50" s="206" t="str">
        <f t="shared" ca="1" si="3"/>
        <v/>
      </c>
      <c r="T50" t="str">
        <f t="shared" ca="1" si="2"/>
        <v/>
      </c>
      <c r="X50" s="7"/>
    </row>
    <row r="51" spans="1:24" x14ac:dyDescent="0.35">
      <c r="A51" s="290">
        <v>46</v>
      </c>
      <c r="B51" s="32" t="str">
        <f t="shared" si="0"/>
        <v/>
      </c>
      <c r="C51" s="291"/>
      <c r="E51" s="204"/>
      <c r="F51" s="7"/>
      <c r="G51" s="291"/>
      <c r="H51" s="7"/>
      <c r="I51" s="7"/>
      <c r="J51" s="7"/>
      <c r="L51" s="204"/>
      <c r="M51" s="291"/>
      <c r="N51" s="7"/>
      <c r="O51" s="7"/>
      <c r="P51" s="204"/>
      <c r="Q51" s="291"/>
      <c r="R51" s="204"/>
      <c r="S51" s="206" t="str">
        <f t="shared" ca="1" si="3"/>
        <v/>
      </c>
      <c r="T51" t="str">
        <f t="shared" ca="1" si="2"/>
        <v/>
      </c>
      <c r="X51" s="7"/>
    </row>
    <row r="52" spans="1:24" x14ac:dyDescent="0.35">
      <c r="A52" s="290">
        <v>47</v>
      </c>
      <c r="B52" s="32" t="str">
        <f t="shared" si="0"/>
        <v/>
      </c>
      <c r="C52" s="291"/>
      <c r="E52" s="204"/>
      <c r="F52" s="7"/>
      <c r="G52" s="291"/>
      <c r="H52" s="7"/>
      <c r="I52" s="7"/>
      <c r="J52" s="7"/>
      <c r="L52" s="204"/>
      <c r="M52" s="291"/>
      <c r="N52" s="7"/>
      <c r="O52" s="7"/>
      <c r="P52" s="204"/>
      <c r="Q52" s="291"/>
      <c r="R52" s="204"/>
      <c r="S52" s="206" t="str">
        <f t="shared" ca="1" si="3"/>
        <v/>
      </c>
      <c r="T52" t="str">
        <f t="shared" ca="1" si="2"/>
        <v/>
      </c>
      <c r="X52" s="7"/>
    </row>
    <row r="53" spans="1:24" x14ac:dyDescent="0.35">
      <c r="A53" s="290">
        <v>48</v>
      </c>
      <c r="B53" s="32" t="str">
        <f t="shared" si="0"/>
        <v/>
      </c>
      <c r="C53" s="291"/>
      <c r="E53" s="204"/>
      <c r="F53" s="7"/>
      <c r="G53" s="291"/>
      <c r="H53" s="7"/>
      <c r="I53" s="7"/>
      <c r="J53" s="7"/>
      <c r="L53" s="204"/>
      <c r="M53" s="291"/>
      <c r="N53" s="7"/>
      <c r="O53" s="7"/>
      <c r="P53" s="204"/>
      <c r="Q53" s="291"/>
      <c r="R53" s="204"/>
      <c r="S53" s="206" t="str">
        <f t="shared" ca="1" si="3"/>
        <v/>
      </c>
      <c r="T53" t="str">
        <f t="shared" ca="1" si="2"/>
        <v/>
      </c>
      <c r="X53" s="7"/>
    </row>
    <row r="54" spans="1:24" x14ac:dyDescent="0.35">
      <c r="A54" s="290">
        <v>49</v>
      </c>
      <c r="B54" s="32" t="str">
        <f t="shared" si="0"/>
        <v/>
      </c>
      <c r="C54" s="291"/>
      <c r="E54" s="204"/>
      <c r="F54" s="7"/>
      <c r="G54" s="291"/>
      <c r="H54" s="7"/>
      <c r="I54" s="7"/>
      <c r="J54" s="7"/>
      <c r="L54" s="204"/>
      <c r="M54" s="291"/>
      <c r="N54" s="7"/>
      <c r="O54" s="7"/>
      <c r="P54" s="204"/>
      <c r="Q54" s="291"/>
      <c r="R54" s="204"/>
      <c r="S54" s="206" t="str">
        <f t="shared" ca="1" si="3"/>
        <v/>
      </c>
      <c r="T54" t="str">
        <f t="shared" ca="1" si="2"/>
        <v/>
      </c>
      <c r="X54" s="7"/>
    </row>
    <row r="55" spans="1:24" x14ac:dyDescent="0.35">
      <c r="A55" s="290">
        <v>50</v>
      </c>
      <c r="B55" s="32" t="str">
        <f t="shared" si="0"/>
        <v/>
      </c>
      <c r="C55" s="291"/>
      <c r="E55" s="204"/>
      <c r="F55" s="7"/>
      <c r="G55" s="291"/>
      <c r="H55" s="7"/>
      <c r="I55" s="7"/>
      <c r="J55" s="7"/>
      <c r="L55" s="204"/>
      <c r="M55" s="291"/>
      <c r="N55" s="7"/>
      <c r="O55" s="7"/>
      <c r="P55" s="204"/>
      <c r="Q55" s="291"/>
      <c r="R55" s="204"/>
      <c r="S55" s="206" t="str">
        <f t="shared" ca="1" si="3"/>
        <v/>
      </c>
      <c r="T55" t="str">
        <f t="shared" ca="1" si="2"/>
        <v/>
      </c>
      <c r="X55" s="7"/>
    </row>
    <row r="56" spans="1:24" x14ac:dyDescent="0.35">
      <c r="A56" s="290">
        <v>51</v>
      </c>
      <c r="B56" s="32" t="str">
        <f t="shared" si="0"/>
        <v/>
      </c>
      <c r="C56" s="291"/>
      <c r="E56" s="204"/>
      <c r="F56" s="7"/>
      <c r="G56" s="291"/>
      <c r="H56" s="7"/>
      <c r="I56" s="7"/>
      <c r="J56" s="7"/>
      <c r="L56" s="204"/>
      <c r="M56" s="291"/>
      <c r="N56" s="7"/>
      <c r="O56" s="7"/>
      <c r="P56" s="204"/>
      <c r="Q56" s="291"/>
      <c r="R56" s="204"/>
      <c r="S56" s="206" t="str">
        <f t="shared" ca="1" si="3"/>
        <v/>
      </c>
      <c r="T56" t="str">
        <f t="shared" ca="1" si="2"/>
        <v/>
      </c>
      <c r="X56" s="7"/>
    </row>
    <row r="57" spans="1:24" x14ac:dyDescent="0.35">
      <c r="A57" s="290">
        <v>52</v>
      </c>
      <c r="B57" s="32" t="str">
        <f t="shared" si="0"/>
        <v/>
      </c>
      <c r="C57" s="291"/>
      <c r="E57" s="204"/>
      <c r="F57" s="7"/>
      <c r="G57" s="291"/>
      <c r="H57" s="7"/>
      <c r="I57" s="7"/>
      <c r="J57" s="7"/>
      <c r="L57" s="204"/>
      <c r="M57" s="291"/>
      <c r="N57" s="7"/>
      <c r="O57" s="7"/>
      <c r="P57" s="204"/>
      <c r="Q57" s="291"/>
      <c r="R57" s="204"/>
      <c r="S57" s="206" t="str">
        <f t="shared" ca="1" si="3"/>
        <v/>
      </c>
      <c r="T57" t="str">
        <f t="shared" ca="1" si="2"/>
        <v/>
      </c>
      <c r="X57" s="7"/>
    </row>
    <row r="58" spans="1:24" x14ac:dyDescent="0.35">
      <c r="A58" s="290">
        <v>53</v>
      </c>
      <c r="B58" s="32" t="str">
        <f t="shared" si="0"/>
        <v/>
      </c>
      <c r="C58" s="291"/>
      <c r="E58" s="204"/>
      <c r="F58" s="7"/>
      <c r="G58" s="291"/>
      <c r="H58" s="7"/>
      <c r="I58" s="7"/>
      <c r="J58" s="7"/>
      <c r="L58" s="204"/>
      <c r="M58" s="291"/>
      <c r="N58" s="7"/>
      <c r="O58" s="7"/>
      <c r="P58" s="204"/>
      <c r="Q58" s="291"/>
      <c r="R58" s="204"/>
      <c r="S58" s="206" t="str">
        <f t="shared" ca="1" si="3"/>
        <v/>
      </c>
      <c r="T58" t="str">
        <f t="shared" ca="1" si="2"/>
        <v/>
      </c>
      <c r="X58" s="7"/>
    </row>
    <row r="59" spans="1:24" x14ac:dyDescent="0.35">
      <c r="A59" s="290">
        <v>54</v>
      </c>
      <c r="B59" s="32" t="str">
        <f t="shared" si="0"/>
        <v/>
      </c>
      <c r="C59" s="291"/>
      <c r="E59" s="204"/>
      <c r="F59" s="7"/>
      <c r="G59" s="291"/>
      <c r="H59" s="7"/>
      <c r="I59" s="7"/>
      <c r="J59" s="7"/>
      <c r="L59" s="204"/>
      <c r="M59" s="291"/>
      <c r="N59" s="7"/>
      <c r="O59" s="7"/>
      <c r="P59" s="204"/>
      <c r="Q59" s="291"/>
      <c r="R59" s="204"/>
      <c r="S59" s="206" t="str">
        <f t="shared" ca="1" si="3"/>
        <v/>
      </c>
      <c r="T59" t="str">
        <f t="shared" ca="1" si="2"/>
        <v/>
      </c>
      <c r="X59" s="7"/>
    </row>
    <row r="60" spans="1:24" x14ac:dyDescent="0.35">
      <c r="A60" s="290">
        <v>55</v>
      </c>
      <c r="B60" s="32" t="str">
        <f t="shared" si="0"/>
        <v/>
      </c>
      <c r="C60" s="291"/>
      <c r="E60" s="204"/>
      <c r="F60" s="7"/>
      <c r="G60" s="291"/>
      <c r="H60" s="7"/>
      <c r="I60" s="7"/>
      <c r="J60" s="7"/>
      <c r="L60" s="204"/>
      <c r="M60" s="291"/>
      <c r="N60" s="7"/>
      <c r="O60" s="7"/>
      <c r="P60" s="204"/>
      <c r="Q60" s="291"/>
      <c r="R60" s="204"/>
      <c r="S60" s="206" t="str">
        <f t="shared" ca="1" si="3"/>
        <v/>
      </c>
      <c r="T60" t="str">
        <f t="shared" ca="1" si="2"/>
        <v/>
      </c>
      <c r="X60" s="7"/>
    </row>
    <row r="61" spans="1:24" x14ac:dyDescent="0.35">
      <c r="A61" s="290">
        <v>56</v>
      </c>
      <c r="B61" s="32" t="str">
        <f t="shared" si="0"/>
        <v/>
      </c>
      <c r="C61" s="291"/>
      <c r="E61" s="204"/>
      <c r="F61" s="7"/>
      <c r="G61" s="291"/>
      <c r="H61" s="7"/>
      <c r="I61" s="7"/>
      <c r="J61" s="7"/>
      <c r="L61" s="204"/>
      <c r="M61" s="291"/>
      <c r="N61" s="7"/>
      <c r="O61" s="7"/>
      <c r="P61" s="204"/>
      <c r="Q61" s="291"/>
      <c r="R61" s="204"/>
      <c r="S61" s="206" t="str">
        <f t="shared" ca="1" si="3"/>
        <v/>
      </c>
      <c r="T61" t="str">
        <f t="shared" ca="1" si="2"/>
        <v/>
      </c>
      <c r="X61" s="7"/>
    </row>
    <row r="62" spans="1:24" x14ac:dyDescent="0.35">
      <c r="A62" s="290">
        <v>57</v>
      </c>
      <c r="B62" s="32" t="str">
        <f t="shared" si="0"/>
        <v/>
      </c>
      <c r="C62" s="291"/>
      <c r="E62" s="204"/>
      <c r="F62" s="7"/>
      <c r="G62" s="291"/>
      <c r="H62" s="7"/>
      <c r="I62" s="7"/>
      <c r="J62" s="7"/>
      <c r="L62" s="204"/>
      <c r="M62" s="291"/>
      <c r="N62" s="7"/>
      <c r="O62" s="7"/>
      <c r="P62" s="204"/>
      <c r="Q62" s="291"/>
      <c r="R62" s="204"/>
      <c r="S62" s="206" t="str">
        <f t="shared" ca="1" si="3"/>
        <v/>
      </c>
      <c r="T62" t="str">
        <f t="shared" ca="1" si="2"/>
        <v/>
      </c>
      <c r="X62" s="7"/>
    </row>
    <row r="63" spans="1:24" x14ac:dyDescent="0.35">
      <c r="A63" s="290">
        <v>58</v>
      </c>
      <c r="B63" s="32" t="str">
        <f t="shared" si="0"/>
        <v/>
      </c>
      <c r="C63" s="291"/>
      <c r="E63" s="204"/>
      <c r="F63" s="7"/>
      <c r="G63" s="291"/>
      <c r="H63" s="7"/>
      <c r="I63" s="7"/>
      <c r="J63" s="7"/>
      <c r="L63" s="204"/>
      <c r="M63" s="291"/>
      <c r="N63" s="7"/>
      <c r="O63" s="7"/>
      <c r="P63" s="204"/>
      <c r="Q63" s="291"/>
      <c r="R63" s="204"/>
      <c r="S63" s="206" t="str">
        <f t="shared" ca="1" si="3"/>
        <v/>
      </c>
      <c r="T63" t="str">
        <f t="shared" ca="1" si="2"/>
        <v/>
      </c>
      <c r="X63" s="7"/>
    </row>
    <row r="64" spans="1:24" x14ac:dyDescent="0.35">
      <c r="A64" s="290">
        <v>59</v>
      </c>
      <c r="B64" s="32" t="str">
        <f t="shared" si="0"/>
        <v/>
      </c>
      <c r="C64" s="291"/>
      <c r="E64" s="204"/>
      <c r="F64" s="7"/>
      <c r="G64" s="291"/>
      <c r="H64" s="7"/>
      <c r="I64" s="7"/>
      <c r="J64" s="7"/>
      <c r="L64" s="204"/>
      <c r="M64" s="291"/>
      <c r="N64" s="7"/>
      <c r="O64" s="7"/>
      <c r="P64" s="204"/>
      <c r="Q64" s="291"/>
      <c r="R64" s="204"/>
      <c r="S64" s="206" t="str">
        <f t="shared" ca="1" si="3"/>
        <v/>
      </c>
      <c r="T64" t="str">
        <f t="shared" ca="1" si="2"/>
        <v/>
      </c>
      <c r="X64" s="7"/>
    </row>
    <row r="65" spans="1:24" x14ac:dyDescent="0.35">
      <c r="A65" s="290">
        <v>60</v>
      </c>
      <c r="B65" s="32" t="str">
        <f t="shared" si="0"/>
        <v/>
      </c>
      <c r="C65" s="291"/>
      <c r="E65" s="204"/>
      <c r="F65" s="7"/>
      <c r="G65" s="291"/>
      <c r="H65" s="7"/>
      <c r="I65" s="7"/>
      <c r="J65" s="7"/>
      <c r="L65" s="204"/>
      <c r="M65" s="291"/>
      <c r="N65" s="7"/>
      <c r="O65" s="7"/>
      <c r="P65" s="204"/>
      <c r="Q65" s="291"/>
      <c r="R65" s="204"/>
      <c r="S65" s="206" t="str">
        <f t="shared" ca="1" si="3"/>
        <v/>
      </c>
      <c r="T65" t="str">
        <f t="shared" ca="1" si="2"/>
        <v/>
      </c>
      <c r="X65" s="7"/>
    </row>
    <row r="66" spans="1:24" x14ac:dyDescent="0.35">
      <c r="A66" s="290">
        <v>61</v>
      </c>
      <c r="B66" s="32" t="str">
        <f t="shared" si="0"/>
        <v/>
      </c>
      <c r="C66" s="291"/>
      <c r="E66" s="204"/>
      <c r="F66" s="7"/>
      <c r="G66" s="291"/>
      <c r="H66" s="7"/>
      <c r="I66" s="7"/>
      <c r="J66" s="7"/>
      <c r="L66" s="204"/>
      <c r="M66" s="291"/>
      <c r="N66" s="7"/>
      <c r="O66" s="7"/>
      <c r="P66" s="204"/>
      <c r="Q66" s="291"/>
      <c r="R66" s="204"/>
      <c r="S66" s="206" t="str">
        <f t="shared" ca="1" si="3"/>
        <v/>
      </c>
      <c r="T66" t="str">
        <f t="shared" ca="1" si="2"/>
        <v/>
      </c>
      <c r="X66" s="7"/>
    </row>
    <row r="67" spans="1:24" x14ac:dyDescent="0.35">
      <c r="A67" s="290">
        <v>62</v>
      </c>
      <c r="B67" s="32" t="str">
        <f t="shared" si="0"/>
        <v/>
      </c>
      <c r="C67" s="291"/>
      <c r="E67" s="204"/>
      <c r="F67" s="7"/>
      <c r="G67" s="291"/>
      <c r="H67" s="7"/>
      <c r="I67" s="7"/>
      <c r="J67" s="7"/>
      <c r="L67" s="204"/>
      <c r="M67" s="291"/>
      <c r="N67" s="7"/>
      <c r="O67" s="7"/>
      <c r="P67" s="204"/>
      <c r="Q67" s="291"/>
      <c r="R67" s="204"/>
      <c r="S67" s="206" t="str">
        <f t="shared" ca="1" si="3"/>
        <v/>
      </c>
      <c r="T67" t="str">
        <f t="shared" ca="1" si="2"/>
        <v/>
      </c>
      <c r="X67" s="7"/>
    </row>
    <row r="68" spans="1:24" x14ac:dyDescent="0.35">
      <c r="A68" s="290">
        <v>63</v>
      </c>
      <c r="B68" s="32" t="str">
        <f t="shared" si="0"/>
        <v/>
      </c>
      <c r="C68" s="291"/>
      <c r="E68" s="204"/>
      <c r="F68" s="7"/>
      <c r="G68" s="291"/>
      <c r="H68" s="7"/>
      <c r="I68" s="7"/>
      <c r="J68" s="7"/>
      <c r="L68" s="204"/>
      <c r="M68" s="291"/>
      <c r="N68" s="7"/>
      <c r="O68" s="7"/>
      <c r="P68" s="204"/>
      <c r="Q68" s="291"/>
      <c r="R68" s="204"/>
      <c r="S68" s="206" t="str">
        <f t="shared" ca="1" si="3"/>
        <v/>
      </c>
      <c r="T68" t="str">
        <f t="shared" ca="1" si="2"/>
        <v/>
      </c>
      <c r="X68" s="7"/>
    </row>
    <row r="69" spans="1:24" x14ac:dyDescent="0.35">
      <c r="A69" s="290">
        <v>64</v>
      </c>
      <c r="B69" s="32" t="str">
        <f t="shared" si="0"/>
        <v/>
      </c>
      <c r="C69" s="291"/>
      <c r="E69" s="204"/>
      <c r="F69" s="7"/>
      <c r="G69" s="291"/>
      <c r="H69" s="7"/>
      <c r="I69" s="7"/>
      <c r="J69" s="7"/>
      <c r="L69" s="204"/>
      <c r="M69" s="291"/>
      <c r="N69" s="7"/>
      <c r="O69" s="7"/>
      <c r="P69" s="204"/>
      <c r="Q69" s="291"/>
      <c r="R69" s="204"/>
      <c r="S69" s="206" t="str">
        <f t="shared" ca="1" si="3"/>
        <v/>
      </c>
      <c r="T69" t="str">
        <f t="shared" ca="1" si="2"/>
        <v/>
      </c>
      <c r="X69" s="7"/>
    </row>
    <row r="70" spans="1:24" x14ac:dyDescent="0.35">
      <c r="A70" s="290">
        <v>65</v>
      </c>
      <c r="B70" s="32" t="str">
        <f t="shared" ref="B70:B105" si="4">IF(F70="","","CAPA-"&amp;TEXT(A70,"000"))</f>
        <v/>
      </c>
      <c r="C70" s="291"/>
      <c r="E70" s="204"/>
      <c r="F70" s="7"/>
      <c r="G70" s="291"/>
      <c r="H70" s="7"/>
      <c r="I70" s="7"/>
      <c r="J70" s="7"/>
      <c r="L70" s="204"/>
      <c r="M70" s="291"/>
      <c r="N70" s="7"/>
      <c r="O70" s="7"/>
      <c r="P70" s="204"/>
      <c r="Q70" s="291"/>
      <c r="R70" s="204"/>
      <c r="S70" s="206" t="str">
        <f t="shared" ref="S70:S101" ca="1" si="5">IF(E70="","",IF(R70&lt;&gt;"",R70-E70,TODAY()-E70))</f>
        <v/>
      </c>
      <c r="T70" t="str">
        <f t="shared" ref="T70:T105" ca="1" si="6">IF(OR(M70="Closed",M70="Cancelled",L70=""),"",IF(L70&lt;TODAY(),"Overdue","On Track"))</f>
        <v/>
      </c>
      <c r="X70" s="7"/>
    </row>
    <row r="71" spans="1:24" x14ac:dyDescent="0.35">
      <c r="A71" s="290">
        <v>66</v>
      </c>
      <c r="B71" s="32" t="str">
        <f t="shared" si="4"/>
        <v/>
      </c>
      <c r="C71" s="291"/>
      <c r="E71" s="204"/>
      <c r="F71" s="7"/>
      <c r="G71" s="291"/>
      <c r="H71" s="7"/>
      <c r="I71" s="7"/>
      <c r="J71" s="7"/>
      <c r="L71" s="204"/>
      <c r="M71" s="291"/>
      <c r="N71" s="7"/>
      <c r="O71" s="7"/>
      <c r="P71" s="204"/>
      <c r="Q71" s="291"/>
      <c r="R71" s="204"/>
      <c r="S71" s="206" t="str">
        <f t="shared" ca="1" si="5"/>
        <v/>
      </c>
      <c r="T71" t="str">
        <f t="shared" ca="1" si="6"/>
        <v/>
      </c>
      <c r="X71" s="7"/>
    </row>
    <row r="72" spans="1:24" x14ac:dyDescent="0.35">
      <c r="A72" s="290">
        <v>67</v>
      </c>
      <c r="B72" s="32" t="str">
        <f t="shared" si="4"/>
        <v/>
      </c>
      <c r="C72" s="291"/>
      <c r="E72" s="204"/>
      <c r="F72" s="7"/>
      <c r="G72" s="291"/>
      <c r="H72" s="7"/>
      <c r="I72" s="7"/>
      <c r="J72" s="7"/>
      <c r="L72" s="204"/>
      <c r="M72" s="291"/>
      <c r="N72" s="7"/>
      <c r="O72" s="7"/>
      <c r="P72" s="204"/>
      <c r="Q72" s="291"/>
      <c r="R72" s="204"/>
      <c r="S72" s="206" t="str">
        <f t="shared" ca="1" si="5"/>
        <v/>
      </c>
      <c r="T72" t="str">
        <f t="shared" ca="1" si="6"/>
        <v/>
      </c>
      <c r="X72" s="7"/>
    </row>
    <row r="73" spans="1:24" x14ac:dyDescent="0.35">
      <c r="A73" s="290">
        <v>68</v>
      </c>
      <c r="B73" s="32" t="str">
        <f t="shared" si="4"/>
        <v/>
      </c>
      <c r="C73" s="291"/>
      <c r="E73" s="204"/>
      <c r="F73" s="7"/>
      <c r="G73" s="291"/>
      <c r="H73" s="7"/>
      <c r="I73" s="7"/>
      <c r="J73" s="7"/>
      <c r="L73" s="204"/>
      <c r="M73" s="291"/>
      <c r="N73" s="7"/>
      <c r="O73" s="7"/>
      <c r="P73" s="204"/>
      <c r="Q73" s="291"/>
      <c r="R73" s="204"/>
      <c r="S73" s="206" t="str">
        <f t="shared" ca="1" si="5"/>
        <v/>
      </c>
      <c r="T73" t="str">
        <f t="shared" ca="1" si="6"/>
        <v/>
      </c>
      <c r="X73" s="7"/>
    </row>
    <row r="74" spans="1:24" x14ac:dyDescent="0.35">
      <c r="A74" s="290">
        <v>69</v>
      </c>
      <c r="B74" s="32" t="str">
        <f t="shared" si="4"/>
        <v/>
      </c>
      <c r="C74" s="291"/>
      <c r="E74" s="204"/>
      <c r="F74" s="7"/>
      <c r="G74" s="291"/>
      <c r="H74" s="7"/>
      <c r="I74" s="7"/>
      <c r="J74" s="7"/>
      <c r="L74" s="204"/>
      <c r="M74" s="291"/>
      <c r="N74" s="7"/>
      <c r="O74" s="7"/>
      <c r="P74" s="204"/>
      <c r="Q74" s="291"/>
      <c r="R74" s="204"/>
      <c r="S74" s="206" t="str">
        <f t="shared" ca="1" si="5"/>
        <v/>
      </c>
      <c r="T74" t="str">
        <f t="shared" ca="1" si="6"/>
        <v/>
      </c>
      <c r="X74" s="7"/>
    </row>
    <row r="75" spans="1:24" x14ac:dyDescent="0.35">
      <c r="A75" s="290">
        <v>70</v>
      </c>
      <c r="B75" s="32" t="str">
        <f t="shared" si="4"/>
        <v/>
      </c>
      <c r="C75" s="291"/>
      <c r="E75" s="204"/>
      <c r="F75" s="7"/>
      <c r="G75" s="291"/>
      <c r="H75" s="7"/>
      <c r="I75" s="7"/>
      <c r="J75" s="7"/>
      <c r="L75" s="204"/>
      <c r="M75" s="291"/>
      <c r="N75" s="7"/>
      <c r="O75" s="7"/>
      <c r="P75" s="204"/>
      <c r="Q75" s="291"/>
      <c r="R75" s="204"/>
      <c r="S75" s="206" t="str">
        <f t="shared" ca="1" si="5"/>
        <v/>
      </c>
      <c r="T75" t="str">
        <f t="shared" ca="1" si="6"/>
        <v/>
      </c>
      <c r="X75" s="7"/>
    </row>
    <row r="76" spans="1:24" x14ac:dyDescent="0.35">
      <c r="A76" s="290">
        <v>71</v>
      </c>
      <c r="B76" s="32" t="str">
        <f t="shared" si="4"/>
        <v/>
      </c>
      <c r="C76" s="291"/>
      <c r="E76" s="204"/>
      <c r="F76" s="7"/>
      <c r="G76" s="291"/>
      <c r="H76" s="7"/>
      <c r="I76" s="7"/>
      <c r="J76" s="7"/>
      <c r="L76" s="204"/>
      <c r="M76" s="291"/>
      <c r="N76" s="7"/>
      <c r="O76" s="7"/>
      <c r="P76" s="204"/>
      <c r="Q76" s="291"/>
      <c r="R76" s="204"/>
      <c r="S76" s="206" t="str">
        <f t="shared" ca="1" si="5"/>
        <v/>
      </c>
      <c r="T76" t="str">
        <f t="shared" ca="1" si="6"/>
        <v/>
      </c>
      <c r="X76" s="7"/>
    </row>
    <row r="77" spans="1:24" x14ac:dyDescent="0.35">
      <c r="A77" s="290">
        <v>72</v>
      </c>
      <c r="B77" s="32" t="str">
        <f t="shared" si="4"/>
        <v/>
      </c>
      <c r="C77" s="291"/>
      <c r="E77" s="204"/>
      <c r="F77" s="7"/>
      <c r="G77" s="291"/>
      <c r="H77" s="7"/>
      <c r="I77" s="7"/>
      <c r="J77" s="7"/>
      <c r="L77" s="204"/>
      <c r="M77" s="291"/>
      <c r="N77" s="7"/>
      <c r="O77" s="7"/>
      <c r="P77" s="204"/>
      <c r="Q77" s="291"/>
      <c r="R77" s="204"/>
      <c r="S77" s="206" t="str">
        <f t="shared" ca="1" si="5"/>
        <v/>
      </c>
      <c r="T77" t="str">
        <f t="shared" ca="1" si="6"/>
        <v/>
      </c>
      <c r="X77" s="7"/>
    </row>
    <row r="78" spans="1:24" x14ac:dyDescent="0.35">
      <c r="A78" s="290">
        <v>73</v>
      </c>
      <c r="B78" s="32" t="str">
        <f t="shared" si="4"/>
        <v/>
      </c>
      <c r="C78" s="291"/>
      <c r="E78" s="204"/>
      <c r="F78" s="7"/>
      <c r="G78" s="291"/>
      <c r="H78" s="7"/>
      <c r="I78" s="7"/>
      <c r="J78" s="7"/>
      <c r="L78" s="204"/>
      <c r="M78" s="291"/>
      <c r="N78" s="7"/>
      <c r="O78" s="7"/>
      <c r="P78" s="204"/>
      <c r="Q78" s="291"/>
      <c r="R78" s="204"/>
      <c r="S78" s="206" t="str">
        <f t="shared" ca="1" si="5"/>
        <v/>
      </c>
      <c r="T78" t="str">
        <f t="shared" ca="1" si="6"/>
        <v/>
      </c>
      <c r="X78" s="7"/>
    </row>
    <row r="79" spans="1:24" x14ac:dyDescent="0.35">
      <c r="A79" s="290">
        <v>74</v>
      </c>
      <c r="B79" s="32" t="str">
        <f t="shared" si="4"/>
        <v/>
      </c>
      <c r="C79" s="291"/>
      <c r="E79" s="204"/>
      <c r="F79" s="7"/>
      <c r="G79" s="291"/>
      <c r="H79" s="7"/>
      <c r="I79" s="7"/>
      <c r="J79" s="7"/>
      <c r="L79" s="204"/>
      <c r="M79" s="291"/>
      <c r="N79" s="7"/>
      <c r="O79" s="7"/>
      <c r="P79" s="204"/>
      <c r="Q79" s="291"/>
      <c r="R79" s="204"/>
      <c r="S79" s="206" t="str">
        <f t="shared" ca="1" si="5"/>
        <v/>
      </c>
      <c r="T79" t="str">
        <f t="shared" ca="1" si="6"/>
        <v/>
      </c>
      <c r="X79" s="7"/>
    </row>
    <row r="80" spans="1:24" x14ac:dyDescent="0.35">
      <c r="A80" s="290">
        <v>75</v>
      </c>
      <c r="B80" s="32" t="str">
        <f t="shared" si="4"/>
        <v/>
      </c>
      <c r="C80" s="291"/>
      <c r="E80" s="204"/>
      <c r="F80" s="7"/>
      <c r="G80" s="291"/>
      <c r="H80" s="7"/>
      <c r="I80" s="7"/>
      <c r="J80" s="7"/>
      <c r="L80" s="204"/>
      <c r="M80" s="291"/>
      <c r="N80" s="7"/>
      <c r="O80" s="7"/>
      <c r="P80" s="204"/>
      <c r="Q80" s="291"/>
      <c r="R80" s="204"/>
      <c r="S80" s="206" t="str">
        <f t="shared" ca="1" si="5"/>
        <v/>
      </c>
      <c r="T80" t="str">
        <f t="shared" ca="1" si="6"/>
        <v/>
      </c>
      <c r="X80" s="7"/>
    </row>
    <row r="81" spans="1:24" x14ac:dyDescent="0.35">
      <c r="A81" s="290">
        <v>76</v>
      </c>
      <c r="B81" s="32" t="str">
        <f t="shared" si="4"/>
        <v/>
      </c>
      <c r="C81" s="291"/>
      <c r="E81" s="204"/>
      <c r="F81" s="7"/>
      <c r="G81" s="291"/>
      <c r="H81" s="7"/>
      <c r="I81" s="7"/>
      <c r="J81" s="7"/>
      <c r="L81" s="204"/>
      <c r="M81" s="291"/>
      <c r="N81" s="7"/>
      <c r="O81" s="7"/>
      <c r="P81" s="204"/>
      <c r="Q81" s="291"/>
      <c r="R81" s="204"/>
      <c r="S81" s="206" t="str">
        <f t="shared" ca="1" si="5"/>
        <v/>
      </c>
      <c r="T81" t="str">
        <f t="shared" ca="1" si="6"/>
        <v/>
      </c>
      <c r="X81" s="7"/>
    </row>
    <row r="82" spans="1:24" x14ac:dyDescent="0.35">
      <c r="A82" s="290">
        <v>77</v>
      </c>
      <c r="B82" s="32" t="str">
        <f t="shared" si="4"/>
        <v/>
      </c>
      <c r="C82" s="291"/>
      <c r="E82" s="204"/>
      <c r="F82" s="7"/>
      <c r="G82" s="291"/>
      <c r="H82" s="7"/>
      <c r="I82" s="7"/>
      <c r="J82" s="7"/>
      <c r="L82" s="204"/>
      <c r="M82" s="291"/>
      <c r="N82" s="7"/>
      <c r="O82" s="7"/>
      <c r="P82" s="204"/>
      <c r="Q82" s="291"/>
      <c r="R82" s="204"/>
      <c r="S82" s="206" t="str">
        <f t="shared" ca="1" si="5"/>
        <v/>
      </c>
      <c r="T82" t="str">
        <f t="shared" ca="1" si="6"/>
        <v/>
      </c>
      <c r="X82" s="7"/>
    </row>
    <row r="83" spans="1:24" x14ac:dyDescent="0.35">
      <c r="A83" s="290">
        <v>78</v>
      </c>
      <c r="B83" s="32" t="str">
        <f t="shared" si="4"/>
        <v/>
      </c>
      <c r="C83" s="291"/>
      <c r="E83" s="204"/>
      <c r="F83" s="7"/>
      <c r="G83" s="291"/>
      <c r="H83" s="7"/>
      <c r="I83" s="7"/>
      <c r="J83" s="7"/>
      <c r="L83" s="204"/>
      <c r="M83" s="291"/>
      <c r="N83" s="7"/>
      <c r="O83" s="7"/>
      <c r="P83" s="204"/>
      <c r="Q83" s="291"/>
      <c r="R83" s="204"/>
      <c r="S83" s="206" t="str">
        <f t="shared" ca="1" si="5"/>
        <v/>
      </c>
      <c r="T83" t="str">
        <f t="shared" ca="1" si="6"/>
        <v/>
      </c>
      <c r="X83" s="7"/>
    </row>
    <row r="84" spans="1:24" x14ac:dyDescent="0.35">
      <c r="A84" s="290">
        <v>79</v>
      </c>
      <c r="B84" s="32" t="str">
        <f t="shared" si="4"/>
        <v/>
      </c>
      <c r="C84" s="291"/>
      <c r="E84" s="204"/>
      <c r="F84" s="7"/>
      <c r="G84" s="291"/>
      <c r="H84" s="7"/>
      <c r="I84" s="7"/>
      <c r="J84" s="7"/>
      <c r="L84" s="204"/>
      <c r="M84" s="291"/>
      <c r="N84" s="7"/>
      <c r="O84" s="7"/>
      <c r="P84" s="204"/>
      <c r="Q84" s="291"/>
      <c r="R84" s="204"/>
      <c r="S84" s="206" t="str">
        <f t="shared" ca="1" si="5"/>
        <v/>
      </c>
      <c r="T84" t="str">
        <f t="shared" ca="1" si="6"/>
        <v/>
      </c>
      <c r="X84" s="7"/>
    </row>
    <row r="85" spans="1:24" x14ac:dyDescent="0.35">
      <c r="A85" s="290">
        <v>80</v>
      </c>
      <c r="B85" s="32" t="str">
        <f t="shared" si="4"/>
        <v/>
      </c>
      <c r="C85" s="291"/>
      <c r="E85" s="204"/>
      <c r="F85" s="7"/>
      <c r="G85" s="291"/>
      <c r="H85" s="7"/>
      <c r="I85" s="7"/>
      <c r="J85" s="7"/>
      <c r="L85" s="204"/>
      <c r="M85" s="291"/>
      <c r="N85" s="7"/>
      <c r="O85" s="7"/>
      <c r="P85" s="204"/>
      <c r="Q85" s="291"/>
      <c r="R85" s="204"/>
      <c r="S85" s="206" t="str">
        <f t="shared" ca="1" si="5"/>
        <v/>
      </c>
      <c r="T85" t="str">
        <f t="shared" ca="1" si="6"/>
        <v/>
      </c>
      <c r="X85" s="7"/>
    </row>
    <row r="86" spans="1:24" x14ac:dyDescent="0.35">
      <c r="A86" s="290">
        <v>81</v>
      </c>
      <c r="B86" s="32" t="str">
        <f t="shared" si="4"/>
        <v/>
      </c>
      <c r="C86" s="291"/>
      <c r="E86" s="204"/>
      <c r="F86" s="7"/>
      <c r="G86" s="291"/>
      <c r="H86" s="7"/>
      <c r="I86" s="7"/>
      <c r="J86" s="7"/>
      <c r="L86" s="204"/>
      <c r="M86" s="291"/>
      <c r="N86" s="7"/>
      <c r="O86" s="7"/>
      <c r="P86" s="204"/>
      <c r="Q86" s="291"/>
      <c r="R86" s="204"/>
      <c r="S86" s="206" t="str">
        <f t="shared" ca="1" si="5"/>
        <v/>
      </c>
      <c r="T86" t="str">
        <f t="shared" ca="1" si="6"/>
        <v/>
      </c>
      <c r="X86" s="7"/>
    </row>
    <row r="87" spans="1:24" x14ac:dyDescent="0.35">
      <c r="A87" s="290">
        <v>82</v>
      </c>
      <c r="B87" s="32" t="str">
        <f t="shared" si="4"/>
        <v/>
      </c>
      <c r="C87" s="291"/>
      <c r="E87" s="204"/>
      <c r="F87" s="7"/>
      <c r="G87" s="291"/>
      <c r="H87" s="7"/>
      <c r="I87" s="7"/>
      <c r="J87" s="7"/>
      <c r="L87" s="204"/>
      <c r="M87" s="291"/>
      <c r="N87" s="7"/>
      <c r="O87" s="7"/>
      <c r="P87" s="204"/>
      <c r="Q87" s="291"/>
      <c r="R87" s="204"/>
      <c r="S87" s="206" t="str">
        <f t="shared" ca="1" si="5"/>
        <v/>
      </c>
      <c r="T87" t="str">
        <f t="shared" ca="1" si="6"/>
        <v/>
      </c>
      <c r="X87" s="7"/>
    </row>
    <row r="88" spans="1:24" x14ac:dyDescent="0.35">
      <c r="A88" s="290">
        <v>83</v>
      </c>
      <c r="B88" s="32" t="str">
        <f t="shared" si="4"/>
        <v/>
      </c>
      <c r="C88" s="291"/>
      <c r="E88" s="204"/>
      <c r="F88" s="7"/>
      <c r="G88" s="291"/>
      <c r="H88" s="7"/>
      <c r="I88" s="7"/>
      <c r="J88" s="7"/>
      <c r="L88" s="204"/>
      <c r="M88" s="291"/>
      <c r="N88" s="7"/>
      <c r="O88" s="7"/>
      <c r="P88" s="204"/>
      <c r="Q88" s="291"/>
      <c r="R88" s="204"/>
      <c r="S88" s="206" t="str">
        <f t="shared" ca="1" si="5"/>
        <v/>
      </c>
      <c r="T88" t="str">
        <f t="shared" ca="1" si="6"/>
        <v/>
      </c>
      <c r="X88" s="7"/>
    </row>
    <row r="89" spans="1:24" x14ac:dyDescent="0.35">
      <c r="A89" s="290">
        <v>84</v>
      </c>
      <c r="B89" s="32" t="str">
        <f t="shared" si="4"/>
        <v/>
      </c>
      <c r="C89" s="291"/>
      <c r="E89" s="204"/>
      <c r="F89" s="7"/>
      <c r="G89" s="291"/>
      <c r="H89" s="7"/>
      <c r="I89" s="7"/>
      <c r="J89" s="7"/>
      <c r="L89" s="204"/>
      <c r="M89" s="291"/>
      <c r="N89" s="7"/>
      <c r="O89" s="7"/>
      <c r="P89" s="204"/>
      <c r="Q89" s="291"/>
      <c r="R89" s="204"/>
      <c r="S89" s="206" t="str">
        <f t="shared" ca="1" si="5"/>
        <v/>
      </c>
      <c r="T89" t="str">
        <f t="shared" ca="1" si="6"/>
        <v/>
      </c>
      <c r="X89" s="7"/>
    </row>
    <row r="90" spans="1:24" x14ac:dyDescent="0.35">
      <c r="A90" s="290">
        <v>85</v>
      </c>
      <c r="B90" s="32" t="str">
        <f t="shared" si="4"/>
        <v/>
      </c>
      <c r="C90" s="291"/>
      <c r="E90" s="204"/>
      <c r="F90" s="7"/>
      <c r="G90" s="291"/>
      <c r="H90" s="7"/>
      <c r="I90" s="7"/>
      <c r="J90" s="7"/>
      <c r="L90" s="204"/>
      <c r="M90" s="291"/>
      <c r="N90" s="7"/>
      <c r="O90" s="7"/>
      <c r="P90" s="204"/>
      <c r="Q90" s="291"/>
      <c r="R90" s="204"/>
      <c r="S90" s="206" t="str">
        <f t="shared" ca="1" si="5"/>
        <v/>
      </c>
      <c r="T90" t="str">
        <f t="shared" ca="1" si="6"/>
        <v/>
      </c>
      <c r="X90" s="7"/>
    </row>
    <row r="91" spans="1:24" x14ac:dyDescent="0.35">
      <c r="A91" s="290">
        <v>86</v>
      </c>
      <c r="B91" s="32" t="str">
        <f t="shared" si="4"/>
        <v/>
      </c>
      <c r="C91" s="291"/>
      <c r="E91" s="204"/>
      <c r="F91" s="7"/>
      <c r="G91" s="291"/>
      <c r="H91" s="7"/>
      <c r="I91" s="7"/>
      <c r="J91" s="7"/>
      <c r="L91" s="204"/>
      <c r="M91" s="291"/>
      <c r="N91" s="7"/>
      <c r="O91" s="7"/>
      <c r="P91" s="204"/>
      <c r="Q91" s="291"/>
      <c r="R91" s="204"/>
      <c r="S91" s="206" t="str">
        <f t="shared" ca="1" si="5"/>
        <v/>
      </c>
      <c r="T91" t="str">
        <f t="shared" ca="1" si="6"/>
        <v/>
      </c>
      <c r="X91" s="7"/>
    </row>
    <row r="92" spans="1:24" x14ac:dyDescent="0.35">
      <c r="A92" s="290">
        <v>87</v>
      </c>
      <c r="B92" s="32" t="str">
        <f t="shared" si="4"/>
        <v/>
      </c>
      <c r="C92" s="291"/>
      <c r="E92" s="204"/>
      <c r="F92" s="7"/>
      <c r="G92" s="291"/>
      <c r="H92" s="7"/>
      <c r="I92" s="7"/>
      <c r="J92" s="7"/>
      <c r="L92" s="204"/>
      <c r="M92" s="291"/>
      <c r="N92" s="7"/>
      <c r="O92" s="7"/>
      <c r="P92" s="204"/>
      <c r="Q92" s="291"/>
      <c r="R92" s="204"/>
      <c r="S92" s="206" t="str">
        <f t="shared" ca="1" si="5"/>
        <v/>
      </c>
      <c r="T92" t="str">
        <f t="shared" ca="1" si="6"/>
        <v/>
      </c>
      <c r="X92" s="7"/>
    </row>
    <row r="93" spans="1:24" x14ac:dyDescent="0.35">
      <c r="A93" s="290">
        <v>88</v>
      </c>
      <c r="B93" s="32" t="str">
        <f t="shared" si="4"/>
        <v/>
      </c>
      <c r="C93" s="291"/>
      <c r="E93" s="204"/>
      <c r="F93" s="7"/>
      <c r="G93" s="291"/>
      <c r="H93" s="7"/>
      <c r="I93" s="7"/>
      <c r="J93" s="7"/>
      <c r="L93" s="204"/>
      <c r="M93" s="291"/>
      <c r="N93" s="7"/>
      <c r="O93" s="7"/>
      <c r="P93" s="204"/>
      <c r="Q93" s="291"/>
      <c r="R93" s="204"/>
      <c r="S93" s="206" t="str">
        <f t="shared" ca="1" si="5"/>
        <v/>
      </c>
      <c r="T93" t="str">
        <f t="shared" ca="1" si="6"/>
        <v/>
      </c>
      <c r="X93" s="7"/>
    </row>
    <row r="94" spans="1:24" x14ac:dyDescent="0.35">
      <c r="A94" s="290">
        <v>89</v>
      </c>
      <c r="B94" s="32" t="str">
        <f t="shared" si="4"/>
        <v/>
      </c>
      <c r="C94" s="291"/>
      <c r="E94" s="204"/>
      <c r="F94" s="7"/>
      <c r="G94" s="291"/>
      <c r="H94" s="7"/>
      <c r="I94" s="7"/>
      <c r="J94" s="7"/>
      <c r="L94" s="204"/>
      <c r="M94" s="291"/>
      <c r="N94" s="7"/>
      <c r="O94" s="7"/>
      <c r="P94" s="204"/>
      <c r="Q94" s="291"/>
      <c r="R94" s="204"/>
      <c r="S94" s="206" t="str">
        <f t="shared" ca="1" si="5"/>
        <v/>
      </c>
      <c r="T94" t="str">
        <f t="shared" ca="1" si="6"/>
        <v/>
      </c>
      <c r="X94" s="7"/>
    </row>
    <row r="95" spans="1:24" x14ac:dyDescent="0.35">
      <c r="A95" s="290">
        <v>90</v>
      </c>
      <c r="B95" s="32" t="str">
        <f t="shared" si="4"/>
        <v/>
      </c>
      <c r="C95" s="291"/>
      <c r="E95" s="204"/>
      <c r="F95" s="7"/>
      <c r="G95" s="291"/>
      <c r="H95" s="7"/>
      <c r="I95" s="7"/>
      <c r="J95" s="7"/>
      <c r="L95" s="204"/>
      <c r="M95" s="291"/>
      <c r="N95" s="7"/>
      <c r="O95" s="7"/>
      <c r="P95" s="204"/>
      <c r="Q95" s="291"/>
      <c r="R95" s="204"/>
      <c r="S95" s="206" t="str">
        <f t="shared" ca="1" si="5"/>
        <v/>
      </c>
      <c r="T95" t="str">
        <f t="shared" ca="1" si="6"/>
        <v/>
      </c>
      <c r="X95" s="7"/>
    </row>
    <row r="96" spans="1:24" x14ac:dyDescent="0.35">
      <c r="A96" s="290">
        <v>91</v>
      </c>
      <c r="B96" s="32" t="str">
        <f t="shared" si="4"/>
        <v/>
      </c>
      <c r="C96" s="291"/>
      <c r="E96" s="204"/>
      <c r="F96" s="7"/>
      <c r="G96" s="291"/>
      <c r="H96" s="7"/>
      <c r="I96" s="7"/>
      <c r="J96" s="7"/>
      <c r="L96" s="204"/>
      <c r="M96" s="291"/>
      <c r="N96" s="7"/>
      <c r="O96" s="7"/>
      <c r="P96" s="204"/>
      <c r="Q96" s="291"/>
      <c r="R96" s="204"/>
      <c r="S96" s="206" t="str">
        <f t="shared" ca="1" si="5"/>
        <v/>
      </c>
      <c r="T96" t="str">
        <f t="shared" ca="1" si="6"/>
        <v/>
      </c>
      <c r="X96" s="7"/>
    </row>
    <row r="97" spans="1:24" x14ac:dyDescent="0.35">
      <c r="A97" s="290">
        <v>92</v>
      </c>
      <c r="B97" s="32" t="str">
        <f t="shared" si="4"/>
        <v/>
      </c>
      <c r="C97" s="291"/>
      <c r="E97" s="204"/>
      <c r="F97" s="7"/>
      <c r="G97" s="291"/>
      <c r="H97" s="7"/>
      <c r="I97" s="7"/>
      <c r="J97" s="7"/>
      <c r="L97" s="204"/>
      <c r="M97" s="291"/>
      <c r="N97" s="7"/>
      <c r="O97" s="7"/>
      <c r="P97" s="204"/>
      <c r="Q97" s="291"/>
      <c r="R97" s="204"/>
      <c r="S97" s="206" t="str">
        <f t="shared" ca="1" si="5"/>
        <v/>
      </c>
      <c r="T97" t="str">
        <f t="shared" ca="1" si="6"/>
        <v/>
      </c>
      <c r="X97" s="7"/>
    </row>
    <row r="98" spans="1:24" x14ac:dyDescent="0.35">
      <c r="A98" s="290">
        <v>93</v>
      </c>
      <c r="B98" s="32" t="str">
        <f t="shared" si="4"/>
        <v/>
      </c>
      <c r="C98" s="291"/>
      <c r="E98" s="204"/>
      <c r="F98" s="7"/>
      <c r="G98" s="291"/>
      <c r="H98" s="7"/>
      <c r="I98" s="7"/>
      <c r="J98" s="7"/>
      <c r="L98" s="204"/>
      <c r="M98" s="291"/>
      <c r="N98" s="7"/>
      <c r="O98" s="7"/>
      <c r="P98" s="204"/>
      <c r="Q98" s="291"/>
      <c r="R98" s="204"/>
      <c r="S98" s="206" t="str">
        <f t="shared" ca="1" si="5"/>
        <v/>
      </c>
      <c r="T98" t="str">
        <f t="shared" ca="1" si="6"/>
        <v/>
      </c>
      <c r="X98" s="7"/>
    </row>
    <row r="99" spans="1:24" x14ac:dyDescent="0.35">
      <c r="A99" s="290">
        <v>94</v>
      </c>
      <c r="B99" s="32" t="str">
        <f t="shared" si="4"/>
        <v/>
      </c>
      <c r="C99" s="291"/>
      <c r="E99" s="204"/>
      <c r="F99" s="7"/>
      <c r="G99" s="291"/>
      <c r="H99" s="7"/>
      <c r="I99" s="7"/>
      <c r="J99" s="7"/>
      <c r="L99" s="204"/>
      <c r="M99" s="291"/>
      <c r="N99" s="7"/>
      <c r="O99" s="7"/>
      <c r="P99" s="204"/>
      <c r="Q99" s="291"/>
      <c r="R99" s="204"/>
      <c r="S99" s="206" t="str">
        <f t="shared" ca="1" si="5"/>
        <v/>
      </c>
      <c r="T99" t="str">
        <f t="shared" ca="1" si="6"/>
        <v/>
      </c>
      <c r="X99" s="7"/>
    </row>
    <row r="100" spans="1:24" x14ac:dyDescent="0.35">
      <c r="A100" s="290">
        <v>95</v>
      </c>
      <c r="B100" s="32" t="str">
        <f t="shared" si="4"/>
        <v/>
      </c>
      <c r="C100" s="291"/>
      <c r="E100" s="204"/>
      <c r="F100" s="7"/>
      <c r="G100" s="291"/>
      <c r="H100" s="7"/>
      <c r="I100" s="7"/>
      <c r="J100" s="7"/>
      <c r="L100" s="204"/>
      <c r="M100" s="291"/>
      <c r="N100" s="7"/>
      <c r="O100" s="7"/>
      <c r="P100" s="204"/>
      <c r="Q100" s="291"/>
      <c r="R100" s="204"/>
      <c r="S100" s="206" t="str">
        <f t="shared" ca="1" si="5"/>
        <v/>
      </c>
      <c r="T100" t="str">
        <f t="shared" ca="1" si="6"/>
        <v/>
      </c>
      <c r="X100" s="7"/>
    </row>
    <row r="101" spans="1:24" x14ac:dyDescent="0.35">
      <c r="A101" s="290">
        <v>96</v>
      </c>
      <c r="B101" s="32" t="str">
        <f t="shared" si="4"/>
        <v/>
      </c>
      <c r="C101" s="291"/>
      <c r="E101" s="204"/>
      <c r="F101" s="7"/>
      <c r="G101" s="291"/>
      <c r="H101" s="7"/>
      <c r="I101" s="7"/>
      <c r="J101" s="7"/>
      <c r="L101" s="204"/>
      <c r="M101" s="291"/>
      <c r="N101" s="7"/>
      <c r="O101" s="7"/>
      <c r="P101" s="204"/>
      <c r="Q101" s="291"/>
      <c r="R101" s="204"/>
      <c r="S101" s="206" t="str">
        <f t="shared" ca="1" si="5"/>
        <v/>
      </c>
      <c r="T101" t="str">
        <f t="shared" ca="1" si="6"/>
        <v/>
      </c>
      <c r="X101" s="7"/>
    </row>
    <row r="102" spans="1:24" x14ac:dyDescent="0.35">
      <c r="A102" s="290">
        <v>97</v>
      </c>
      <c r="B102" s="32" t="str">
        <f t="shared" si="4"/>
        <v/>
      </c>
      <c r="C102" s="291"/>
      <c r="E102" s="204"/>
      <c r="F102" s="7"/>
      <c r="G102" s="291"/>
      <c r="H102" s="7"/>
      <c r="I102" s="7"/>
      <c r="J102" s="7"/>
      <c r="L102" s="204"/>
      <c r="M102" s="291"/>
      <c r="N102" s="7"/>
      <c r="O102" s="7"/>
      <c r="P102" s="204"/>
      <c r="Q102" s="291"/>
      <c r="R102" s="204"/>
      <c r="S102" s="206" t="str">
        <f t="shared" ref="S102:S105" ca="1" si="7">IF(E102="","",IF(R102&lt;&gt;"",R102-E102,TODAY()-E102))</f>
        <v/>
      </c>
      <c r="T102" t="str">
        <f t="shared" ca="1" si="6"/>
        <v/>
      </c>
      <c r="X102" s="7"/>
    </row>
    <row r="103" spans="1:24" x14ac:dyDescent="0.35">
      <c r="A103" s="290">
        <v>98</v>
      </c>
      <c r="B103" s="32" t="str">
        <f t="shared" si="4"/>
        <v/>
      </c>
      <c r="C103" s="291"/>
      <c r="E103" s="204"/>
      <c r="F103" s="7"/>
      <c r="G103" s="291"/>
      <c r="H103" s="7"/>
      <c r="I103" s="7"/>
      <c r="J103" s="7"/>
      <c r="L103" s="204"/>
      <c r="M103" s="291"/>
      <c r="N103" s="7"/>
      <c r="O103" s="7"/>
      <c r="P103" s="204"/>
      <c r="Q103" s="291"/>
      <c r="R103" s="204"/>
      <c r="S103" s="206" t="str">
        <f t="shared" ca="1" si="7"/>
        <v/>
      </c>
      <c r="T103" t="str">
        <f t="shared" ca="1" si="6"/>
        <v/>
      </c>
      <c r="X103" s="7"/>
    </row>
    <row r="104" spans="1:24" x14ac:dyDescent="0.35">
      <c r="A104" s="290">
        <v>99</v>
      </c>
      <c r="B104" s="32" t="str">
        <f t="shared" si="4"/>
        <v/>
      </c>
      <c r="C104" s="291"/>
      <c r="E104" s="204"/>
      <c r="F104" s="7"/>
      <c r="G104" s="291"/>
      <c r="H104" s="7"/>
      <c r="I104" s="7"/>
      <c r="J104" s="7"/>
      <c r="L104" s="204"/>
      <c r="M104" s="291"/>
      <c r="N104" s="7"/>
      <c r="O104" s="7"/>
      <c r="P104" s="204"/>
      <c r="Q104" s="291"/>
      <c r="R104" s="204"/>
      <c r="S104" s="206" t="str">
        <f t="shared" ca="1" si="7"/>
        <v/>
      </c>
      <c r="T104" t="str">
        <f t="shared" ca="1" si="6"/>
        <v/>
      </c>
      <c r="X104" s="7"/>
    </row>
    <row r="105" spans="1:24" x14ac:dyDescent="0.35">
      <c r="A105" s="290">
        <v>100</v>
      </c>
      <c r="B105" s="32" t="str">
        <f t="shared" si="4"/>
        <v/>
      </c>
      <c r="C105" s="291"/>
      <c r="E105" s="204"/>
      <c r="F105" s="7"/>
      <c r="G105" s="291"/>
      <c r="H105" s="7"/>
      <c r="I105" s="7"/>
      <c r="J105" s="7"/>
      <c r="L105" s="204"/>
      <c r="M105" s="291"/>
      <c r="N105" s="7"/>
      <c r="O105" s="7"/>
      <c r="P105" s="204"/>
      <c r="Q105" s="291"/>
      <c r="R105" s="204"/>
      <c r="S105" s="206" t="str">
        <f t="shared" ca="1" si="7"/>
        <v/>
      </c>
      <c r="T105" t="str">
        <f t="shared" ca="1" si="6"/>
        <v/>
      </c>
      <c r="X105" s="7"/>
    </row>
  </sheetData>
  <mergeCells count="3">
    <mergeCell ref="A1:X1"/>
    <mergeCell ref="A2:X2"/>
    <mergeCell ref="A3:X3"/>
  </mergeCells>
  <conditionalFormatting sqref="G6:G105">
    <cfRule type="expression" dxfId="69" priority="2">
      <formula>$G6="Critical"</formula>
    </cfRule>
    <cfRule type="expression" dxfId="68" priority="3">
      <formula>$G6="High"</formula>
    </cfRule>
  </conditionalFormatting>
  <conditionalFormatting sqref="M6:M105">
    <cfRule type="expression" dxfId="67" priority="5">
      <formula>$M6="Closed"</formula>
    </cfRule>
  </conditionalFormatting>
  <conditionalFormatting sqref="N6:R105">
    <cfRule type="expression" dxfId="66" priority="6">
      <formula>AND($M6="Closed",OR($N6="",$O6="",NOT(ISNUMBER($P6)),OR($Q6="",$Q6="Pending"),NOT(ISNUMBER($R6))))</formula>
    </cfRule>
  </conditionalFormatting>
  <conditionalFormatting sqref="T6:T105">
    <cfRule type="expression" dxfId="65" priority="4">
      <formula>$T6="Overdue"</formula>
    </cfRule>
  </conditionalFormatting>
  <dataValidations count="9">
    <dataValidation type="list" allowBlank="1" showInputMessage="1" showErrorMessage="1" sqref="C6:C105" xr:uid="{B5340AFB-69F2-4950-987B-588763D45E4A}">
      <formula1>"Risk,Recovery Plan,IT DR,ISO Document,Audit,Management Review,BIA,Dependency,Other"</formula1>
    </dataValidation>
    <dataValidation type="list" allowBlank="1" showInputMessage="1" showErrorMessage="1" sqref="G6:G105" xr:uid="{90B095C8-D5E0-47E6-B05B-086D59296828}">
      <formula1>"Critical,High,Medium,Low"</formula1>
    </dataValidation>
    <dataValidation type="list" allowBlank="1" showInputMessage="1" showErrorMessage="1" sqref="M6:M105" xr:uid="{CC5049F0-756D-45A5-B87B-BB7261EC130E}">
      <formula1>"Open,Investigation,Action in Progress,Pending Verification,Closed,Cancelled"</formula1>
    </dataValidation>
    <dataValidation type="list" allowBlank="1" showInputMessage="1" showErrorMessage="1" sqref="Q6:Q105" xr:uid="{8AAD2F8C-EDD7-4C18-9D39-80557AB3E48E}">
      <formula1>"Effective,Partially Effective,Ineffective,Pending"</formula1>
    </dataValidation>
    <dataValidation type="custom" allowBlank="1" showInputMessage="1" showErrorMessage="1" sqref="E6:E105" xr:uid="{B6EEBF82-A63A-4ABE-9528-B0BDA33288E4}">
      <formula1>OR(E6="",AND(ISNUMBER(E6),E6&lt;=TODAY()))</formula1>
    </dataValidation>
    <dataValidation type="custom" allowBlank="1" showInputMessage="1" showErrorMessage="1" sqref="L6:L105" xr:uid="{8D09A93C-92FA-4E0C-8436-8D51C363193B}">
      <formula1>OR(L6="",AND(ISNUMBER(L6),OR(E6="",L6&gt;=E6)))</formula1>
    </dataValidation>
    <dataValidation type="custom" allowBlank="1" showInputMessage="1" showErrorMessage="1" sqref="P6:P105" xr:uid="{08A39F40-86A6-4EA6-8CA8-D55A6E97D518}">
      <formula1>OR(P6="",AND(ISNUMBER(P6),OR(E6="",P6&gt;=E6)))</formula1>
    </dataValidation>
    <dataValidation type="custom" allowBlank="1" showInputMessage="1" showErrorMessage="1" sqref="R6:R105" xr:uid="{6FCFA8A1-8A97-419B-8E79-DD33DBD549B1}">
      <formula1>OR(R6="",AND(ISNUMBER(R6),OR(P6="",R6&gt;=P6)))</formula1>
    </dataValidation>
    <dataValidation type="custom" showInputMessage="1" showErrorMessage="1" sqref="D6:D105" xr:uid="{BFA13CC3-DBB6-4B63-A929-EEA5B5A82364}">
      <formula1>OR(F6="",LEN(TRIM(D6))&gt;0)</formula1>
    </dataValidation>
  </dataValidation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2A900"/>
  </sheetPr>
  <dimension ref="A1:H19"/>
  <sheetViews>
    <sheetView showGridLines="0" zoomScaleNormal="100" workbookViewId="0">
      <pane ySplit="4" topLeftCell="A5" activePane="bottomLeft" state="frozen"/>
      <selection pane="bottomLeft" sqref="A1:XFD1048576"/>
    </sheetView>
  </sheetViews>
  <sheetFormatPr defaultColWidth="8.54296875" defaultRowHeight="14.5" x14ac:dyDescent="0.35"/>
  <cols>
    <col min="1" max="1" width="7.7265625" bestFit="1" customWidth="1"/>
    <col min="2" max="2" width="5" bestFit="1" customWidth="1"/>
    <col min="3" max="3" width="34.453125" customWidth="1"/>
    <col min="4" max="4" width="11.1796875" bestFit="1" customWidth="1"/>
    <col min="5" max="5" width="15.36328125" bestFit="1" customWidth="1"/>
    <col min="6" max="6" width="12.90625" bestFit="1" customWidth="1"/>
    <col min="7" max="7" width="37.36328125" bestFit="1" customWidth="1"/>
    <col min="8" max="8" width="18.90625" bestFit="1" customWidth="1"/>
  </cols>
  <sheetData>
    <row r="1" spans="1:8" ht="22.5" customHeight="1" x14ac:dyDescent="0.35">
      <c r="A1" s="317" t="s">
        <v>542</v>
      </c>
      <c r="B1" s="315"/>
      <c r="C1" s="315"/>
      <c r="D1" s="315"/>
      <c r="E1" s="315"/>
      <c r="F1" s="315"/>
      <c r="G1" s="315"/>
      <c r="H1" s="315"/>
    </row>
    <row r="2" spans="1:8" ht="16.5" customHeight="1" x14ac:dyDescent="0.35">
      <c r="A2" s="318" t="s">
        <v>543</v>
      </c>
      <c r="B2" s="315"/>
      <c r="C2" s="315"/>
      <c r="D2" s="315"/>
      <c r="E2" s="315"/>
      <c r="F2" s="315"/>
      <c r="G2" s="315"/>
      <c r="H2" s="315"/>
    </row>
    <row r="4" spans="1:8" ht="15" customHeight="1" x14ac:dyDescent="0.35">
      <c r="A4" s="13" t="s">
        <v>544</v>
      </c>
      <c r="B4" s="13" t="s">
        <v>545</v>
      </c>
      <c r="C4" s="13" t="s">
        <v>546</v>
      </c>
      <c r="D4" s="13" t="s">
        <v>547</v>
      </c>
      <c r="E4" s="13" t="s">
        <v>548</v>
      </c>
      <c r="F4" s="13" t="s">
        <v>549</v>
      </c>
      <c r="G4" s="13" t="s">
        <v>550</v>
      </c>
      <c r="H4" s="13" t="s">
        <v>551</v>
      </c>
    </row>
    <row r="5" spans="1:8" x14ac:dyDescent="0.35">
      <c r="A5" s="392" t="s">
        <v>552</v>
      </c>
      <c r="B5" s="8">
        <v>1</v>
      </c>
      <c r="C5" s="12" t="s">
        <v>553</v>
      </c>
      <c r="D5" s="8" t="str">
        <f>_xlfn.LET(_xlpm.scopeCount,COUNTIF(ScopeProductsServices[In Scope (Y/N)],"Yes"),_xlpm.profileFields,COUNTA('03. Business Unit Profile'!$B$5:$B$14),IF(AND(_xlpm.scopeCount=0,_xlpm.profileFields=0),"Not Assessed",IF(AND(_xlpm.scopeCount&gt;0,_xlpm.profileFields=10),"Yes","Partial")))</f>
        <v>Partial</v>
      </c>
      <c r="E5" s="8"/>
      <c r="F5" s="17" t="str">
        <f t="shared" ref="F5:F19" si="0">IF($E5&lt;&gt;"",$E5,IF($D5="","Not Assessed",$D5))</f>
        <v>Partial</v>
      </c>
      <c r="G5" s="12" t="s">
        <v>554</v>
      </c>
      <c r="H5" s="10"/>
    </row>
    <row r="6" spans="1:8" ht="23.25" customHeight="1" x14ac:dyDescent="0.35">
      <c r="A6" s="353"/>
      <c r="B6" s="8">
        <v>2</v>
      </c>
      <c r="C6" s="12" t="s">
        <v>555</v>
      </c>
      <c r="D6" s="8" t="str">
        <f>_xlfn.LET(_xlpm.s,_xlfn.XLOOKUP("EXT-01",'18. ISO Docs &amp; Records'!$A$5:$A$24,'18. ISO Docs &amp; Records'!$F$5:$F$24,""),_xlpm.ver,_xlfn.XLOOKUP("EXT-01",'18. ISO Docs &amp; Records'!$A$5:$A$24,'18. ISO Docs &amp; Records'!$K$5:$K$24,""),_xlpm.appr,_xlfn.XLOOKUP("EXT-01",'18. ISO Docs &amp; Records'!$A$5:$A$24,'18. ISO Docs &amp; Records'!$L$5:$L$24,""),_xlpm.rev,_xlfn.XLOOKUP("EXT-01",'18. ISO Docs &amp; Records'!$A$5:$A$24,'18. ISO Docs &amp; Records'!$M$5:$M$24,""),_xlpm.approver,_xlfn.XLOOKUP("EXT-01",'18. ISO Docs &amp; Records'!$A$5:$A$24,'18. ISO Docs &amp; Records'!$N$5:$N$24,""),_xlpm.repo,_xlfn.XLOOKUP("EXT-01",'18. ISO Docs &amp; Records'!$A$5:$A$24,'18. ISO Docs &amp; Records'!$O$5:$O$24,""),_xlpm.vown,_xlfn.XLOOKUP("EXT-01",'18. ISO Docs &amp; Records'!$A$5:$A$24,'18. ISO Docs &amp; Records'!$P$5:$P$24,""),_xlpm.vdate,_xlfn.XLOOKUP("EXT-01",'18. ISO Docs &amp; Records'!$A$5:$A$24,'18. ISO Docs &amp; Records'!$Q$5:$Q$24,""),_xlpm.class,_xlfn.XLOOKUP("EXT-01",'18. ISO Docs &amp; Records'!$A$5:$A$24,'18. ISO Docs &amp; Records'!$R$5:$R$24,""),_xlpm.alert,_xlfn.XLOOKUP("EXT-01",'18.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v>Not Assessed</v>
      </c>
      <c r="E6" s="11"/>
      <c r="F6" s="17" t="str">
        <f t="shared" si="0"/>
        <v>Not Assessed</v>
      </c>
      <c r="G6" s="12" t="s">
        <v>556</v>
      </c>
      <c r="H6" s="10"/>
    </row>
    <row r="7" spans="1:8" x14ac:dyDescent="0.35">
      <c r="A7" s="353"/>
      <c r="B7" s="8">
        <v>3</v>
      </c>
      <c r="C7" s="12" t="s">
        <v>557</v>
      </c>
      <c r="D7" s="8" t="str">
        <f>_xlfn.LET(_xlpm.ps,COUNTIF(ScopeProductsServices[P&amp;S ID],"PS-*"),_xlpm.crit,COUNTIF('04. Products &amp; Services'!$J$6:$J$50,"Yes"),IF(_xlpm.ps=0,"Not Assessed",IF(_xlpm.crit=0,"Partial","Yes")))</f>
        <v>Yes</v>
      </c>
      <c r="E7" s="8"/>
      <c r="F7" s="17" t="str">
        <f t="shared" si="0"/>
        <v>Yes</v>
      </c>
      <c r="G7" s="12" t="s">
        <v>558</v>
      </c>
      <c r="H7" s="10"/>
    </row>
    <row r="8" spans="1:8" ht="23.25" customHeight="1" x14ac:dyDescent="0.35">
      <c r="A8" s="390" t="s">
        <v>559</v>
      </c>
      <c r="B8" s="8">
        <v>4</v>
      </c>
      <c r="C8" s="12" t="s">
        <v>560</v>
      </c>
      <c r="D8" s="8" t="str" cm="1">
        <f t="array" aca="1" ref="D8" ca="1">_xlfn.LET(_xlpm.ids,'07. BIA'!$B$6:$B$285,_xlpm.n,COUNTIF(_xlpm.ids,"BIA-*"),_xlpm.complete,SUMPRODUCT(--(_xlpm.ids&lt;&gt;""),--('07. BIA'!$E$6:$E$285&lt;&gt;""),--ISNUMBER('07. BIA'!$AF$6:$AF$285),--ISNUMBER('07. BIA'!$AG$6:$AG$285)),_xlpm.overdue,SUMPRODUCT(--(_xlpm.ids&lt;&gt;""),--ISNUMBER('07. BIA'!$AG$6:$AG$285),--('07. BIA'!$AG$6:$AG$285&lt;TODAY())),IF(_xlpm.n=0,"Not Assessed",IF(AND(_xlpm.complete=_xlpm.n,_xlpm.overdue=0),"Yes","Partial")))</f>
        <v>Yes</v>
      </c>
      <c r="E8" s="8"/>
      <c r="F8" s="17" t="str">
        <f t="shared" ca="1" si="0"/>
        <v>Yes</v>
      </c>
      <c r="G8" s="12" t="s">
        <v>561</v>
      </c>
      <c r="H8" s="10"/>
    </row>
    <row r="9" spans="1:8" x14ac:dyDescent="0.35">
      <c r="A9" s="353"/>
      <c r="B9" s="8">
        <v>5</v>
      </c>
      <c r="C9" s="12" t="s">
        <v>562</v>
      </c>
      <c r="D9" s="8" t="str" cm="1">
        <f t="array" ref="D9">_xlfn.LET(_xlpm.ids,_xlfn._xlws.FILTER('07. BIA'!$B$6:$B$285,'07. BIA'!$B$6:$B$285&lt;&gt;"",""),_xlpm.n,SUM(--(_xlpm.ids&lt;&gt;"")),_xlpm.covered,SUM(--(COUNTIF(DependencyBIAIDs,_xlpm.ids)&gt;0)),IF(_xlpm.n=0,"Not Assessed",IF(_xlpm.covered=_xlpm.n,"Yes","Partial")))</f>
        <v>Yes</v>
      </c>
      <c r="E9" s="8"/>
      <c r="F9" s="17" t="str">
        <f t="shared" si="0"/>
        <v>Yes</v>
      </c>
      <c r="G9" s="12" t="s">
        <v>563</v>
      </c>
      <c r="H9" s="10"/>
    </row>
    <row r="10" spans="1:8" x14ac:dyDescent="0.35">
      <c r="A10" s="353"/>
      <c r="B10" s="8">
        <v>6</v>
      </c>
      <c r="C10" s="12" t="s">
        <v>564</v>
      </c>
      <c r="D10" s="8" t="str">
        <f>_xlfn.LET(_xlpm.ids,INDEX(RiskAssessment[],0,2),_xlpm.checks,INDEX(RiskAssessment[],0,26),_xlpm.n,COUNTIF(_xlpm.ids,"RA-*"),_xlpm.done,COUNTIF(_xlpm.checks,"Complete"),IF(_xlpm.n=0,"Not Assessed",IF(_xlpm.done=_xlpm.n,"Yes","Partial")))</f>
        <v>Partial</v>
      </c>
      <c r="E10" s="8"/>
      <c r="F10" s="17" t="str">
        <f t="shared" si="0"/>
        <v>Partial</v>
      </c>
      <c r="G10" s="12" t="s">
        <v>565</v>
      </c>
      <c r="H10" s="10"/>
    </row>
    <row r="11" spans="1:8" x14ac:dyDescent="0.35">
      <c r="A11" s="353"/>
      <c r="B11" s="8">
        <v>7</v>
      </c>
      <c r="C11" s="12" t="s">
        <v>566</v>
      </c>
      <c r="D11" s="8" t="str" cm="1">
        <f t="array" aca="1" ref="D11" ca="1">_xlfn.LET(_xlpm.ids,INDEX(StrategiesSolutions[],0,3),_xlpm.n,COUNTIF(_xlpm.ids,"SS-*"),_xlpm.complete,SUMPRODUCT(--(_xlpm.ids&lt;&gt;""),--(INDEX(StrategiesSolutions[],0,2)&lt;&gt;""),--(INDEX(StrategiesSolutions[],0,6)&lt;&gt;""),--(INDEX(StrategiesSolutions[],0,8)&lt;&gt;""),--(INDEX(StrategiesSolutions[],0,9)&lt;&gt;""),--(INDEX(StrategiesSolutions[],0,16)&lt;&gt;""),--ISNUMBER(INDEX(StrategiesSolutions[],0,17)),--ISNUMBER(INDEX(StrategiesSolutions[],0,18)),--(INDEX(StrategiesSolutions[],0,20)&lt;&gt;"")),IF(_xlpm.n=0,"Not Assessed",IF(_xlpm.complete=_xlpm.n,"Yes","Partial")))</f>
        <v>Partial</v>
      </c>
      <c r="E11" s="8"/>
      <c r="F11" s="17" t="str">
        <f t="shared" ca="1" si="0"/>
        <v>Partial</v>
      </c>
      <c r="G11" s="12" t="s">
        <v>567</v>
      </c>
      <c r="H11" s="10"/>
    </row>
    <row r="12" spans="1:8" x14ac:dyDescent="0.35">
      <c r="A12" s="353"/>
      <c r="B12" s="8">
        <v>8</v>
      </c>
      <c r="C12" s="12" t="s">
        <v>568</v>
      </c>
      <c r="D12" s="8" t="str">
        <f>_xlfn.LET(_xlpm.s,COUNTIF(INDEX(StrategiesSolutions[],0,3),"SS-*"),_xlpm.r,COUNTIF('12. Requirements Register'!$B$5:$B$304,"REQ-*"),IF(_xlpm.s=0,"Not Assessed",IF(_xlpm.r=0,"Partial",IF(_xlpm.r&gt;=_xlpm.s,"Yes","Partial"))))</f>
        <v>Partial</v>
      </c>
      <c r="E12" s="8"/>
      <c r="F12" s="17" t="str">
        <f t="shared" si="0"/>
        <v>Partial</v>
      </c>
      <c r="G12" s="12" t="s">
        <v>569</v>
      </c>
      <c r="H12" s="10"/>
    </row>
    <row r="13" spans="1:8" x14ac:dyDescent="0.35">
      <c r="A13" s="353"/>
      <c r="B13" s="8">
        <v>9</v>
      </c>
      <c r="C13" s="12" t="s">
        <v>570</v>
      </c>
      <c r="D13" s="8" t="str" cm="1">
        <f t="array" ref="D13">_xlfn.LET(_xlpm.ids,INDEX(RecoveryResponsePlans[],0,2),_xlpm.n,COUNTIF(_xlpm.ids,"RR-*"),_xlpm.complete,SUMPRODUCT(--(_xlpm.ids&lt;&gt;""),--(INDEX(RecoveryResponsePlans[],0,3)&lt;&gt;""),--(INDEX(RecoveryResponsePlans[],0,4)&lt;&gt;""),--(INDEX(RecoveryResponsePlans[],0,5)&lt;&gt;""),--(INDEX(RecoveryResponsePlans[],0,6)&lt;&gt;"")),IF(_xlpm.n=0,"Not Assessed",IF(_xlpm.complete=_xlpm.n,"Yes","Partial")))</f>
        <v>Partial</v>
      </c>
      <c r="E13" s="8"/>
      <c r="F13" s="17" t="str">
        <f t="shared" si="0"/>
        <v>Partial</v>
      </c>
      <c r="G13" s="12" t="s">
        <v>571</v>
      </c>
      <c r="H13" s="10"/>
    </row>
    <row r="14" spans="1:8" ht="23.25" customHeight="1" x14ac:dyDescent="0.35">
      <c r="A14" s="353"/>
      <c r="B14" s="8">
        <v>10</v>
      </c>
      <c r="C14" s="12" t="s">
        <v>572</v>
      </c>
      <c r="D14" s="8" t="str" cm="1">
        <f t="array" aca="1" ref="D14" ca="1">_xlfn.LET(_xlpm.ids,INDEX(ITDRRegister[],0,2),_xlpm.n,COUNTIF(_xlpm.ids,"DR-*"),_xlpm.complete,SUMPRODUCT(--(_xlpm.ids&lt;&gt;""),--(INDEX(ITDRRegister[],0,5)&lt;&gt;""),--(INDEX(ITDRRegister[],0,6)&lt;&gt;""),--ISNUMBER(INDEX(ITDRRegister[],0,7)),--ISNUMBER(INDEX(ITDRRegister[],0,8)),--ISNUMBER(INDEX(ITDRRegister[],0,9)),--ISNUMBER(INDEX(ITDRRegister[],0,10)),--(INDEX(ITDRRegister[],0,11)&lt;&gt;""),--(INDEX(ITDRRegister[],0,12)&lt;&gt;""),--ISNUMBER(INDEX(ITDRRegister[],0,13)),--(INDEX(ITDRRegister[],0,14)&lt;&gt;""),--(INDEX(ITDRRegister[],0,15)&lt;&gt;""),--ISNUMBER(INDEX(ITDRRegister[],0,16))),_xlpm.current,COUNTIF(INDEX(ITDRRegister[],0,17),"Tested &amp; Current"),IF(_xlpm.n=0,"Not Assessed",IF(AND(_xlpm.complete=_xlpm.n,_xlpm.current=_xlpm.n),"Yes","Partial")))</f>
        <v>Not Assessed</v>
      </c>
      <c r="E14" s="8"/>
      <c r="F14" s="17" t="str">
        <f t="shared" ca="1" si="0"/>
        <v>Not Assessed</v>
      </c>
      <c r="G14" s="12" t="s">
        <v>573</v>
      </c>
      <c r="H14" s="10"/>
    </row>
    <row r="15" spans="1:8" x14ac:dyDescent="0.35">
      <c r="A15" s="391" t="s">
        <v>574</v>
      </c>
      <c r="B15" s="8">
        <v>11</v>
      </c>
      <c r="C15" s="12" t="s">
        <v>575</v>
      </c>
      <c r="D15" s="8" t="str" cm="1">
        <f t="array" aca="1" ref="D15" ca="1">_xlfn.LET(_xlpm.ids,INDEX(RecoveryResponsePlans[],0,2),_xlpm.n,COUNTIF(_xlpm.ids,"RR-*"),_xlpm.complete,SUMPRODUCT(--(_xlpm.ids&lt;&gt;""),--(INDEX(RecoveryResponsePlans[],0,6)&lt;&gt;""),--ISNUMBER(INDEX(RecoveryResponsePlans[],0,12)),--ISNUMBER(INDEX(RecoveryResponsePlans[],0,13)),--(INDEX(RecoveryResponsePlans[],0,14)&lt;&gt;"")),_xlpm.overdue,COUNTIF(INDEX(RecoveryResponsePlans[],0,16),"Overdue"),IF(_xlpm.n=0,"Not Assessed",IF(AND(_xlpm.complete=_xlpm.n,_xlpm.overdue=0),"Yes","Partial")))</f>
        <v>Partial</v>
      </c>
      <c r="E15" s="8"/>
      <c r="F15" s="17" t="str">
        <f t="shared" ca="1" si="0"/>
        <v>Partial</v>
      </c>
      <c r="G15" s="12" t="s">
        <v>576</v>
      </c>
      <c r="H15" s="10"/>
    </row>
    <row r="16" spans="1:8" x14ac:dyDescent="0.35">
      <c r="A16" s="353"/>
      <c r="B16" s="8">
        <v>12</v>
      </c>
      <c r="C16" s="12" t="s">
        <v>577</v>
      </c>
      <c r="D16" s="8" t="str">
        <f>_xlfn.LET(_xlpm.s,_xlfn.XLOOKUP("EXT-15",'18. ISO Docs &amp; Records'!$A$5:$A$24,'18. ISO Docs &amp; Records'!$F$5:$F$24,""),_xlpm.ver,_xlfn.XLOOKUP("EXT-15",'18. ISO Docs &amp; Records'!$A$5:$A$24,'18. ISO Docs &amp; Records'!$K$5:$K$24,""),_xlpm.appr,_xlfn.XLOOKUP("EXT-15",'18. ISO Docs &amp; Records'!$A$5:$A$24,'18. ISO Docs &amp; Records'!$L$5:$L$24,""),_xlpm.rev,_xlfn.XLOOKUP("EXT-15",'18. ISO Docs &amp; Records'!$A$5:$A$24,'18. ISO Docs &amp; Records'!$M$5:$M$24,""),_xlpm.approver,_xlfn.XLOOKUP("EXT-15",'18. ISO Docs &amp; Records'!$A$5:$A$24,'18. ISO Docs &amp; Records'!$N$5:$N$24,""),_xlpm.repo,_xlfn.XLOOKUP("EXT-15",'18. ISO Docs &amp; Records'!$A$5:$A$24,'18. ISO Docs &amp; Records'!$O$5:$O$24,""),_xlpm.vown,_xlfn.XLOOKUP("EXT-15",'18. ISO Docs &amp; Records'!$A$5:$A$24,'18. ISO Docs &amp; Records'!$P$5:$P$24,""),_xlpm.vdate,_xlfn.XLOOKUP("EXT-15",'18. ISO Docs &amp; Records'!$A$5:$A$24,'18. ISO Docs &amp; Records'!$Q$5:$Q$24,""),_xlpm.class,_xlfn.XLOOKUP("EXT-15",'18. ISO Docs &amp; Records'!$A$5:$A$24,'18. ISO Docs &amp; Records'!$R$5:$R$24,""),_xlpm.alert,_xlfn.XLOOKUP("EXT-15",'18.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v>Not Assessed</v>
      </c>
      <c r="E16" s="11"/>
      <c r="F16" s="17" t="str">
        <f t="shared" si="0"/>
        <v>Not Assessed</v>
      </c>
      <c r="G16" s="12" t="s">
        <v>578</v>
      </c>
      <c r="H16" s="10"/>
    </row>
    <row r="17" spans="1:8" ht="23.25" customHeight="1" x14ac:dyDescent="0.35">
      <c r="A17" s="353"/>
      <c r="B17" s="8">
        <v>13</v>
      </c>
      <c r="C17" s="12" t="s">
        <v>579</v>
      </c>
      <c r="D17" s="8" t="str">
        <f>_xlfn.LET(_xlpm.s,_xlfn.XLOOKUP("EXT-16",'18. ISO Docs &amp; Records'!$A$5:$A$24,'18. ISO Docs &amp; Records'!$F$5:$F$24,""),_xlpm.ver,_xlfn.XLOOKUP("EXT-16",'18. ISO Docs &amp; Records'!$A$5:$A$24,'18. ISO Docs &amp; Records'!$K$5:$K$24,""),_xlpm.appr,_xlfn.XLOOKUP("EXT-16",'18. ISO Docs &amp; Records'!$A$5:$A$24,'18. ISO Docs &amp; Records'!$L$5:$L$24,""),_xlpm.rev,_xlfn.XLOOKUP("EXT-16",'18. ISO Docs &amp; Records'!$A$5:$A$24,'18. ISO Docs &amp; Records'!$M$5:$M$24,""),_xlpm.approver,_xlfn.XLOOKUP("EXT-16",'18. ISO Docs &amp; Records'!$A$5:$A$24,'18. ISO Docs &amp; Records'!$N$5:$N$24,""),_xlpm.repo,_xlfn.XLOOKUP("EXT-16",'18. ISO Docs &amp; Records'!$A$5:$A$24,'18. ISO Docs &amp; Records'!$O$5:$O$24,""),_xlpm.vown,_xlfn.XLOOKUP("EXT-16",'18. ISO Docs &amp; Records'!$A$5:$A$24,'18. ISO Docs &amp; Records'!$P$5:$P$24,""),_xlpm.vdate,_xlfn.XLOOKUP("EXT-16",'18. ISO Docs &amp; Records'!$A$5:$A$24,'18. ISO Docs &amp; Records'!$Q$5:$Q$24,""),_xlpm.class,_xlfn.XLOOKUP("EXT-16",'18. ISO Docs &amp; Records'!$A$5:$A$24,'18. ISO Docs &amp; Records'!$R$5:$R$24,""),_xlpm.alert,_xlfn.XLOOKUP("EXT-16",'18.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v>Not Assessed</v>
      </c>
      <c r="E17" s="11"/>
      <c r="F17" s="17" t="str">
        <f t="shared" si="0"/>
        <v>Not Assessed</v>
      </c>
      <c r="G17" s="12" t="s">
        <v>580</v>
      </c>
      <c r="H17" s="10"/>
    </row>
    <row r="18" spans="1:8" ht="23.25" customHeight="1" x14ac:dyDescent="0.35">
      <c r="A18" s="389" t="s">
        <v>581</v>
      </c>
      <c r="B18" s="8">
        <v>14</v>
      </c>
      <c r="C18" s="12" t="s">
        <v>582</v>
      </c>
      <c r="D18" s="8" t="str">
        <f>_xlfn.LET(_xlpm.s,_xlfn.XLOOKUP("EXT-17",'18. ISO Docs &amp; Records'!$A$5:$A$24,'18. ISO Docs &amp; Records'!$F$5:$F$24,""),_xlpm.ver,_xlfn.XLOOKUP("EXT-17",'18. ISO Docs &amp; Records'!$A$5:$A$24,'18. ISO Docs &amp; Records'!$K$5:$K$24,""),_xlpm.appr,_xlfn.XLOOKUP("EXT-17",'18. ISO Docs &amp; Records'!$A$5:$A$24,'18. ISO Docs &amp; Records'!$L$5:$L$24,""),_xlpm.rev,_xlfn.XLOOKUP("EXT-17",'18. ISO Docs &amp; Records'!$A$5:$A$24,'18. ISO Docs &amp; Records'!$M$5:$M$24,""),_xlpm.approver,_xlfn.XLOOKUP("EXT-17",'18. ISO Docs &amp; Records'!$A$5:$A$24,'18. ISO Docs &amp; Records'!$N$5:$N$24,""),_xlpm.repo,_xlfn.XLOOKUP("EXT-17",'18. ISO Docs &amp; Records'!$A$5:$A$24,'18. ISO Docs &amp; Records'!$O$5:$O$24,""),_xlpm.vown,_xlfn.XLOOKUP("EXT-17",'18. ISO Docs &amp; Records'!$A$5:$A$24,'18. ISO Docs &amp; Records'!$P$5:$P$24,""),_xlpm.vdate,_xlfn.XLOOKUP("EXT-17",'18. ISO Docs &amp; Records'!$A$5:$A$24,'18. ISO Docs &amp; Records'!$Q$5:$Q$24,""),_xlpm.class,_xlfn.XLOOKUP("EXT-17",'18. ISO Docs &amp; Records'!$A$5:$A$24,'18. ISO Docs &amp; Records'!$R$5:$R$24,""),_xlpm.alert,_xlfn.XLOOKUP("EXT-17",'18.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v>Not Assessed</v>
      </c>
      <c r="E18" s="11"/>
      <c r="F18" s="17" t="str">
        <f t="shared" si="0"/>
        <v>Not Assessed</v>
      </c>
      <c r="G18" s="12" t="s">
        <v>583</v>
      </c>
      <c r="H18" s="10"/>
    </row>
    <row r="19" spans="1:8" x14ac:dyDescent="0.35">
      <c r="A19" s="353"/>
      <c r="B19" s="8">
        <v>15</v>
      </c>
      <c r="C19" s="12" t="s">
        <v>584</v>
      </c>
      <c r="D19" s="8" t="str" cm="1">
        <f t="array" aca="1" ref="D19" ca="1">_xlfn.LET(_xlpm.ids,INDEX(CAPARegister[],0,2),_xlpm.n,COUNTIF(_xlpm.ids,"CAPA-*"),_xlpm.status,INDEX(CAPARegister[],0,13),_xlpm.cancelled,COUNTIFS(_xlpm.ids,"CAPA-*",_xlpm.status,"Cancelled"),_xlpm.closedComplete,SUMPRODUCT(--(_xlpm.ids&lt;&gt;""),--(_xlpm.status="Closed"),--ISNUMBER(INDEX(CAPARegister[],0,5)),--(INDEX(CAPARegister[],0,6)&lt;&gt;""),--(INDEX(CAPARegister[],0,11)&lt;&gt;""),--ISNUMBER(INDEX(CAPARegister[],0,12)),--(INDEX(CAPARegister[],0,14)&lt;&gt;""),--(INDEX(CAPARegister[],0,15)&lt;&gt;""),--ISNUMBER(INDEX(CAPARegister[],0,16)),--(INDEX(CAPARegister[],0,17)&lt;&gt;""),--ISNUMBER(INDEX(CAPARegister[],0,18))),_xlpm.overdue,COUNTIF(INDEX(CAPARegister[],0,20),"Overdue"),_xlpm.ineffective,COUNTIF(INDEX(CAPARegister[],0,17),"Ineffective"),IF(_xlpm.n=0,"Not Assessed",IF(OR(_xlpm.overdue&gt;0,_xlpm.ineffective&gt;0),"No",IF(_xlpm.closedComplete+_xlpm.cancelled=_xlpm.n,"Yes","Partial"))))</f>
        <v>Not Assessed</v>
      </c>
      <c r="E19" s="11"/>
      <c r="F19" s="17" t="str">
        <f t="shared" ca="1" si="0"/>
        <v>Not Assessed</v>
      </c>
      <c r="G19" s="12" t="s">
        <v>811</v>
      </c>
      <c r="H19" s="10"/>
    </row>
  </sheetData>
  <mergeCells count="6">
    <mergeCell ref="A1:H1"/>
    <mergeCell ref="A18:A19"/>
    <mergeCell ref="A2:H2"/>
    <mergeCell ref="A8:A14"/>
    <mergeCell ref="A15:A17"/>
    <mergeCell ref="A5:A7"/>
  </mergeCells>
  <conditionalFormatting sqref="F5:F19">
    <cfRule type="cellIs" dxfId="64" priority="2" operator="equal">
      <formula>"Yes"</formula>
    </cfRule>
    <cfRule type="cellIs" dxfId="63" priority="3" operator="equal">
      <formula>"Partial"</formula>
    </cfRule>
    <cfRule type="cellIs" dxfId="62" priority="4" operator="equal">
      <formula>"No"</formula>
    </cfRule>
  </conditionalFormatting>
  <dataValidations count="1">
    <dataValidation type="list" allowBlank="1" sqref="E5:E19" xr:uid="{00000000-0002-0000-1300-000000000000}">
      <formula1>"Yes,Partial,No,Not Assessed"</formula1>
    </dataValidation>
  </dataValidations>
  <pageMargins left="0.75" right="0.75" top="1" bottom="1" header="0.511811023622047" footer="0.51180555555555596"/>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92882"/>
  </sheetPr>
  <dimension ref="A1:S24"/>
  <sheetViews>
    <sheetView showGridLines="0" zoomScaleNormal="100" workbookViewId="0">
      <pane ySplit="4" topLeftCell="A5" activePane="bottomLeft" state="frozen"/>
      <selection pane="bottomLeft" sqref="A1:XFD1048576"/>
    </sheetView>
  </sheetViews>
  <sheetFormatPr defaultColWidth="8.54296875" defaultRowHeight="14.5" x14ac:dyDescent="0.35"/>
  <cols>
    <col min="1" max="1" width="6.81640625" bestFit="1" customWidth="1"/>
    <col min="2" max="2" width="9.90625" bestFit="1" customWidth="1"/>
    <col min="3" max="3" width="30.08984375" bestFit="1" customWidth="1"/>
    <col min="4" max="4" width="69.81640625" bestFit="1" customWidth="1"/>
    <col min="5" max="5" width="6.54296875" bestFit="1" customWidth="1"/>
    <col min="6" max="6" width="8.26953125" bestFit="1" customWidth="1"/>
    <col min="7" max="7" width="11.26953125" bestFit="1" customWidth="1"/>
    <col min="8" max="8" width="13.90625" bestFit="1" customWidth="1"/>
    <col min="9" max="9" width="14.7265625" bestFit="1" customWidth="1"/>
    <col min="10" max="10" width="8.54296875" bestFit="1" customWidth="1"/>
    <col min="11" max="11" width="9.81640625" bestFit="1" customWidth="1"/>
    <col min="12" max="12" width="13.453125" bestFit="1" customWidth="1"/>
    <col min="13" max="13" width="18.26953125" bestFit="1" customWidth="1"/>
    <col min="14" max="14" width="8.81640625" bestFit="1" customWidth="1"/>
    <col min="15" max="15" width="27.36328125" bestFit="1" customWidth="1"/>
    <col min="16" max="16" width="19.7265625" bestFit="1" customWidth="1"/>
    <col min="17" max="17" width="18" bestFit="1" customWidth="1"/>
    <col min="18" max="18" width="19.81640625" bestFit="1" customWidth="1"/>
    <col min="19" max="19" width="19.36328125" bestFit="1" customWidth="1"/>
  </cols>
  <sheetData>
    <row r="1" spans="1:19" ht="18.5" x14ac:dyDescent="0.35">
      <c r="A1" s="393" t="s">
        <v>585</v>
      </c>
      <c r="B1" s="393"/>
      <c r="C1" s="393"/>
      <c r="D1" s="393"/>
      <c r="E1" s="393"/>
      <c r="F1" s="393"/>
      <c r="G1" s="393"/>
      <c r="H1" s="393"/>
      <c r="I1" s="393"/>
      <c r="J1" s="393"/>
      <c r="K1" s="393"/>
      <c r="L1" s="393"/>
      <c r="M1" s="393"/>
      <c r="N1" s="393"/>
      <c r="O1" s="393"/>
      <c r="P1" s="393"/>
      <c r="Q1" s="393"/>
      <c r="R1" s="393"/>
      <c r="S1" s="393"/>
    </row>
    <row r="2" spans="1:19" x14ac:dyDescent="0.35">
      <c r="A2" s="394" t="s">
        <v>586</v>
      </c>
      <c r="B2" s="394"/>
      <c r="C2" s="394"/>
      <c r="D2" s="394"/>
      <c r="E2" s="394"/>
      <c r="F2" s="394"/>
      <c r="G2" s="394"/>
      <c r="H2" s="394"/>
      <c r="I2" s="394"/>
      <c r="J2" s="394"/>
      <c r="K2" s="394"/>
      <c r="L2" s="394"/>
      <c r="M2" s="394"/>
      <c r="N2" s="394"/>
      <c r="O2" s="394"/>
      <c r="P2" s="394"/>
      <c r="Q2" s="394"/>
      <c r="R2" s="394"/>
      <c r="S2" s="394"/>
    </row>
    <row r="4" spans="1:19" ht="24" x14ac:dyDescent="0.35">
      <c r="A4" s="13" t="s">
        <v>587</v>
      </c>
      <c r="B4" s="13" t="s">
        <v>588</v>
      </c>
      <c r="C4" s="13" t="s">
        <v>589</v>
      </c>
      <c r="D4" s="13" t="s">
        <v>590</v>
      </c>
      <c r="E4" s="13" t="s">
        <v>6</v>
      </c>
      <c r="F4" s="13" t="s">
        <v>5</v>
      </c>
      <c r="G4" s="13" t="s">
        <v>591</v>
      </c>
      <c r="H4" s="13" t="s">
        <v>592</v>
      </c>
      <c r="I4" s="13" t="s">
        <v>451</v>
      </c>
      <c r="J4" s="13" t="s">
        <v>318</v>
      </c>
      <c r="K4" s="13" t="s">
        <v>882</v>
      </c>
      <c r="L4" s="13" t="s">
        <v>883</v>
      </c>
      <c r="M4" s="13" t="s">
        <v>884</v>
      </c>
      <c r="N4" s="13" t="s">
        <v>885</v>
      </c>
      <c r="O4" s="13" t="s">
        <v>886</v>
      </c>
      <c r="P4" s="13" t="s">
        <v>887</v>
      </c>
      <c r="Q4" s="13" t="s">
        <v>888</v>
      </c>
      <c r="R4" s="13" t="s">
        <v>889</v>
      </c>
      <c r="S4" s="13" t="s">
        <v>890</v>
      </c>
    </row>
    <row r="5" spans="1:19" x14ac:dyDescent="0.35">
      <c r="A5" s="28" t="s">
        <v>593</v>
      </c>
      <c r="B5" s="19" t="s">
        <v>26</v>
      </c>
      <c r="C5" s="29" t="s">
        <v>594</v>
      </c>
      <c r="D5" s="29" t="s">
        <v>595</v>
      </c>
      <c r="E5" s="29"/>
      <c r="F5" s="20" t="s">
        <v>100</v>
      </c>
      <c r="G5" s="249"/>
      <c r="H5" s="30"/>
      <c r="I5" s="19" t="s">
        <v>596</v>
      </c>
      <c r="J5" s="29"/>
      <c r="K5" s="19"/>
      <c r="L5" s="255"/>
      <c r="M5" s="255"/>
      <c r="N5" s="29"/>
      <c r="O5" s="20"/>
      <c r="P5" s="249"/>
      <c r="Q5" s="256"/>
      <c r="R5" s="19"/>
      <c r="S5" s="29" t="str">
        <f ca="1">IF($A5="","",IF(OR($F5="",$F5="Not Started",$F5="Missing"),"Not Evidenced",IF($F5="Not Applicable","N/A",IF(OR($M5="",NOT(ISNUMBER($M5))),"Review Date Missing",IF($M5&lt;TODAY(),"Overdue",IF($M5&lt;=TODAY()+30,"Due ≤30 Days","Current"))))))</f>
        <v>Not Evidenced</v>
      </c>
    </row>
    <row r="6" spans="1:19" x14ac:dyDescent="0.35">
      <c r="A6" s="28" t="s">
        <v>597</v>
      </c>
      <c r="B6" s="19" t="s">
        <v>37</v>
      </c>
      <c r="C6" s="29" t="s">
        <v>598</v>
      </c>
      <c r="D6" s="29" t="s">
        <v>599</v>
      </c>
      <c r="E6" s="29"/>
      <c r="F6" s="19" t="s">
        <v>100</v>
      </c>
      <c r="G6" s="249"/>
      <c r="H6" s="30"/>
      <c r="I6" s="19" t="s">
        <v>600</v>
      </c>
      <c r="J6" s="29"/>
      <c r="K6" s="19"/>
      <c r="L6" s="255"/>
      <c r="M6" s="255"/>
      <c r="N6" s="29"/>
      <c r="O6" s="19"/>
      <c r="P6" s="249"/>
      <c r="Q6" s="256"/>
      <c r="R6" s="19"/>
      <c r="S6" s="29" t="str">
        <f t="shared" ref="S6:S24" ca="1" si="0">IF($A6="","",IF(OR($F6="",$F6="Not Started",$F6="Missing"),"Not Evidenced",IF($F6="Not Applicable","N/A",IF(OR($M6="",NOT(ISNUMBER($M6))),"Review Date Missing",IF($M6&lt;TODAY(),"Overdue",IF($M6&lt;=TODAY()+30,"Due ≤30 Days","Current"))))))</f>
        <v>Not Evidenced</v>
      </c>
    </row>
    <row r="7" spans="1:19" x14ac:dyDescent="0.35">
      <c r="A7" s="28" t="s">
        <v>601</v>
      </c>
      <c r="B7" s="19" t="s">
        <v>34</v>
      </c>
      <c r="C7" s="29" t="s">
        <v>602</v>
      </c>
      <c r="D7" s="29" t="s">
        <v>603</v>
      </c>
      <c r="E7" s="29"/>
      <c r="F7" s="19" t="s">
        <v>100</v>
      </c>
      <c r="G7" s="249"/>
      <c r="H7" s="30"/>
      <c r="I7" s="19" t="s">
        <v>600</v>
      </c>
      <c r="J7" s="29"/>
      <c r="K7" s="19"/>
      <c r="L7" s="255"/>
      <c r="M7" s="255"/>
      <c r="N7" s="29"/>
      <c r="O7" s="19"/>
      <c r="P7" s="249"/>
      <c r="Q7" s="256"/>
      <c r="R7" s="19"/>
      <c r="S7" s="29" t="str">
        <f t="shared" ca="1" si="0"/>
        <v>Not Evidenced</v>
      </c>
    </row>
    <row r="8" spans="1:19" x14ac:dyDescent="0.35">
      <c r="A8" s="28" t="s">
        <v>604</v>
      </c>
      <c r="B8" s="19" t="s">
        <v>40</v>
      </c>
      <c r="C8" s="29" t="s">
        <v>605</v>
      </c>
      <c r="D8" s="29" t="s">
        <v>606</v>
      </c>
      <c r="E8" s="29"/>
      <c r="F8" s="20" t="s">
        <v>100</v>
      </c>
      <c r="G8" s="249"/>
      <c r="H8" s="30"/>
      <c r="I8" s="19" t="s">
        <v>607</v>
      </c>
      <c r="J8" s="29"/>
      <c r="K8" s="19"/>
      <c r="L8" s="255"/>
      <c r="M8" s="255"/>
      <c r="N8" s="29"/>
      <c r="O8" s="20"/>
      <c r="P8" s="249"/>
      <c r="Q8" s="256"/>
      <c r="R8" s="19"/>
      <c r="S8" s="29" t="str">
        <f t="shared" ca="1" si="0"/>
        <v>Not Evidenced</v>
      </c>
    </row>
    <row r="9" spans="1:19" x14ac:dyDescent="0.35">
      <c r="A9" s="28" t="s">
        <v>608</v>
      </c>
      <c r="B9" s="19" t="s">
        <v>46</v>
      </c>
      <c r="C9" s="29" t="s">
        <v>609</v>
      </c>
      <c r="D9" s="29" t="s">
        <v>610</v>
      </c>
      <c r="E9" s="29"/>
      <c r="F9" s="19" t="s">
        <v>100</v>
      </c>
      <c r="G9" s="249"/>
      <c r="H9" s="30"/>
      <c r="I9" s="19" t="s">
        <v>612</v>
      </c>
      <c r="J9" s="29"/>
      <c r="K9" s="19"/>
      <c r="L9" s="255"/>
      <c r="M9" s="255"/>
      <c r="N9" s="29"/>
      <c r="O9" s="19"/>
      <c r="P9" s="249"/>
      <c r="Q9" s="256"/>
      <c r="R9" s="19"/>
      <c r="S9" s="29" t="str">
        <f t="shared" ca="1" si="0"/>
        <v>Not Evidenced</v>
      </c>
    </row>
    <row r="10" spans="1:19" x14ac:dyDescent="0.35">
      <c r="A10" s="28" t="s">
        <v>613</v>
      </c>
      <c r="B10" s="19" t="s">
        <v>49</v>
      </c>
      <c r="C10" s="29" t="s">
        <v>614</v>
      </c>
      <c r="D10" s="29" t="s">
        <v>615</v>
      </c>
      <c r="E10" s="29"/>
      <c r="F10" s="19" t="s">
        <v>100</v>
      </c>
      <c r="G10" s="249"/>
      <c r="H10" s="30"/>
      <c r="I10" s="19" t="s">
        <v>600</v>
      </c>
      <c r="J10" s="29"/>
      <c r="K10" s="19"/>
      <c r="L10" s="255"/>
      <c r="M10" s="255"/>
      <c r="N10" s="29"/>
      <c r="O10" s="19"/>
      <c r="P10" s="249"/>
      <c r="Q10" s="256"/>
      <c r="R10" s="19"/>
      <c r="S10" s="29" t="str">
        <f t="shared" ca="1" si="0"/>
        <v>Not Evidenced</v>
      </c>
    </row>
    <row r="11" spans="1:19" x14ac:dyDescent="0.35">
      <c r="A11" s="28" t="s">
        <v>616</v>
      </c>
      <c r="B11" s="19" t="s">
        <v>52</v>
      </c>
      <c r="C11" s="29" t="s">
        <v>617</v>
      </c>
      <c r="D11" s="29" t="s">
        <v>618</v>
      </c>
      <c r="E11" s="29"/>
      <c r="F11" s="19" t="s">
        <v>100</v>
      </c>
      <c r="G11" s="249"/>
      <c r="H11" s="30"/>
      <c r="I11" s="19" t="s">
        <v>619</v>
      </c>
      <c r="J11" s="29"/>
      <c r="K11" s="19"/>
      <c r="L11" s="255"/>
      <c r="M11" s="255"/>
      <c r="N11" s="29"/>
      <c r="O11" s="19"/>
      <c r="P11" s="249"/>
      <c r="Q11" s="256"/>
      <c r="R11" s="19"/>
      <c r="S11" s="29" t="str">
        <f t="shared" ca="1" si="0"/>
        <v>Not Evidenced</v>
      </c>
    </row>
    <row r="12" spans="1:19" ht="21" x14ac:dyDescent="0.35">
      <c r="A12" s="28" t="s">
        <v>620</v>
      </c>
      <c r="B12" s="19" t="s">
        <v>61</v>
      </c>
      <c r="C12" s="29" t="s">
        <v>621</v>
      </c>
      <c r="D12" s="29" t="s">
        <v>813</v>
      </c>
      <c r="E12" s="29"/>
      <c r="F12" s="20" t="s">
        <v>100</v>
      </c>
      <c r="G12" s="249"/>
      <c r="H12" s="30"/>
      <c r="I12" s="19" t="s">
        <v>619</v>
      </c>
      <c r="J12" s="29"/>
      <c r="K12" s="19"/>
      <c r="L12" s="255"/>
      <c r="M12" s="255"/>
      <c r="N12" s="29"/>
      <c r="O12" s="20"/>
      <c r="P12" s="249"/>
      <c r="Q12" s="256"/>
      <c r="R12" s="19"/>
      <c r="S12" s="29" t="str">
        <f t="shared" ca="1" si="0"/>
        <v>Not Evidenced</v>
      </c>
    </row>
    <row r="13" spans="1:19" x14ac:dyDescent="0.35">
      <c r="A13" s="28" t="s">
        <v>622</v>
      </c>
      <c r="B13" s="19" t="s">
        <v>71</v>
      </c>
      <c r="C13" s="29" t="s">
        <v>623</v>
      </c>
      <c r="D13" s="29" t="s">
        <v>624</v>
      </c>
      <c r="E13" s="29"/>
      <c r="F13" s="20" t="s">
        <v>100</v>
      </c>
      <c r="G13" s="249"/>
      <c r="H13" s="30"/>
      <c r="I13" s="19" t="s">
        <v>619</v>
      </c>
      <c r="J13" s="29"/>
      <c r="K13" s="19"/>
      <c r="L13" s="255"/>
      <c r="M13" s="255"/>
      <c r="N13" s="29"/>
      <c r="O13" s="20"/>
      <c r="P13" s="249"/>
      <c r="Q13" s="256"/>
      <c r="R13" s="19"/>
      <c r="S13" s="29" t="str">
        <f t="shared" ca="1" si="0"/>
        <v>Not Evidenced</v>
      </c>
    </row>
    <row r="14" spans="1:19" x14ac:dyDescent="0.35">
      <c r="A14" s="28" t="s">
        <v>625</v>
      </c>
      <c r="B14" s="19" t="s">
        <v>74</v>
      </c>
      <c r="C14" s="29" t="s">
        <v>626</v>
      </c>
      <c r="D14" s="29" t="s">
        <v>627</v>
      </c>
      <c r="E14" s="29"/>
      <c r="F14" s="19" t="s">
        <v>100</v>
      </c>
      <c r="G14" s="249"/>
      <c r="H14" s="30"/>
      <c r="I14" s="19" t="s">
        <v>619</v>
      </c>
      <c r="J14" s="29"/>
      <c r="K14" s="19"/>
      <c r="L14" s="255"/>
      <c r="M14" s="255"/>
      <c r="N14" s="29"/>
      <c r="O14" s="19"/>
      <c r="P14" s="249"/>
      <c r="Q14" s="256"/>
      <c r="R14" s="19"/>
      <c r="S14" s="29" t="str">
        <f t="shared" ca="1" si="0"/>
        <v>Not Evidenced</v>
      </c>
    </row>
    <row r="15" spans="1:19" ht="21" x14ac:dyDescent="0.35">
      <c r="A15" s="28" t="s">
        <v>628</v>
      </c>
      <c r="B15" s="19" t="s">
        <v>77</v>
      </c>
      <c r="C15" s="29" t="s">
        <v>629</v>
      </c>
      <c r="D15" s="29" t="s">
        <v>814</v>
      </c>
      <c r="E15" s="29"/>
      <c r="F15" s="19" t="s">
        <v>100</v>
      </c>
      <c r="G15" s="249"/>
      <c r="H15" s="30"/>
      <c r="I15" s="19" t="s">
        <v>619</v>
      </c>
      <c r="J15" s="29"/>
      <c r="K15" s="19"/>
      <c r="L15" s="255"/>
      <c r="M15" s="255"/>
      <c r="N15" s="29"/>
      <c r="O15" s="19"/>
      <c r="P15" s="249"/>
      <c r="Q15" s="256"/>
      <c r="R15" s="19"/>
      <c r="S15" s="29" t="str">
        <f t="shared" ca="1" si="0"/>
        <v>Not Evidenced</v>
      </c>
    </row>
    <row r="16" spans="1:19" x14ac:dyDescent="0.35">
      <c r="A16" s="28" t="s">
        <v>630</v>
      </c>
      <c r="B16" s="19" t="s">
        <v>79</v>
      </c>
      <c r="C16" s="29" t="s">
        <v>631</v>
      </c>
      <c r="D16" s="29" t="s">
        <v>815</v>
      </c>
      <c r="E16" s="29"/>
      <c r="F16" s="19" t="s">
        <v>100</v>
      </c>
      <c r="G16" s="249"/>
      <c r="H16" s="30"/>
      <c r="I16" s="19" t="s">
        <v>619</v>
      </c>
      <c r="J16" s="29"/>
      <c r="K16" s="19"/>
      <c r="L16" s="255"/>
      <c r="M16" s="255"/>
      <c r="N16" s="29"/>
      <c r="O16" s="19"/>
      <c r="P16" s="249"/>
      <c r="Q16" s="256"/>
      <c r="R16" s="19"/>
      <c r="S16" s="29" t="str">
        <f t="shared" ca="1" si="0"/>
        <v>Not Evidenced</v>
      </c>
    </row>
    <row r="17" spans="1:19" x14ac:dyDescent="0.35">
      <c r="A17" s="28" t="s">
        <v>632</v>
      </c>
      <c r="B17" s="19" t="s">
        <v>81</v>
      </c>
      <c r="C17" s="29" t="s">
        <v>633</v>
      </c>
      <c r="D17" s="29" t="s">
        <v>634</v>
      </c>
      <c r="E17" s="29"/>
      <c r="F17" s="19" t="s">
        <v>100</v>
      </c>
      <c r="G17" s="249"/>
      <c r="H17" s="30"/>
      <c r="I17" s="19" t="s">
        <v>635</v>
      </c>
      <c r="J17" s="29"/>
      <c r="K17" s="19"/>
      <c r="L17" s="255"/>
      <c r="M17" s="255"/>
      <c r="N17" s="29"/>
      <c r="O17" s="19"/>
      <c r="P17" s="249"/>
      <c r="Q17" s="256"/>
      <c r="R17" s="19"/>
      <c r="S17" s="29" t="str">
        <f t="shared" ca="1" si="0"/>
        <v>Not Evidenced</v>
      </c>
    </row>
    <row r="18" spans="1:19" x14ac:dyDescent="0.35">
      <c r="A18" s="28" t="s">
        <v>636</v>
      </c>
      <c r="B18" s="19" t="s">
        <v>83</v>
      </c>
      <c r="C18" s="29" t="s">
        <v>637</v>
      </c>
      <c r="D18" s="29" t="s">
        <v>638</v>
      </c>
      <c r="E18" s="29"/>
      <c r="F18" s="19" t="s">
        <v>100</v>
      </c>
      <c r="G18" s="249"/>
      <c r="H18" s="30"/>
      <c r="I18" s="19" t="s">
        <v>639</v>
      </c>
      <c r="J18" s="29"/>
      <c r="K18" s="19"/>
      <c r="L18" s="255"/>
      <c r="M18" s="255"/>
      <c r="N18" s="29"/>
      <c r="O18" s="19"/>
      <c r="P18" s="249"/>
      <c r="Q18" s="256"/>
      <c r="R18" s="19"/>
      <c r="S18" s="29" t="str">
        <f t="shared" ca="1" si="0"/>
        <v>Not Evidenced</v>
      </c>
    </row>
    <row r="19" spans="1:19" x14ac:dyDescent="0.35">
      <c r="A19" s="28" t="s">
        <v>640</v>
      </c>
      <c r="B19" s="19" t="s">
        <v>86</v>
      </c>
      <c r="C19" s="29" t="s">
        <v>641</v>
      </c>
      <c r="D19" s="29" t="s">
        <v>642</v>
      </c>
      <c r="E19" s="29"/>
      <c r="F19" s="20" t="s">
        <v>100</v>
      </c>
      <c r="G19" s="249"/>
      <c r="H19" s="30"/>
      <c r="I19" s="19" t="s">
        <v>643</v>
      </c>
      <c r="J19" s="29"/>
      <c r="K19" s="19"/>
      <c r="L19" s="255"/>
      <c r="M19" s="255"/>
      <c r="N19" s="29"/>
      <c r="O19" s="20"/>
      <c r="P19" s="249"/>
      <c r="Q19" s="256"/>
      <c r="R19" s="19"/>
      <c r="S19" s="29" t="str">
        <f t="shared" ca="1" si="0"/>
        <v>Not Evidenced</v>
      </c>
    </row>
    <row r="20" spans="1:19" x14ac:dyDescent="0.35">
      <c r="A20" s="28" t="s">
        <v>644</v>
      </c>
      <c r="B20" s="19" t="s">
        <v>88</v>
      </c>
      <c r="C20" s="29" t="s">
        <v>645</v>
      </c>
      <c r="D20" s="29" t="s">
        <v>646</v>
      </c>
      <c r="E20" s="29"/>
      <c r="F20" s="19" t="s">
        <v>100</v>
      </c>
      <c r="G20" s="249"/>
      <c r="H20" s="30"/>
      <c r="I20" s="19" t="s">
        <v>600</v>
      </c>
      <c r="J20" s="29"/>
      <c r="K20" s="19"/>
      <c r="L20" s="255"/>
      <c r="M20" s="255"/>
      <c r="N20" s="29"/>
      <c r="O20" s="19"/>
      <c r="P20" s="249"/>
      <c r="Q20" s="256"/>
      <c r="R20" s="19"/>
      <c r="S20" s="29" t="str">
        <f t="shared" ca="1" si="0"/>
        <v>Not Evidenced</v>
      </c>
    </row>
    <row r="21" spans="1:19" x14ac:dyDescent="0.35">
      <c r="A21" s="28" t="s">
        <v>647</v>
      </c>
      <c r="B21" s="19" t="s">
        <v>91</v>
      </c>
      <c r="C21" s="29" t="s">
        <v>648</v>
      </c>
      <c r="D21" s="29" t="s">
        <v>649</v>
      </c>
      <c r="E21" s="29"/>
      <c r="F21" s="19" t="s">
        <v>100</v>
      </c>
      <c r="G21" s="249"/>
      <c r="H21" s="30"/>
      <c r="I21" s="19" t="s">
        <v>650</v>
      </c>
      <c r="J21" s="29"/>
      <c r="K21" s="19"/>
      <c r="L21" s="255"/>
      <c r="M21" s="255"/>
      <c r="N21" s="29"/>
      <c r="O21" s="19"/>
      <c r="P21" s="249"/>
      <c r="Q21" s="256"/>
      <c r="R21" s="19"/>
      <c r="S21" s="29" t="str">
        <f t="shared" ca="1" si="0"/>
        <v>Not Evidenced</v>
      </c>
    </row>
    <row r="22" spans="1:19" x14ac:dyDescent="0.35">
      <c r="A22" s="28" t="s">
        <v>651</v>
      </c>
      <c r="B22" s="19" t="s">
        <v>95</v>
      </c>
      <c r="C22" s="29" t="s">
        <v>652</v>
      </c>
      <c r="D22" s="29" t="s">
        <v>653</v>
      </c>
      <c r="E22" s="29"/>
      <c r="F22" s="19" t="s">
        <v>100</v>
      </c>
      <c r="G22" s="249"/>
      <c r="H22" s="30"/>
      <c r="I22" s="19" t="s">
        <v>612</v>
      </c>
      <c r="J22" s="29"/>
      <c r="K22" s="19"/>
      <c r="L22" s="255"/>
      <c r="M22" s="255"/>
      <c r="N22" s="29"/>
      <c r="O22" s="19"/>
      <c r="P22" s="249"/>
      <c r="Q22" s="256"/>
      <c r="R22" s="19"/>
      <c r="S22" s="29" t="str">
        <f t="shared" ca="1" si="0"/>
        <v>Not Evidenced</v>
      </c>
    </row>
    <row r="23" spans="1:19" ht="21" x14ac:dyDescent="0.35">
      <c r="A23" s="28" t="s">
        <v>654</v>
      </c>
      <c r="B23" s="19" t="s">
        <v>655</v>
      </c>
      <c r="C23" s="29" t="s">
        <v>656</v>
      </c>
      <c r="D23" s="29" t="s">
        <v>816</v>
      </c>
      <c r="E23" s="29"/>
      <c r="F23" s="20" t="s">
        <v>100</v>
      </c>
      <c r="G23" s="249"/>
      <c r="H23" s="30"/>
      <c r="I23" s="19" t="s">
        <v>600</v>
      </c>
      <c r="J23" s="29"/>
      <c r="K23" s="19"/>
      <c r="L23" s="255"/>
      <c r="M23" s="255"/>
      <c r="N23" s="29"/>
      <c r="O23" s="20"/>
      <c r="P23" s="249"/>
      <c r="Q23" s="256"/>
      <c r="R23" s="19"/>
      <c r="S23" s="29" t="str">
        <f t="shared" ca="1" si="0"/>
        <v>Not Evidenced</v>
      </c>
    </row>
    <row r="24" spans="1:19" x14ac:dyDescent="0.35">
      <c r="A24" s="28" t="s">
        <v>657</v>
      </c>
      <c r="B24" s="19" t="s">
        <v>59</v>
      </c>
      <c r="C24" s="29" t="s">
        <v>658</v>
      </c>
      <c r="D24" s="29" t="s">
        <v>659</v>
      </c>
      <c r="E24" s="29"/>
      <c r="F24" s="20" t="s">
        <v>100</v>
      </c>
      <c r="G24" s="249"/>
      <c r="H24" s="30"/>
      <c r="I24" s="19" t="s">
        <v>619</v>
      </c>
      <c r="J24" s="29"/>
      <c r="K24" s="19"/>
      <c r="L24" s="255"/>
      <c r="M24" s="255"/>
      <c r="N24" s="29"/>
      <c r="O24" s="20"/>
      <c r="P24" s="249"/>
      <c r="Q24" s="256"/>
      <c r="R24" s="19"/>
      <c r="S24" s="29" t="str">
        <f t="shared" ca="1" si="0"/>
        <v>Not Evidenced</v>
      </c>
    </row>
  </sheetData>
  <mergeCells count="2">
    <mergeCell ref="A1:S1"/>
    <mergeCell ref="A2:S2"/>
  </mergeCells>
  <conditionalFormatting sqref="A5:J24">
    <cfRule type="expression" dxfId="61" priority="234">
      <formula>AND($A5&lt;&gt;"",$E5="")</formula>
    </cfRule>
    <cfRule type="expression" dxfId="60" priority="235">
      <formula>AND($A5&lt;&gt;"",ISNUMBER($G5),$G5&lt;TODAY(),$F5&lt;&gt;"Approved",$F5&lt;&gt;"Evidence Filed",$F5&lt;&gt;"Not Applicable")</formula>
    </cfRule>
  </conditionalFormatting>
  <conditionalFormatting sqref="E5:E24">
    <cfRule type="expression" dxfId="59" priority="226">
      <formula>AND($A5&lt;&gt;"",$E5="")</formula>
    </cfRule>
    <cfRule type="expression" dxfId="58" priority="236">
      <formula>AND($A5&lt;&gt;"",E5="")</formula>
    </cfRule>
  </conditionalFormatting>
  <conditionalFormatting sqref="F5:F24">
    <cfRule type="cellIs" dxfId="57" priority="228" operator="equal">
      <formula>"Not Started"</formula>
    </cfRule>
    <cfRule type="cellIs" dxfId="56" priority="229" operator="equal">
      <formula>"Drafting"</formula>
    </cfRule>
    <cfRule type="cellIs" dxfId="55" priority="230" operator="equal">
      <formula>"Under Review"</formula>
    </cfRule>
    <cfRule type="cellIs" dxfId="54" priority="231" operator="equal">
      <formula>"Approved"</formula>
    </cfRule>
    <cfRule type="cellIs" dxfId="53" priority="232" operator="equal">
      <formula>"Evidence Filed"</formula>
    </cfRule>
    <cfRule type="cellIs" dxfId="52" priority="233" operator="equal">
      <formula>"Not Applicable"</formula>
    </cfRule>
  </conditionalFormatting>
  <conditionalFormatting sqref="G5:G24">
    <cfRule type="expression" dxfId="51" priority="227">
      <formula>AND($A5&lt;&gt;"",ISNUMBER($G5),$G5&lt;TODAY(),$F5&lt;&gt;"Approved",$F5&lt;&gt;"Evidence Filed")</formula>
    </cfRule>
  </conditionalFormatting>
  <conditionalFormatting sqref="K5:S24">
    <cfRule type="expression" dxfId="50" priority="9">
      <formula>AND($A5&lt;&gt;"",$E5="")</formula>
    </cfRule>
    <cfRule type="expression" dxfId="49" priority="10">
      <formula>AND($A5&lt;&gt;"",ISNUMBER($G5),$G5&lt;TODAY(),$F5&lt;&gt;"Approved",$F5&lt;&gt;"Evidence Filed",$F5&lt;&gt;"Not Applicable")</formula>
    </cfRule>
  </conditionalFormatting>
  <conditionalFormatting sqref="N5:N24">
    <cfRule type="expression" dxfId="48" priority="1">
      <formula>AND($A5&lt;&gt;"",$E5="")</formula>
    </cfRule>
    <cfRule type="expression" dxfId="47" priority="11">
      <formula>AND($A5&lt;&gt;"",N5="")</formula>
    </cfRule>
  </conditionalFormatting>
  <conditionalFormatting sqref="O5:O24">
    <cfRule type="cellIs" dxfId="46" priority="3" operator="equal">
      <formula>"Not Started"</formula>
    </cfRule>
    <cfRule type="cellIs" dxfId="45" priority="4" operator="equal">
      <formula>"Drafting"</formula>
    </cfRule>
    <cfRule type="cellIs" dxfId="44" priority="5" operator="equal">
      <formula>"Under Review"</formula>
    </cfRule>
    <cfRule type="cellIs" dxfId="43" priority="6" operator="equal">
      <formula>"Approved"</formula>
    </cfRule>
    <cfRule type="cellIs" dxfId="42" priority="7" operator="equal">
      <formula>"Evidence Filed"</formula>
    </cfRule>
    <cfRule type="cellIs" dxfId="41" priority="8" operator="equal">
      <formula>"Not Applicable"</formula>
    </cfRule>
  </conditionalFormatting>
  <conditionalFormatting sqref="P5:P24">
    <cfRule type="expression" dxfId="40" priority="2">
      <formula>AND($A5&lt;&gt;"",ISNUMBER($G5),$G5&lt;TODAY(),$F5&lt;&gt;"Approved",$F5&lt;&gt;"Evidence Filed")</formula>
    </cfRule>
  </conditionalFormatting>
  <dataValidations count="2">
    <dataValidation type="list" allowBlank="1" showInputMessage="1" showErrorMessage="1" errorTitle="Invalid evidence status" error="Select a status from the approved evidence lifecycle." promptTitle="Evidence status" prompt="Use Evidence Filed only when the approved record is retrievable at the stated location." sqref="F5:F24" xr:uid="{84A91339-A93D-4008-A7FE-454080C570D2}">
      <formula1>"Not Started,Drafting,Under Review,Approved,Evidence Filed,Not Applicable"</formula1>
    </dataValidation>
    <dataValidation type="list" allowBlank="1" showInputMessage="1" showErrorMessage="1" sqref="R5:R24" xr:uid="{CBC63263-A685-4B23-B1C0-17CABAD3DC78}">
      <formula1>"Public,Internal,Confidential,Restricted"</formula1>
    </dataValidation>
  </dataValidations>
  <pageMargins left="0.75" right="0.75" top="1" bottom="1" header="0.511811023622047" footer="0.51180555555555596"/>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2A900"/>
  </sheetPr>
  <dimension ref="A1:O45"/>
  <sheetViews>
    <sheetView showGridLines="0" zoomScaleNormal="100" workbookViewId="0">
      <pane ySplit="4" topLeftCell="A5" activePane="bottomLeft" state="frozen"/>
      <selection pane="bottomLeft" sqref="A1:XFD1048576"/>
    </sheetView>
  </sheetViews>
  <sheetFormatPr defaultColWidth="8.54296875" defaultRowHeight="14.5" x14ac:dyDescent="0.35"/>
  <cols>
    <col min="1" max="1" width="7.08984375" bestFit="1" customWidth="1"/>
    <col min="2" max="2" width="32.7265625" customWidth="1"/>
    <col min="3" max="3" width="33.54296875" bestFit="1" customWidth="1"/>
    <col min="4" max="4" width="11.1796875" bestFit="1" customWidth="1"/>
    <col min="5" max="5" width="10.6328125" bestFit="1" customWidth="1"/>
    <col min="6" max="6" width="23.6328125" customWidth="1"/>
    <col min="7" max="7" width="32.7265625" customWidth="1"/>
    <col min="8" max="8" width="26.26953125" bestFit="1" customWidth="1"/>
    <col min="9" max="9" width="33.26953125" bestFit="1" customWidth="1"/>
    <col min="10" max="10" width="27.26953125" customWidth="1"/>
    <col min="11" max="11" width="21.81640625" bestFit="1" customWidth="1"/>
    <col min="12" max="12" width="16.90625" bestFit="1" customWidth="1"/>
    <col min="13" max="13" width="8.81640625" bestFit="1" customWidth="1"/>
    <col min="14" max="14" width="27.26953125" bestFit="1" customWidth="1"/>
    <col min="15" max="15" width="20.7265625" bestFit="1" customWidth="1"/>
  </cols>
  <sheetData>
    <row r="1" spans="1:15" ht="18.5" x14ac:dyDescent="0.35">
      <c r="A1" s="317" t="s">
        <v>0</v>
      </c>
      <c r="B1" s="317"/>
      <c r="C1" s="317"/>
      <c r="D1" s="317"/>
      <c r="E1" s="317"/>
      <c r="F1" s="317"/>
      <c r="G1" s="317"/>
      <c r="H1" s="317"/>
      <c r="I1" s="317"/>
      <c r="J1" s="317"/>
      <c r="K1" s="317"/>
      <c r="L1" s="317"/>
      <c r="M1" s="317"/>
      <c r="N1" s="317"/>
      <c r="O1" s="317"/>
    </row>
    <row r="2" spans="1:15" x14ac:dyDescent="0.35">
      <c r="A2" s="318" t="s">
        <v>1</v>
      </c>
      <c r="B2" s="318"/>
      <c r="C2" s="318"/>
      <c r="D2" s="318"/>
      <c r="E2" s="318"/>
      <c r="F2" s="318"/>
      <c r="G2" s="318"/>
      <c r="H2" s="318"/>
      <c r="I2" s="318"/>
      <c r="J2" s="318"/>
      <c r="K2" s="318"/>
      <c r="L2" s="318"/>
      <c r="M2" s="318"/>
      <c r="N2" s="318"/>
      <c r="O2" s="318"/>
    </row>
    <row r="4" spans="1:15" x14ac:dyDescent="0.35">
      <c r="A4" s="13" t="s">
        <v>2</v>
      </c>
      <c r="B4" s="13" t="s">
        <v>3</v>
      </c>
      <c r="C4" s="13" t="s">
        <v>4</v>
      </c>
      <c r="D4" s="13" t="s">
        <v>5</v>
      </c>
      <c r="E4" s="13" t="s">
        <v>6</v>
      </c>
      <c r="F4" s="13" t="s">
        <v>7</v>
      </c>
      <c r="G4" s="13" t="s">
        <v>8</v>
      </c>
      <c r="H4" s="13" t="s">
        <v>881</v>
      </c>
      <c r="I4" s="13" t="s">
        <v>895</v>
      </c>
      <c r="J4" s="13" t="s">
        <v>896</v>
      </c>
      <c r="K4" s="13" t="s">
        <v>897</v>
      </c>
      <c r="L4" s="13" t="s">
        <v>898</v>
      </c>
      <c r="M4" s="13" t="s">
        <v>899</v>
      </c>
      <c r="N4" s="13" t="s">
        <v>900</v>
      </c>
      <c r="O4" s="250" t="s">
        <v>901</v>
      </c>
    </row>
    <row r="5" spans="1:15" x14ac:dyDescent="0.35">
      <c r="A5" s="395" t="s">
        <v>9</v>
      </c>
      <c r="B5" s="396"/>
      <c r="C5" s="396"/>
      <c r="D5" s="396"/>
      <c r="E5" s="396"/>
      <c r="F5" s="396"/>
      <c r="G5" s="396"/>
      <c r="H5" s="396"/>
      <c r="I5" s="396"/>
      <c r="J5" s="396"/>
      <c r="K5" s="396"/>
      <c r="L5" s="396"/>
      <c r="M5" s="396"/>
      <c r="N5" s="396"/>
      <c r="O5" s="396"/>
    </row>
    <row r="6" spans="1:15" ht="36" x14ac:dyDescent="0.35">
      <c r="A6" s="129" t="s">
        <v>10</v>
      </c>
      <c r="B6" s="12" t="s">
        <v>11</v>
      </c>
      <c r="C6" s="12" t="s">
        <v>924</v>
      </c>
      <c r="D6" s="15" t="str" cm="1">
        <f t="array" ref="D6">_xlfn.LET(_xlpm.s,'17. BCMS Progress (PDCA)'!$F5,_xlfn.SWITCH(_xlpm.s,"Yes","In Place","Partial","Partial","No","Missing","Not Assessed","Not Assessed","Not Assessed"))</f>
        <v>Partial</v>
      </c>
      <c r="E6" s="130" t="s">
        <v>12</v>
      </c>
      <c r="F6" s="130" t="s">
        <v>13</v>
      </c>
      <c r="G6" s="12" t="s">
        <v>925</v>
      </c>
      <c r="H6" s="129" t="s">
        <v>843</v>
      </c>
      <c r="I6" s="12" t="s">
        <v>926</v>
      </c>
      <c r="J6" s="252" t="s">
        <v>843</v>
      </c>
      <c r="K6" s="15"/>
      <c r="L6" s="257"/>
      <c r="M6" s="130"/>
      <c r="N6" s="252"/>
      <c r="O6" s="251"/>
    </row>
    <row r="7" spans="1:15" ht="36" x14ac:dyDescent="0.35">
      <c r="A7" s="129" t="s">
        <v>15</v>
      </c>
      <c r="B7" s="12" t="s">
        <v>16</v>
      </c>
      <c r="C7" s="12" t="s">
        <v>927</v>
      </c>
      <c r="D7" s="15" t="str" cm="1">
        <f t="array" ref="D7">_xlfn.LET(_xlpm.s,'17. BCMS Progress (PDCA)'!$F5,_xlfn.SWITCH(_xlpm.s,"Yes","In Place","Partial","Partial","No","Missing","Not Assessed","Not Assessed","Not Assessed"))</f>
        <v>Partial</v>
      </c>
      <c r="E7" s="130" t="s">
        <v>12</v>
      </c>
      <c r="F7" s="130" t="s">
        <v>13</v>
      </c>
      <c r="G7" s="12" t="s">
        <v>928</v>
      </c>
      <c r="H7" s="129" t="s">
        <v>843</v>
      </c>
      <c r="I7" s="12" t="s">
        <v>929</v>
      </c>
      <c r="J7" s="252" t="s">
        <v>843</v>
      </c>
      <c r="K7" s="15" t="s">
        <v>654</v>
      </c>
      <c r="L7" s="257"/>
      <c r="M7" s="130"/>
      <c r="N7" s="252"/>
      <c r="O7" s="251"/>
    </row>
    <row r="8" spans="1:15" ht="36" x14ac:dyDescent="0.35">
      <c r="A8" s="129" t="s">
        <v>17</v>
      </c>
      <c r="B8" s="12" t="s">
        <v>18</v>
      </c>
      <c r="C8" s="12" t="s">
        <v>817</v>
      </c>
      <c r="D8" s="15" t="str" cm="1">
        <f t="array" ref="D8">_xlfn.LET(_xlpm.s,'17. BCMS Progress (PDCA)'!$F5,_xlfn.SWITCH(_xlpm.s,"Yes","In Place","Partial","Partial","No","Missing","Not Assessed","Not Assessed","Not Assessed"))</f>
        <v>Partial</v>
      </c>
      <c r="E8" s="130" t="s">
        <v>12</v>
      </c>
      <c r="F8" s="130" t="s">
        <v>13</v>
      </c>
      <c r="G8" s="130" t="s">
        <v>14</v>
      </c>
      <c r="H8" s="129" t="s">
        <v>843</v>
      </c>
      <c r="I8" s="12" t="str">
        <f>"Complete when "&amp;LOWER(LEFT($B8,1))&amp;MID($B8,2,999)&amp;"; evidence is approved, current and retrievable."</f>
        <v>Complete when determine BCMS scope with justification for exclusions; evidence is approved, current and retrievable.</v>
      </c>
      <c r="J8" s="12" t="s">
        <v>902</v>
      </c>
      <c r="K8" s="15"/>
      <c r="L8" s="257"/>
      <c r="M8" s="130"/>
      <c r="N8" s="130"/>
      <c r="O8" s="251"/>
    </row>
    <row r="9" spans="1:15" ht="36" x14ac:dyDescent="0.35">
      <c r="A9" s="129" t="s">
        <v>19</v>
      </c>
      <c r="B9" s="12" t="s">
        <v>20</v>
      </c>
      <c r="C9" s="12" t="s">
        <v>818</v>
      </c>
      <c r="D9" s="15" t="str" cm="1">
        <f t="array" ref="D9">_xlfn.LET(_xlpm.s,'17. BCMS Progress (PDCA)'!$F5,_xlfn.SWITCH(_xlpm.s,"Yes","In Place","Partial","Partial","No","Missing","Not Assessed","Not Assessed","Not Assessed"))</f>
        <v>Partial</v>
      </c>
      <c r="E9" s="130" t="s">
        <v>12</v>
      </c>
      <c r="F9" s="130" t="s">
        <v>13</v>
      </c>
      <c r="G9" s="130" t="s">
        <v>14</v>
      </c>
      <c r="H9" s="129" t="s">
        <v>844</v>
      </c>
      <c r="I9" s="12" t="str">
        <f>"Complete when "&amp;LOWER(LEFT($B9,1))&amp;MID($B9,2,999)&amp;"; evidence is approved, current and retrievable."</f>
        <v>Complete when establish, implement, maintain and continually improve the BCMS; evidence is approved, current and retrievable.</v>
      </c>
      <c r="J9" s="12" t="s">
        <v>844</v>
      </c>
      <c r="K9" s="15"/>
      <c r="L9" s="257"/>
      <c r="M9" s="130"/>
      <c r="N9" s="130"/>
      <c r="O9" s="251"/>
    </row>
    <row r="10" spans="1:15" x14ac:dyDescent="0.35">
      <c r="A10" s="395" t="s">
        <v>21</v>
      </c>
      <c r="B10" s="396"/>
      <c r="C10" s="396"/>
      <c r="D10" s="396"/>
      <c r="E10" s="396"/>
      <c r="F10" s="396"/>
      <c r="G10" s="396"/>
      <c r="H10" s="396"/>
      <c r="I10" s="396"/>
      <c r="J10" s="396"/>
      <c r="K10" s="396"/>
      <c r="L10" s="397"/>
      <c r="M10" s="396"/>
      <c r="N10" s="396"/>
      <c r="O10" s="396"/>
    </row>
    <row r="11" spans="1:15" ht="48" x14ac:dyDescent="0.35">
      <c r="A11" s="129" t="s">
        <v>22</v>
      </c>
      <c r="B11" s="12" t="s">
        <v>23</v>
      </c>
      <c r="C11" s="12" t="s">
        <v>819</v>
      </c>
      <c r="D11" s="11" t="str">
        <f>_xlfn.LET(_xlpm.x,COUNTA('03. Business Unit Profile'!$B$18:$D$25),IF(_xlpm.x=0,"Not Assessed",IF(_xlpm.x&lt;24,"Partial","In Place")))</f>
        <v>Not Assessed</v>
      </c>
      <c r="E11" s="130" t="s">
        <v>12</v>
      </c>
      <c r="F11" s="130" t="s">
        <v>25</v>
      </c>
      <c r="G11" s="130" t="s">
        <v>14</v>
      </c>
      <c r="H11" s="129" t="s">
        <v>843</v>
      </c>
      <c r="I11" s="12" t="str">
        <f>"Complete when "&amp;LOWER(LEFT($B11,1))&amp;MID($B11,2,999)&amp;"; evidence is approved, current and retrievable."</f>
        <v>Complete when top management demonstrates leadership and commitment to the BCMS; evidence is approved, current and retrievable.</v>
      </c>
      <c r="J11" s="12" t="s">
        <v>843</v>
      </c>
      <c r="K11" s="11"/>
      <c r="L11" s="257"/>
      <c r="M11" s="130"/>
      <c r="N11" s="130"/>
      <c r="O11" s="251"/>
    </row>
    <row r="12" spans="1:15" ht="36" x14ac:dyDescent="0.35">
      <c r="A12" s="129" t="s">
        <v>26</v>
      </c>
      <c r="B12" s="12" t="s">
        <v>27</v>
      </c>
      <c r="C12" s="12" t="s">
        <v>820</v>
      </c>
      <c r="D12" s="11" t="str" cm="1">
        <f t="array" aca="1" ref="D12" ca="1">_xlfn.LET(_xlpm.r,_xlfn.XMATCH("EXT-01",'18.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12" s="130" t="s">
        <v>12</v>
      </c>
      <c r="F12" s="130" t="s">
        <v>28</v>
      </c>
      <c r="G12" s="130" t="s">
        <v>865</v>
      </c>
      <c r="H12" s="129" t="s">
        <v>845</v>
      </c>
      <c r="I12" s="12" t="str">
        <f>"Complete when "&amp;LOWER(LEFT($B12,1))&amp;MID($B12,2,999)&amp;"; evidence is approved, current and retrievable."</f>
        <v>Complete when establish, communicate and maintain a business continuity policy; evidence is approved, current and retrievable.</v>
      </c>
      <c r="J12" s="12"/>
      <c r="K12" s="11" t="s">
        <v>593</v>
      </c>
      <c r="L12" s="257"/>
      <c r="M12" s="130"/>
      <c r="N12" s="130"/>
      <c r="O12" s="251"/>
    </row>
    <row r="13" spans="1:15" ht="36" x14ac:dyDescent="0.35">
      <c r="A13" s="129" t="s">
        <v>29</v>
      </c>
      <c r="B13" s="12" t="s">
        <v>30</v>
      </c>
      <c r="C13" s="12" t="s">
        <v>821</v>
      </c>
      <c r="D13" s="11" t="str" cm="1">
        <f t="array" ref="D13">_xlfn.LET(_xlpm.roles,COUNTA('03. Business Unit Profile'!$B$18:$D$25),_xlpm.active,COUNTIF(INDEX(StrategiesSolutions[],0,3),"SS-*"),_xlpm.owned,SUMPRODUCT(--(INDEX(StrategiesSolutions[],0,3)&lt;&gt;""),--(INDEX(StrategiesSolutions[],0,16)&lt;&gt;"")),IF(AND(_xlpm.roles=0,_xlpm.active=0),"Not Assessed",IF(AND(_xlpm.roles=24,_xlpm.owned=_xlpm.active),"In Place","Partial")))</f>
        <v>Partial</v>
      </c>
      <c r="E13" s="130" t="s">
        <v>12</v>
      </c>
      <c r="F13" s="130" t="s">
        <v>32</v>
      </c>
      <c r="G13" s="130" t="s">
        <v>866</v>
      </c>
      <c r="H13" s="129" t="s">
        <v>843</v>
      </c>
      <c r="I13" s="12" t="str">
        <f>"Complete when "&amp;LOWER(LEFT($B13,1))&amp;MID($B13,2,999)&amp;"; evidence is approved, current and retrievable."</f>
        <v>Complete when assign and communicate roles, responsibilities and authorities; evidence is approved, current and retrievable.</v>
      </c>
      <c r="J13" s="12" t="s">
        <v>903</v>
      </c>
      <c r="K13" s="11"/>
      <c r="L13" s="257"/>
      <c r="M13" s="130"/>
      <c r="N13" s="130"/>
      <c r="O13" s="251"/>
    </row>
    <row r="14" spans="1:15" x14ac:dyDescent="0.35">
      <c r="A14" s="395" t="s">
        <v>33</v>
      </c>
      <c r="B14" s="396"/>
      <c r="C14" s="396"/>
      <c r="D14" s="396"/>
      <c r="E14" s="396"/>
      <c r="F14" s="396"/>
      <c r="G14" s="396"/>
      <c r="H14" s="396"/>
      <c r="I14" s="396"/>
      <c r="J14" s="396"/>
      <c r="K14" s="396"/>
      <c r="L14" s="397"/>
      <c r="M14" s="396"/>
      <c r="N14" s="396"/>
      <c r="O14" s="396"/>
    </row>
    <row r="15" spans="1:15" ht="36" x14ac:dyDescent="0.35">
      <c r="A15" s="129" t="s">
        <v>34</v>
      </c>
      <c r="B15" s="12" t="s">
        <v>35</v>
      </c>
      <c r="C15" s="12" t="s">
        <v>822</v>
      </c>
      <c r="D15" s="11" t="str" cm="1">
        <f t="array" aca="1" ref="D15" ca="1">_xlfn.LET(_xlpm.r,_xlfn.XMATCH("EXT-03",'18.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15" s="130" t="s">
        <v>12</v>
      </c>
      <c r="F15" s="130" t="s">
        <v>36</v>
      </c>
      <c r="G15" s="130" t="s">
        <v>866</v>
      </c>
      <c r="H15" s="129" t="s">
        <v>846</v>
      </c>
      <c r="I15" s="12" t="str">
        <f>"Complete when "&amp;LOWER(LEFT($B15,1))&amp;MID($B15,2,999)&amp;"; evidence is approved, current and retrievable."</f>
        <v>Complete when address risks and opportunities to the BCMS itself; evidence is approved, current and retrievable.</v>
      </c>
      <c r="J15" s="12"/>
      <c r="K15" s="11" t="s">
        <v>601</v>
      </c>
      <c r="L15" s="257"/>
      <c r="M15" s="130"/>
      <c r="N15" s="130"/>
      <c r="O15" s="251"/>
    </row>
    <row r="16" spans="1:15" ht="36" x14ac:dyDescent="0.35">
      <c r="A16" s="129" t="s">
        <v>37</v>
      </c>
      <c r="B16" s="12" t="s">
        <v>38</v>
      </c>
      <c r="C16" s="12" t="s">
        <v>823</v>
      </c>
      <c r="D16" s="11" t="str" cm="1">
        <f t="array" aca="1" ref="D16" ca="1">_xlfn.LET(_xlpm.r,_xlfn.XMATCH("EXT-02",'18.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16" s="130" t="s">
        <v>12</v>
      </c>
      <c r="F16" s="130" t="s">
        <v>39</v>
      </c>
      <c r="G16" s="130" t="s">
        <v>866</v>
      </c>
      <c r="H16" s="129" t="s">
        <v>871</v>
      </c>
      <c r="I16" s="12" t="str">
        <f>"Complete when "&amp;LOWER(LEFT($B16,1))&amp;MID($B16,2,999)&amp;"; evidence is approved, current and retrievable."</f>
        <v>Complete when set measurable BC objectives and plans to achieve them; evidence is approved, current and retrievable.</v>
      </c>
      <c r="J16" s="12" t="s">
        <v>904</v>
      </c>
      <c r="K16" s="11" t="s">
        <v>597</v>
      </c>
      <c r="L16" s="257"/>
      <c r="M16" s="130"/>
      <c r="N16" s="130"/>
      <c r="O16" s="251"/>
    </row>
    <row r="17" spans="1:15" ht="36" x14ac:dyDescent="0.35">
      <c r="A17" s="129" t="s">
        <v>40</v>
      </c>
      <c r="B17" s="12" t="s">
        <v>41</v>
      </c>
      <c r="C17" s="12" t="s">
        <v>824</v>
      </c>
      <c r="D17" s="11" t="str" cm="1">
        <f t="array" aca="1" ref="D17" ca="1">_xlfn.LET(_xlpm.r,_xlfn.XMATCH("EXT-04",'18.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17" s="130" t="s">
        <v>12</v>
      </c>
      <c r="F17" s="130" t="s">
        <v>42</v>
      </c>
      <c r="G17" s="130" t="s">
        <v>14</v>
      </c>
      <c r="H17" s="129" t="s">
        <v>872</v>
      </c>
      <c r="I17" s="12" t="str">
        <f>"Complete when "&amp;LOWER(LEFT($B17,1))&amp;MID($B17,2,999)&amp;"; evidence is approved, current and retrievable."</f>
        <v>Complete when plan changes to the BCMS in a controlled way; evidence is approved, current and retrievable.</v>
      </c>
      <c r="J17" s="12" t="s">
        <v>851</v>
      </c>
      <c r="K17" s="11" t="s">
        <v>604</v>
      </c>
      <c r="L17" s="257"/>
      <c r="M17" s="130"/>
      <c r="N17" s="130"/>
      <c r="O17" s="251"/>
    </row>
    <row r="18" spans="1:15" x14ac:dyDescent="0.35">
      <c r="A18" s="395" t="s">
        <v>43</v>
      </c>
      <c r="B18" s="396"/>
      <c r="C18" s="396"/>
      <c r="D18" s="396"/>
      <c r="E18" s="396"/>
      <c r="F18" s="396"/>
      <c r="G18" s="396"/>
      <c r="H18" s="396"/>
      <c r="I18" s="396"/>
      <c r="J18" s="396"/>
      <c r="K18" s="396"/>
      <c r="L18" s="397"/>
      <c r="M18" s="396"/>
      <c r="N18" s="396"/>
      <c r="O18" s="396"/>
    </row>
    <row r="19" spans="1:15" ht="36" x14ac:dyDescent="0.35">
      <c r="A19" s="129" t="s">
        <v>44</v>
      </c>
      <c r="B19" s="12" t="s">
        <v>45</v>
      </c>
      <c r="C19" s="12" t="s">
        <v>825</v>
      </c>
      <c r="D19" s="15" t="str" cm="1">
        <f t="array" ref="D19">_xlfn.LET(_xlpm.s,'17. BCMS Progress (PDCA)'!$F12,_xlfn.SWITCH(_xlpm.s,"Yes","In Place","Partial","Partial","No","Missing","Not Assessed","Not Assessed","Not Assessed"))</f>
        <v>Partial</v>
      </c>
      <c r="E19" s="130" t="s">
        <v>12</v>
      </c>
      <c r="F19" s="130" t="s">
        <v>13</v>
      </c>
      <c r="G19" s="130" t="s">
        <v>14</v>
      </c>
      <c r="H19" s="129" t="s">
        <v>847</v>
      </c>
      <c r="I19" s="12" t="str">
        <f>"Complete when "&amp;LOWER(LEFT($B19,1))&amp;MID($B19,2,999)&amp;"; evidence is approved, current and retrievable."</f>
        <v>Complete when provide resources needed for the BCMS; evidence is approved, current and retrievable.</v>
      </c>
      <c r="J19" s="12" t="s">
        <v>905</v>
      </c>
      <c r="K19" s="15"/>
      <c r="L19" s="257"/>
      <c r="M19" s="130"/>
      <c r="N19" s="130"/>
      <c r="O19" s="251"/>
    </row>
    <row r="20" spans="1:15" ht="36" x14ac:dyDescent="0.35">
      <c r="A20" s="129" t="s">
        <v>46</v>
      </c>
      <c r="B20" s="12" t="s">
        <v>47</v>
      </c>
      <c r="C20" s="12" t="s">
        <v>826</v>
      </c>
      <c r="D20" s="11" t="str" cm="1">
        <f t="array" aca="1" ref="D20" ca="1">_xlfn.LET(_xlpm.r,_xlfn.XMATCH("EXT-05",'18.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20" s="130" t="s">
        <v>12</v>
      </c>
      <c r="F20" s="130" t="s">
        <v>48</v>
      </c>
      <c r="G20" s="130" t="s">
        <v>865</v>
      </c>
      <c r="H20" s="129" t="s">
        <v>848</v>
      </c>
      <c r="I20" s="12" t="str">
        <f>"Complete when "&amp;LOWER(LEFT($B20,1))&amp;MID($B20,2,999)&amp;"; evidence is approved, current and retrievable."</f>
        <v>Complete when ensure competence of persons doing BCMS work; evidence is approved, current and retrievable.</v>
      </c>
      <c r="J20" s="12"/>
      <c r="K20" s="11" t="s">
        <v>608</v>
      </c>
      <c r="L20" s="257"/>
      <c r="M20" s="130"/>
      <c r="N20" s="130"/>
      <c r="O20" s="251"/>
    </row>
    <row r="21" spans="1:15" ht="36" x14ac:dyDescent="0.35">
      <c r="A21" s="129" t="s">
        <v>49</v>
      </c>
      <c r="B21" s="12" t="s">
        <v>50</v>
      </c>
      <c r="C21" s="12" t="s">
        <v>827</v>
      </c>
      <c r="D21" s="11" t="str" cm="1">
        <f t="array" aca="1" ref="D21" ca="1">_xlfn.LET(_xlpm.r,_xlfn.XMATCH("EXT-06",'18.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21" s="130" t="s">
        <v>12</v>
      </c>
      <c r="F21" s="130" t="s">
        <v>51</v>
      </c>
      <c r="G21" s="130" t="s">
        <v>866</v>
      </c>
      <c r="H21" s="129" t="s">
        <v>849</v>
      </c>
      <c r="I21" s="12" t="str">
        <f>"Complete when "&amp;LOWER(LEFT($B21,1))&amp;MID($B21,2,999)&amp;"; evidence is approved, current and retrievable."</f>
        <v>Complete when ensure awareness of policy and roles; evidence is approved, current and retrievable.</v>
      </c>
      <c r="J21" s="12"/>
      <c r="K21" s="11" t="s">
        <v>613</v>
      </c>
      <c r="L21" s="257"/>
      <c r="M21" s="130"/>
      <c r="N21" s="130"/>
      <c r="O21" s="251"/>
    </row>
    <row r="22" spans="1:15" ht="36" x14ac:dyDescent="0.35">
      <c r="A22" s="129" t="s">
        <v>52</v>
      </c>
      <c r="B22" s="12" t="s">
        <v>53</v>
      </c>
      <c r="C22" s="12" t="s">
        <v>828</v>
      </c>
      <c r="D22" s="11" t="str" cm="1">
        <f t="array" aca="1" ref="D22" ca="1">_xlfn.LET(_xlpm.r,_xlfn.XMATCH("EXT-07",'18.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22" s="130" t="s">
        <v>12</v>
      </c>
      <c r="F22" s="130" t="s">
        <v>54</v>
      </c>
      <c r="G22" s="130" t="s">
        <v>865</v>
      </c>
      <c r="H22" s="129" t="s">
        <v>850</v>
      </c>
      <c r="I22" s="12" t="str">
        <f>"Complete when "&amp;LOWER(LEFT($B22,1))&amp;MID($B22,2,999)&amp;"; evidence is approved, current and retrievable."</f>
        <v>Complete when determine internal &amp; external BCMS communications; evidence is approved, current and retrievable.</v>
      </c>
      <c r="J22" s="12"/>
      <c r="K22" s="11" t="s">
        <v>913</v>
      </c>
      <c r="L22" s="257"/>
      <c r="M22" s="130"/>
      <c r="N22" s="130"/>
      <c r="O22" s="251"/>
    </row>
    <row r="23" spans="1:15" ht="36" x14ac:dyDescent="0.35">
      <c r="A23" s="129" t="s">
        <v>55</v>
      </c>
      <c r="B23" s="12" t="s">
        <v>56</v>
      </c>
      <c r="C23" s="12" t="s">
        <v>829</v>
      </c>
      <c r="D23" s="11" t="str" cm="1">
        <f t="array" ref="D23">_xlfn.LET(_xlpm.meta,SUMPRODUCT(--('00. Document Control'!$B$5:$B$9&lt;&gt;"")),_xlpm.signoff,SUMPRODUCT(--('00. Document Control'!$B$13:$D$13&lt;&gt;""))+SUMPRODUCT(--('00. Document Control'!$B$17:$D$17&lt;&gt;""))+SUMPRODUCT(--('00. Document Control'!$B$21:$D$21&lt;&gt;"")),IF(AND(_xlpm.meta=0,_xlpm.signoff=0),"Not Assessed",IF(AND('00. Document Control'!$B$8="Published",_xlpm.signoff=9),"In Place","Partial")))</f>
        <v>Partial</v>
      </c>
      <c r="E23" s="130" t="s">
        <v>12</v>
      </c>
      <c r="F23" s="130" t="s">
        <v>57</v>
      </c>
      <c r="G23" s="130" t="s">
        <v>14</v>
      </c>
      <c r="H23" s="129" t="s">
        <v>851</v>
      </c>
      <c r="I23" s="12" t="str">
        <f>"Complete when "&amp;LOWER(LEFT($B23,1))&amp;MID($B23,2,999)&amp;"; evidence is approved, current and retrievable."</f>
        <v>Complete when control documented information; evidence is approved, current and retrievable.</v>
      </c>
      <c r="J23" s="12" t="s">
        <v>851</v>
      </c>
      <c r="K23" s="11"/>
      <c r="L23" s="257"/>
      <c r="M23" s="130"/>
      <c r="N23" s="130"/>
      <c r="O23" s="251"/>
    </row>
    <row r="24" spans="1:15" x14ac:dyDescent="0.35">
      <c r="A24" s="395" t="s">
        <v>58</v>
      </c>
      <c r="B24" s="396"/>
      <c r="C24" s="396"/>
      <c r="D24" s="396"/>
      <c r="E24" s="396"/>
      <c r="F24" s="396"/>
      <c r="G24" s="396"/>
      <c r="H24" s="396"/>
      <c r="I24" s="396"/>
      <c r="J24" s="396"/>
      <c r="K24" s="396"/>
      <c r="L24" s="397"/>
      <c r="M24" s="396"/>
      <c r="N24" s="396"/>
      <c r="O24" s="396"/>
    </row>
    <row r="25" spans="1:15" ht="60" x14ac:dyDescent="0.35">
      <c r="A25" s="129" t="s">
        <v>59</v>
      </c>
      <c r="B25" s="12" t="s">
        <v>60</v>
      </c>
      <c r="C25" s="12" t="s">
        <v>867</v>
      </c>
      <c r="D25" s="15" t="str" cm="1">
        <f t="array" aca="1" ref="D25" ca="1">_xlfn.LET(_xlpm.p,'17. BCMS Progress (PDCA)'!$F8,_xlpm.e,_xlfn.LET(_xlpm.r,_xlfn.XMATCH("EXT-20",'18.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v>Partial</v>
      </c>
      <c r="E25" s="130" t="s">
        <v>12</v>
      </c>
      <c r="F25" s="130" t="s">
        <v>868</v>
      </c>
      <c r="G25" s="130" t="s">
        <v>869</v>
      </c>
      <c r="H25" s="129" t="s">
        <v>870</v>
      </c>
      <c r="I25" s="12" t="str">
        <f>"Complete when "&amp;LOWER(LEFT($B25,1))&amp;MID($B25,2,999)&amp;"; evidence is approved, current and retrievable."</f>
        <v>Complete when plan, implement and control BCMS processes; evidence is approved, current and retrievable.</v>
      </c>
      <c r="J25" s="12" t="s">
        <v>906</v>
      </c>
      <c r="K25" s="15" t="s">
        <v>657</v>
      </c>
      <c r="L25" s="257"/>
      <c r="M25" s="130"/>
      <c r="N25" s="130"/>
      <c r="O25" s="251"/>
    </row>
    <row r="26" spans="1:15" ht="36" x14ac:dyDescent="0.35">
      <c r="A26" s="129" t="s">
        <v>61</v>
      </c>
      <c r="B26" s="12" t="s">
        <v>62</v>
      </c>
      <c r="C26" s="12" t="s">
        <v>830</v>
      </c>
      <c r="D26" s="15" t="str" cm="1">
        <f t="array" aca="1" ref="D26" ca="1">_xlfn.LET(_xlpm.s,'17. BCMS Progress (PDCA)'!$F8,_xlfn.SWITCH(_xlpm.s,"Yes","In Place","Partial","Partial","No","Missing","Not Assessed","Not Assessed","Not Assessed"))</f>
        <v>In Place</v>
      </c>
      <c r="E26" s="130" t="s">
        <v>12</v>
      </c>
      <c r="F26" s="130" t="s">
        <v>13</v>
      </c>
      <c r="G26" s="130" t="s">
        <v>14</v>
      </c>
      <c r="H26" s="129" t="s">
        <v>873</v>
      </c>
      <c r="I26" s="12" t="str">
        <f>"Complete when "&amp;LOWER(LEFT($B26,1))&amp;MID($B26,2,999)&amp;"; evidence is approved, current and retrievable."</f>
        <v>Complete when establish processes for BIA and risk assessment; evidence is approved, current and retrievable.</v>
      </c>
      <c r="J26" s="12" t="s">
        <v>907</v>
      </c>
      <c r="K26" s="15" t="s">
        <v>620</v>
      </c>
      <c r="L26" s="257"/>
      <c r="M26" s="130"/>
      <c r="N26" s="130"/>
      <c r="O26" s="251"/>
    </row>
    <row r="27" spans="1:15" ht="36" x14ac:dyDescent="0.35">
      <c r="A27" s="129" t="s">
        <v>63</v>
      </c>
      <c r="B27" s="12" t="s">
        <v>64</v>
      </c>
      <c r="C27" s="12" t="s">
        <v>930</v>
      </c>
      <c r="D27" s="15" t="str" cm="1">
        <f t="array" aca="1" ref="D27" ca="1">_xlfn.LET(_xlpm.s,'17. BCMS Progress (PDCA)'!$F8,_xlfn.SWITCH(_xlpm.s,"Yes","In Place","Partial","Partial","No","Missing","Not Assessed","Not Assessed","Not Assessed"))</f>
        <v>In Place</v>
      </c>
      <c r="E27" s="130" t="s">
        <v>12</v>
      </c>
      <c r="F27" s="130" t="s">
        <v>13</v>
      </c>
      <c r="G27" s="12" t="s">
        <v>931</v>
      </c>
      <c r="H27" s="129" t="s">
        <v>852</v>
      </c>
      <c r="I27" s="12" t="s">
        <v>932</v>
      </c>
      <c r="J27" s="252" t="s">
        <v>908</v>
      </c>
      <c r="K27" s="15"/>
      <c r="L27" s="257"/>
      <c r="M27" s="130"/>
      <c r="N27" s="252"/>
      <c r="O27" s="251"/>
    </row>
    <row r="28" spans="1:15" ht="36" x14ac:dyDescent="0.35">
      <c r="A28" s="129" t="s">
        <v>65</v>
      </c>
      <c r="B28" s="12" t="s">
        <v>66</v>
      </c>
      <c r="C28" s="12" t="s">
        <v>933</v>
      </c>
      <c r="D28" s="15" t="str" cm="1">
        <f t="array" ref="D28">_xlfn.LET(_xlpm.s,'17. BCMS Progress (PDCA)'!$F10,_xlfn.SWITCH(_xlpm.s,"Yes","In Place","Partial","Partial","No","Missing","Not Assessed","Not Assessed","Not Assessed"))</f>
        <v>Partial</v>
      </c>
      <c r="E28" s="130" t="s">
        <v>12</v>
      </c>
      <c r="F28" s="130" t="s">
        <v>13</v>
      </c>
      <c r="G28" s="12" t="s">
        <v>934</v>
      </c>
      <c r="H28" s="129" t="s">
        <v>853</v>
      </c>
      <c r="I28" s="12" t="s">
        <v>935</v>
      </c>
      <c r="J28" s="252" t="s">
        <v>909</v>
      </c>
      <c r="K28" s="15"/>
      <c r="L28" s="257"/>
      <c r="M28" s="130"/>
      <c r="N28" s="252"/>
      <c r="O28" s="251"/>
    </row>
    <row r="29" spans="1:15" ht="36" x14ac:dyDescent="0.35">
      <c r="A29" s="129" t="s">
        <v>67</v>
      </c>
      <c r="B29" s="12" t="s">
        <v>68</v>
      </c>
      <c r="C29" s="12" t="s">
        <v>936</v>
      </c>
      <c r="D29" s="15" t="str" cm="1">
        <f t="array" aca="1" ref="D29" ca="1">_xlfn.LET(_xlpm.s,'17. BCMS Progress (PDCA)'!$F11,_xlfn.SWITCH(_xlpm.s,"Yes","In Place","Partial","Partial","No","Missing","Not Assessed","Not Assessed","Not Assessed"))</f>
        <v>Partial</v>
      </c>
      <c r="E29" s="130" t="s">
        <v>12</v>
      </c>
      <c r="F29" s="130" t="s">
        <v>13</v>
      </c>
      <c r="G29" s="12" t="s">
        <v>937</v>
      </c>
      <c r="H29" s="129" t="s">
        <v>854</v>
      </c>
      <c r="I29" s="12" t="s">
        <v>938</v>
      </c>
      <c r="J29" s="252" t="s">
        <v>905</v>
      </c>
      <c r="K29" s="15"/>
      <c r="L29" s="257"/>
      <c r="M29" s="130"/>
      <c r="N29" s="252"/>
      <c r="O29" s="251"/>
    </row>
    <row r="30" spans="1:15" ht="36" x14ac:dyDescent="0.35">
      <c r="A30" s="129" t="s">
        <v>69</v>
      </c>
      <c r="B30" s="12" t="s">
        <v>70</v>
      </c>
      <c r="C30" s="12" t="s">
        <v>831</v>
      </c>
      <c r="D30" s="15" t="str" cm="1">
        <f t="array" ref="D30">_xlfn.LET(_xlpm.s,'17. BCMS Progress (PDCA)'!$F13,_xlfn.SWITCH(_xlpm.s,"Yes","In Place","Partial","Partial","No","Missing","Not Assessed","Not Assessed","Not Assessed"))</f>
        <v>Partial</v>
      </c>
      <c r="E30" s="130" t="s">
        <v>12</v>
      </c>
      <c r="F30" s="130" t="s">
        <v>13</v>
      </c>
      <c r="G30" s="130" t="s">
        <v>14</v>
      </c>
      <c r="H30" s="129" t="s">
        <v>855</v>
      </c>
      <c r="I30" s="12" t="str">
        <f t="shared" ref="I30:I36" si="0">"Complete when "&amp;LOWER(LEFT($B30,1))&amp;MID($B30,2,999)&amp;"; evidence is approved, current and retrievable."</f>
        <v>Complete when implement response structures and plans; evidence is approved, current and retrievable.</v>
      </c>
      <c r="J30" s="12" t="s">
        <v>855</v>
      </c>
      <c r="K30" s="15" t="s">
        <v>622</v>
      </c>
      <c r="L30" s="257"/>
      <c r="M30" s="130"/>
      <c r="N30" s="130"/>
      <c r="O30" s="251"/>
    </row>
    <row r="31" spans="1:15" ht="36" x14ac:dyDescent="0.35">
      <c r="A31" s="129" t="s">
        <v>71</v>
      </c>
      <c r="B31" s="12" t="s">
        <v>72</v>
      </c>
      <c r="C31" s="12" t="s">
        <v>832</v>
      </c>
      <c r="D31" s="11" t="str" cm="1">
        <f t="array" aca="1" ref="D31" ca="1">_xlfn.LET(_xlpm.r,_xlfn.XMATCH("EXT-09",'18.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31" s="130" t="s">
        <v>12</v>
      </c>
      <c r="F31" s="130" t="s">
        <v>73</v>
      </c>
      <c r="G31" s="130" t="s">
        <v>866</v>
      </c>
      <c r="H31" s="129" t="s">
        <v>856</v>
      </c>
      <c r="I31" s="12" t="str">
        <f t="shared" si="0"/>
        <v>Complete when response structure: teams, competence, escalation; evidence is approved, current and retrievable.</v>
      </c>
      <c r="J31" s="12" t="s">
        <v>855</v>
      </c>
      <c r="K31" s="11" t="s">
        <v>622</v>
      </c>
      <c r="L31" s="257"/>
      <c r="M31" s="130"/>
      <c r="N31" s="130"/>
      <c r="O31" s="251"/>
    </row>
    <row r="32" spans="1:15" ht="36" x14ac:dyDescent="0.35">
      <c r="A32" s="129" t="s">
        <v>74</v>
      </c>
      <c r="B32" s="12" t="s">
        <v>75</v>
      </c>
      <c r="C32" s="12" t="s">
        <v>833</v>
      </c>
      <c r="D32" s="11" t="str" cm="1">
        <f t="array" aca="1" ref="D32" ca="1">_xlfn.LET(_xlpm.r,_xlfn.XMATCH("EXT-10",'18.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32" s="130" t="s">
        <v>12</v>
      </c>
      <c r="F32" s="130" t="s">
        <v>76</v>
      </c>
      <c r="G32" s="130" t="s">
        <v>865</v>
      </c>
      <c r="H32" s="129" t="s">
        <v>857</v>
      </c>
      <c r="I32" s="12" t="str">
        <f t="shared" si="0"/>
        <v>Complete when warning and communication procedures; evidence is approved, current and retrievable.</v>
      </c>
      <c r="J32" s="12"/>
      <c r="K32" s="11" t="s">
        <v>625</v>
      </c>
      <c r="L32" s="257"/>
      <c r="M32" s="130"/>
      <c r="N32" s="130"/>
      <c r="O32" s="251"/>
    </row>
    <row r="33" spans="1:15" ht="48" x14ac:dyDescent="0.35">
      <c r="A33" s="129" t="s">
        <v>77</v>
      </c>
      <c r="B33" s="12" t="s">
        <v>78</v>
      </c>
      <c r="C33" s="12" t="s">
        <v>834</v>
      </c>
      <c r="D33" s="11" t="str" cm="1">
        <f t="array" aca="1" ref="D33" ca="1">_xlfn.LET(_xlpm.r,_xlfn.XMATCH("EXT-11",'18.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33" s="130" t="s">
        <v>12</v>
      </c>
      <c r="F33" s="130" t="s">
        <v>860</v>
      </c>
      <c r="G33" s="130" t="s">
        <v>14</v>
      </c>
      <c r="H33" s="129" t="s">
        <v>874</v>
      </c>
      <c r="I33" s="12" t="str">
        <f t="shared" si="0"/>
        <v>Complete when business continuity plans: activation, actions, resources, information flow; evidence is approved, current and retrievable.</v>
      </c>
      <c r="J33" s="12" t="s">
        <v>855</v>
      </c>
      <c r="K33" s="11" t="s">
        <v>628</v>
      </c>
      <c r="L33" s="257"/>
      <c r="M33" s="130"/>
      <c r="N33" s="130"/>
      <c r="O33" s="251"/>
    </row>
    <row r="34" spans="1:15" ht="36" x14ac:dyDescent="0.35">
      <c r="A34" s="129" t="s">
        <v>79</v>
      </c>
      <c r="B34" s="12" t="s">
        <v>80</v>
      </c>
      <c r="C34" s="12" t="s">
        <v>835</v>
      </c>
      <c r="D34" s="11" t="str" cm="1">
        <f t="array" aca="1" ref="D34" ca="1">_xlfn.LET(_xlpm.r,_xlfn.XMATCH("EXT-12",'18.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34" s="130" t="s">
        <v>12</v>
      </c>
      <c r="F34" s="130" t="s">
        <v>861</v>
      </c>
      <c r="G34" s="130" t="s">
        <v>14</v>
      </c>
      <c r="H34" s="129" t="s">
        <v>875</v>
      </c>
      <c r="I34" s="12" t="str">
        <f t="shared" si="0"/>
        <v>Complete when recovery: restore and return from temporary measures; evidence is approved, current and retrievable.</v>
      </c>
      <c r="J34" s="12" t="s">
        <v>855</v>
      </c>
      <c r="K34" s="11" t="s">
        <v>630</v>
      </c>
      <c r="L34" s="257"/>
      <c r="M34" s="130"/>
      <c r="N34" s="130"/>
      <c r="O34" s="251"/>
    </row>
    <row r="35" spans="1:15" ht="36" x14ac:dyDescent="0.35">
      <c r="A35" s="129" t="s">
        <v>81</v>
      </c>
      <c r="B35" s="12" t="s">
        <v>82</v>
      </c>
      <c r="C35" s="12" t="s">
        <v>836</v>
      </c>
      <c r="D35" s="15" t="str" cm="1">
        <f t="array" aca="1" ref="D35" ca="1">_xlfn.LET(_xlpm.p,'17. BCMS Progress (PDCA)'!$F15,_xlpm.e,_xlfn.LET(_xlpm.r,_xlfn.XMATCH("EXT-13",'18.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v>Partial</v>
      </c>
      <c r="E35" s="130" t="s">
        <v>12</v>
      </c>
      <c r="F35" s="130" t="s">
        <v>862</v>
      </c>
      <c r="G35" s="130" t="s">
        <v>14</v>
      </c>
      <c r="H35" s="129" t="s">
        <v>876</v>
      </c>
      <c r="I35" s="12" t="str">
        <f t="shared" si="0"/>
        <v>Complete when exercise programme validating strategies and plans over time; evidence is approved, current and retrievable.</v>
      </c>
      <c r="J35" s="12" t="s">
        <v>855</v>
      </c>
      <c r="K35" s="15" t="s">
        <v>632</v>
      </c>
      <c r="L35" s="257"/>
      <c r="M35" s="130"/>
      <c r="N35" s="130"/>
      <c r="O35" s="251"/>
    </row>
    <row r="36" spans="1:15" ht="36" x14ac:dyDescent="0.35">
      <c r="A36" s="129" t="s">
        <v>83</v>
      </c>
      <c r="B36" s="12" t="s">
        <v>84</v>
      </c>
      <c r="C36" s="12" t="s">
        <v>837</v>
      </c>
      <c r="D36" s="15" t="str" cm="1">
        <f t="array" aca="1" ref="D36" ca="1">_xlfn.LET(_xlpm.p,'17. BCMS Progress (PDCA)'!$F15,_xlpm.e,_xlfn.LET(_xlpm.r,_xlfn.XMATCH("EXT-14",'18.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v>Partial</v>
      </c>
      <c r="E36" s="130" t="s">
        <v>12</v>
      </c>
      <c r="F36" s="130" t="s">
        <v>863</v>
      </c>
      <c r="G36" s="130" t="s">
        <v>14</v>
      </c>
      <c r="H36" s="129" t="s">
        <v>877</v>
      </c>
      <c r="I36" s="12" t="str">
        <f t="shared" si="0"/>
        <v>Complete when evaluate BC documentation and capabilities (incl. post-incident); evidence is approved, current and retrievable.</v>
      </c>
      <c r="J36" s="12" t="s">
        <v>844</v>
      </c>
      <c r="K36" s="15" t="s">
        <v>636</v>
      </c>
      <c r="L36" s="257"/>
      <c r="M36" s="130"/>
      <c r="N36" s="130"/>
      <c r="O36" s="251"/>
    </row>
    <row r="37" spans="1:15" x14ac:dyDescent="0.35">
      <c r="A37" s="395" t="s">
        <v>85</v>
      </c>
      <c r="B37" s="396"/>
      <c r="C37" s="396"/>
      <c r="D37" s="396"/>
      <c r="E37" s="396"/>
      <c r="F37" s="396"/>
      <c r="G37" s="396"/>
      <c r="H37" s="396"/>
      <c r="I37" s="396"/>
      <c r="J37" s="396"/>
      <c r="K37" s="396"/>
      <c r="L37" s="397"/>
      <c r="M37" s="396"/>
      <c r="N37" s="396"/>
      <c r="O37" s="396"/>
    </row>
    <row r="38" spans="1:15" ht="36" x14ac:dyDescent="0.35">
      <c r="A38" s="129" t="s">
        <v>86</v>
      </c>
      <c r="B38" s="12" t="s">
        <v>87</v>
      </c>
      <c r="C38" s="12" t="s">
        <v>838</v>
      </c>
      <c r="D38" s="15" t="str" cm="1">
        <f t="array" aca="1" ref="D38" ca="1">_xlfn.LET(_xlpm.p,'17. BCMS Progress (PDCA)'!$F16,_xlpm.e,_xlfn.LET(_xlpm.r,_xlfn.XMATCH("EXT-15",'18.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v>Not Assessed</v>
      </c>
      <c r="E38" s="130" t="s">
        <v>12</v>
      </c>
      <c r="F38" s="130" t="s">
        <v>864</v>
      </c>
      <c r="G38" s="130" t="s">
        <v>14</v>
      </c>
      <c r="H38" s="129" t="s">
        <v>878</v>
      </c>
      <c r="I38" s="12" t="str">
        <f>"Complete when "&amp;LOWER(LEFT($B38,1))&amp;MID($B38,2,999)&amp;"; evidence is approved, current and retrievable."</f>
        <v>Complete when monitoring, measurement, analysis and evaluation; evidence is approved, current and retrievable.</v>
      </c>
      <c r="J38" s="12" t="s">
        <v>910</v>
      </c>
      <c r="K38" s="15" t="s">
        <v>640</v>
      </c>
      <c r="L38" s="257"/>
      <c r="M38" s="130"/>
      <c r="N38" s="130"/>
      <c r="O38" s="251"/>
    </row>
    <row r="39" spans="1:15" ht="36" x14ac:dyDescent="0.35">
      <c r="A39" s="129" t="s">
        <v>88</v>
      </c>
      <c r="B39" s="12" t="s">
        <v>89</v>
      </c>
      <c r="C39" s="12" t="s">
        <v>839</v>
      </c>
      <c r="D39" s="15" t="str" cm="1">
        <f t="array" aca="1" ref="D39" ca="1">_xlfn.LET(_xlpm.r,_xlfn.XMATCH("EXT-16",'18.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39" s="130" t="s">
        <v>12</v>
      </c>
      <c r="F39" s="130" t="s">
        <v>90</v>
      </c>
      <c r="G39" s="130" t="s">
        <v>14</v>
      </c>
      <c r="H39" s="129" t="s">
        <v>858</v>
      </c>
      <c r="I39" s="12" t="str">
        <f>"Complete when "&amp;LOWER(LEFT($B39,1))&amp;MID($B39,2,999)&amp;"; evidence is approved, current and retrievable."</f>
        <v>Complete when internal audit at planned intervals; evidence is approved, current and retrievable.</v>
      </c>
      <c r="J39" s="12"/>
      <c r="K39" s="15" t="s">
        <v>644</v>
      </c>
      <c r="L39" s="257"/>
      <c r="M39" s="130"/>
      <c r="N39" s="130"/>
      <c r="O39" s="251"/>
    </row>
    <row r="40" spans="1:15" ht="36" x14ac:dyDescent="0.35">
      <c r="A40" s="129" t="s">
        <v>91</v>
      </c>
      <c r="B40" s="12" t="s">
        <v>92</v>
      </c>
      <c r="C40" s="12" t="s">
        <v>840</v>
      </c>
      <c r="D40" s="15" t="str" cm="1">
        <f t="array" aca="1" ref="D40" ca="1">_xlfn.LET(_xlpm.r,_xlfn.XMATCH("EXT-17",'18.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v>Not Assessed</v>
      </c>
      <c r="E40" s="130" t="s">
        <v>12</v>
      </c>
      <c r="F40" s="130" t="s">
        <v>93</v>
      </c>
      <c r="G40" s="130" t="s">
        <v>14</v>
      </c>
      <c r="H40" s="129" t="s">
        <v>859</v>
      </c>
      <c r="I40" s="12" t="str">
        <f>"Complete when "&amp;LOWER(LEFT($B40,1))&amp;MID($B40,2,999)&amp;"; evidence is approved, current and retrievable."</f>
        <v>Complete when management review with defined inputs/outputs; evidence is approved, current and retrievable.</v>
      </c>
      <c r="J40" s="12"/>
      <c r="K40" s="15" t="s">
        <v>647</v>
      </c>
      <c r="L40" s="257"/>
      <c r="M40" s="130"/>
      <c r="N40" s="130"/>
      <c r="O40" s="251"/>
    </row>
    <row r="41" spans="1:15" x14ac:dyDescent="0.35">
      <c r="A41" s="395" t="s">
        <v>94</v>
      </c>
      <c r="B41" s="396"/>
      <c r="C41" s="396"/>
      <c r="D41" s="396"/>
      <c r="E41" s="396"/>
      <c r="F41" s="396"/>
      <c r="G41" s="396"/>
      <c r="H41" s="396"/>
      <c r="I41" s="396"/>
      <c r="J41" s="396"/>
      <c r="K41" s="396"/>
      <c r="L41" s="397"/>
      <c r="M41" s="396"/>
      <c r="N41" s="396"/>
      <c r="O41" s="396"/>
    </row>
    <row r="42" spans="1:15" ht="36" x14ac:dyDescent="0.35">
      <c r="A42" s="129" t="s">
        <v>95</v>
      </c>
      <c r="B42" s="12" t="s">
        <v>96</v>
      </c>
      <c r="C42" s="248" t="s">
        <v>841</v>
      </c>
      <c r="D42" s="15" t="str" cm="1">
        <f t="array" aca="1" ref="D42" ca="1">_xlfn.LET(_xlpm.s,'17. BCMS Progress (PDCA)'!$F19,_xlfn.SWITCH(_xlpm.s,"Yes","In Place","Partial","Partial","No","Missing","Not Assessed","Not Assessed","Not Assessed"))</f>
        <v>Not Assessed</v>
      </c>
      <c r="E42" s="130" t="s">
        <v>12</v>
      </c>
      <c r="F42" s="130" t="s">
        <v>880</v>
      </c>
      <c r="G42" s="130" t="s">
        <v>812</v>
      </c>
      <c r="H42" s="129" t="s">
        <v>879</v>
      </c>
      <c r="I42" s="12" t="str">
        <f>"Complete when "&amp;LOWER(LEFT($B42,1))&amp;MID($B42,2,999)&amp;"; evidence is approved, current and retrievable."</f>
        <v>Complete when nonconformity and corrective action; evidence is approved, current and retrievable.</v>
      </c>
      <c r="J42" s="248" t="s">
        <v>911</v>
      </c>
      <c r="K42" s="15" t="s">
        <v>651</v>
      </c>
      <c r="L42" s="257"/>
      <c r="M42" s="130"/>
      <c r="N42" s="130"/>
      <c r="O42" s="251"/>
    </row>
    <row r="43" spans="1:15" ht="36" x14ac:dyDescent="0.35">
      <c r="A43" s="129" t="s">
        <v>97</v>
      </c>
      <c r="B43" s="12" t="s">
        <v>98</v>
      </c>
      <c r="C43" s="12" t="s">
        <v>842</v>
      </c>
      <c r="D43" s="15" t="str" cm="1">
        <f t="array" aca="1" ref="D43" ca="1">_xlfn.LET(_xlpm.s,'17. BCMS Progress (PDCA)'!$F19,_xlfn.SWITCH(_xlpm.s,"Yes","In Place","Partial","Partial","No","Missing","Not Assessed","Not Assessed","Not Assessed"))</f>
        <v>Not Assessed</v>
      </c>
      <c r="E43" s="130" t="s">
        <v>12</v>
      </c>
      <c r="F43" s="130" t="s">
        <v>13</v>
      </c>
      <c r="G43" s="130" t="s">
        <v>14</v>
      </c>
      <c r="H43" s="129" t="s">
        <v>844</v>
      </c>
      <c r="I43" s="12" t="str">
        <f>"Complete when "&amp;LOWER(LEFT($B43,1))&amp;MID($B43,2,999)&amp;"; evidence is approved, current and retrievable."</f>
        <v>Complete when continual improvement of the BCMS; evidence is approved, current and retrievable.</v>
      </c>
      <c r="J43" s="12" t="s">
        <v>912</v>
      </c>
      <c r="K43" s="15"/>
      <c r="L43" s="257"/>
      <c r="M43" s="130"/>
      <c r="N43" s="130"/>
      <c r="O43" s="251"/>
    </row>
    <row r="45" spans="1:15" ht="15" customHeight="1" x14ac:dyDescent="0.35">
      <c r="A45" s="21"/>
    </row>
  </sheetData>
  <sheetProtection selectLockedCells="1"/>
  <mergeCells count="9">
    <mergeCell ref="A37:O37"/>
    <mergeCell ref="A41:O41"/>
    <mergeCell ref="A1:O1"/>
    <mergeCell ref="A2:O2"/>
    <mergeCell ref="A5:O5"/>
    <mergeCell ref="A10:O10"/>
    <mergeCell ref="A14:O14"/>
    <mergeCell ref="A18:O18"/>
    <mergeCell ref="A24:O24"/>
  </mergeCells>
  <conditionalFormatting sqref="D6:D43">
    <cfRule type="cellIs" dxfId="39" priority="165" operator="equal">
      <formula>"N/A"</formula>
    </cfRule>
    <cfRule type="cellIs" dxfId="38" priority="164" operator="equal">
      <formula>"Not Assessed"</formula>
    </cfRule>
    <cfRule type="cellIs" dxfId="37" priority="163" operator="equal">
      <formula>"Missing"</formula>
    </cfRule>
    <cfRule type="cellIs" dxfId="36" priority="162" operator="equal">
      <formula>"Partial"</formula>
    </cfRule>
    <cfRule type="cellIs" dxfId="35" priority="161" operator="equal">
      <formula>"In Place"</formula>
    </cfRule>
  </conditionalFormatting>
  <conditionalFormatting sqref="K6:K9">
    <cfRule type="cellIs" dxfId="34" priority="145" operator="equal">
      <formula>"N/A"</formula>
    </cfRule>
    <cfRule type="cellIs" dxfId="33" priority="144" operator="equal">
      <formula>"Not Assessed"</formula>
    </cfRule>
    <cfRule type="cellIs" dxfId="32" priority="143" operator="equal">
      <formula>"Missing"</formula>
    </cfRule>
    <cfRule type="cellIs" dxfId="31" priority="142" operator="equal">
      <formula>"Partial"</formula>
    </cfRule>
    <cfRule type="cellIs" dxfId="30" priority="141" operator="equal">
      <formula>"In Place"</formula>
    </cfRule>
  </conditionalFormatting>
  <conditionalFormatting sqref="K11:K13">
    <cfRule type="cellIs" dxfId="29" priority="130" operator="equal">
      <formula>"N/A"</formula>
    </cfRule>
    <cfRule type="cellIs" dxfId="28" priority="129" operator="equal">
      <formula>"Not Assessed"</formula>
    </cfRule>
    <cfRule type="cellIs" dxfId="27" priority="128" operator="equal">
      <formula>"Missing"</formula>
    </cfRule>
    <cfRule type="cellIs" dxfId="26" priority="127" operator="equal">
      <formula>"Partial"</formula>
    </cfRule>
    <cfRule type="cellIs" dxfId="25" priority="126" operator="equal">
      <formula>"In Place"</formula>
    </cfRule>
  </conditionalFormatting>
  <conditionalFormatting sqref="K15:K17">
    <cfRule type="cellIs" dxfId="24" priority="111" operator="equal">
      <formula>"In Place"</formula>
    </cfRule>
    <cfRule type="cellIs" dxfId="23" priority="112" operator="equal">
      <formula>"Partial"</formula>
    </cfRule>
    <cfRule type="cellIs" dxfId="22" priority="113" operator="equal">
      <formula>"Missing"</formula>
    </cfRule>
    <cfRule type="cellIs" dxfId="21" priority="114" operator="equal">
      <formula>"Not Assessed"</formula>
    </cfRule>
    <cfRule type="cellIs" dxfId="20" priority="115" operator="equal">
      <formula>"N/A"</formula>
    </cfRule>
  </conditionalFormatting>
  <conditionalFormatting sqref="K19:K23">
    <cfRule type="cellIs" dxfId="19" priority="90" operator="equal">
      <formula>"N/A"</formula>
    </cfRule>
    <cfRule type="cellIs" dxfId="18" priority="89" operator="equal">
      <formula>"Not Assessed"</formula>
    </cfRule>
    <cfRule type="cellIs" dxfId="17" priority="88" operator="equal">
      <formula>"Missing"</formula>
    </cfRule>
    <cfRule type="cellIs" dxfId="16" priority="87" operator="equal">
      <formula>"Partial"</formula>
    </cfRule>
    <cfRule type="cellIs" dxfId="15" priority="86" operator="equal">
      <formula>"In Place"</formula>
    </cfRule>
  </conditionalFormatting>
  <conditionalFormatting sqref="K25:K36">
    <cfRule type="cellIs" dxfId="14" priority="30" operator="equal">
      <formula>"N/A"</formula>
    </cfRule>
    <cfRule type="cellIs" dxfId="13" priority="29" operator="equal">
      <formula>"Not Assessed"</formula>
    </cfRule>
    <cfRule type="cellIs" dxfId="12" priority="28" operator="equal">
      <formula>"Missing"</formula>
    </cfRule>
    <cfRule type="cellIs" dxfId="11" priority="27" operator="equal">
      <formula>"Partial"</formula>
    </cfRule>
    <cfRule type="cellIs" dxfId="10" priority="26" operator="equal">
      <formula>"In Place"</formula>
    </cfRule>
  </conditionalFormatting>
  <conditionalFormatting sqref="K38:K40">
    <cfRule type="cellIs" dxfId="9" priority="11" operator="equal">
      <formula>"In Place"</formula>
    </cfRule>
    <cfRule type="cellIs" dxfId="8" priority="15" operator="equal">
      <formula>"N/A"</formula>
    </cfRule>
    <cfRule type="cellIs" dxfId="7" priority="14" operator="equal">
      <formula>"Not Assessed"</formula>
    </cfRule>
    <cfRule type="cellIs" dxfId="6" priority="13" operator="equal">
      <formula>"Missing"</formula>
    </cfRule>
    <cfRule type="cellIs" dxfId="5" priority="12" operator="equal">
      <formula>"Partial"</formula>
    </cfRule>
  </conditionalFormatting>
  <conditionalFormatting sqref="K42:K43">
    <cfRule type="cellIs" dxfId="4" priority="2" operator="equal">
      <formula>"Partial"</formula>
    </cfRule>
    <cfRule type="cellIs" dxfId="3" priority="3" operator="equal">
      <formula>"Missing"</formula>
    </cfRule>
    <cfRule type="cellIs" dxfId="2" priority="4" operator="equal">
      <formula>"Not Assessed"</formula>
    </cfRule>
    <cfRule type="cellIs" dxfId="1" priority="5" operator="equal">
      <formula>"N/A"</formula>
    </cfRule>
    <cfRule type="cellIs" dxfId="0" priority="1" operator="equal">
      <formula>"In Place"</formula>
    </cfRule>
  </conditionalFormatting>
  <dataValidations count="1">
    <dataValidation allowBlank="1" sqref="D3:D4 D44:D1043" xr:uid="{00000000-0002-0000-1600-000000000000}">
      <formula1>0</formula1>
      <formula2>0</formula2>
    </dataValidation>
  </dataValidations>
  <pageMargins left="0.75" right="0.75" top="1" bottom="1" header="0.511811023622047" footer="0.51180555555555596"/>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08080"/>
  </sheetPr>
  <dimension ref="A1:M118"/>
  <sheetViews>
    <sheetView topLeftCell="B104" zoomScaleNormal="100" workbookViewId="0">
      <selection activeCell="C124" sqref="C124"/>
    </sheetView>
  </sheetViews>
  <sheetFormatPr defaultColWidth="8.54296875" defaultRowHeight="14.5" x14ac:dyDescent="0.35"/>
  <cols>
    <col min="2" max="8" width="30" customWidth="1"/>
    <col min="9" max="9" width="16.54296875" customWidth="1"/>
    <col min="10" max="10" width="19.7265625" customWidth="1"/>
  </cols>
  <sheetData>
    <row r="1" spans="1:6" ht="15" customHeight="1" x14ac:dyDescent="0.35">
      <c r="A1" s="26" t="s">
        <v>420</v>
      </c>
    </row>
    <row r="2" spans="1:6" ht="14.25" customHeight="1" x14ac:dyDescent="0.35">
      <c r="B2" s="405" t="s">
        <v>421</v>
      </c>
      <c r="C2" s="315"/>
      <c r="D2" s="315"/>
      <c r="E2" s="315"/>
      <c r="F2" s="315"/>
    </row>
    <row r="3" spans="1:6" ht="14.25" customHeight="1" x14ac:dyDescent="0.35">
      <c r="B3" s="315"/>
      <c r="C3" s="315"/>
      <c r="D3" s="315"/>
      <c r="E3" s="315"/>
      <c r="F3" s="315"/>
    </row>
    <row r="4" spans="1:6" ht="14.25" customHeight="1" x14ac:dyDescent="0.35">
      <c r="B4" s="315"/>
      <c r="C4" s="315"/>
      <c r="D4" s="315"/>
      <c r="E4" s="315"/>
      <c r="F4" s="315"/>
    </row>
    <row r="5" spans="1:6" ht="14.25" customHeight="1" x14ac:dyDescent="0.35">
      <c r="B5" s="315"/>
      <c r="C5" s="315"/>
      <c r="D5" s="315"/>
      <c r="E5" s="315"/>
      <c r="F5" s="315"/>
    </row>
    <row r="6" spans="1:6" ht="23.25" customHeight="1" x14ac:dyDescent="0.55000000000000004">
      <c r="B6" s="409" t="s">
        <v>422</v>
      </c>
      <c r="C6" s="315"/>
      <c r="D6" s="315"/>
      <c r="E6" s="315"/>
      <c r="F6" s="315"/>
    </row>
    <row r="8" spans="1:6" ht="14.25" customHeight="1" x14ac:dyDescent="0.35">
      <c r="B8" s="406" t="s">
        <v>197</v>
      </c>
      <c r="C8" s="400"/>
      <c r="D8" s="398" t="s">
        <v>423</v>
      </c>
      <c r="E8" s="399"/>
      <c r="F8" s="400"/>
    </row>
    <row r="9" spans="1:6" ht="14.25" customHeight="1" x14ac:dyDescent="0.35">
      <c r="B9" s="401"/>
      <c r="C9" s="403"/>
      <c r="D9" s="401"/>
      <c r="E9" s="402"/>
      <c r="F9" s="403"/>
    </row>
    <row r="11" spans="1:6" ht="14.25" customHeight="1" x14ac:dyDescent="0.35">
      <c r="B11" s="406" t="s">
        <v>199</v>
      </c>
      <c r="C11" s="400"/>
      <c r="D11" s="398" t="s">
        <v>424</v>
      </c>
      <c r="E11" s="399"/>
      <c r="F11" s="400"/>
    </row>
    <row r="12" spans="1:6" ht="14.25" customHeight="1" x14ac:dyDescent="0.35">
      <c r="B12" s="401"/>
      <c r="C12" s="403"/>
      <c r="D12" s="401"/>
      <c r="E12" s="402"/>
      <c r="F12" s="403"/>
    </row>
    <row r="14" spans="1:6" ht="14.25" customHeight="1" x14ac:dyDescent="0.35">
      <c r="B14" s="406" t="s">
        <v>200</v>
      </c>
      <c r="C14" s="400"/>
      <c r="D14" s="398" t="s">
        <v>425</v>
      </c>
      <c r="E14" s="399"/>
      <c r="F14" s="400"/>
    </row>
    <row r="15" spans="1:6" ht="14.25" customHeight="1" x14ac:dyDescent="0.35">
      <c r="B15" s="401"/>
      <c r="C15" s="403"/>
      <c r="D15" s="401"/>
      <c r="E15" s="402"/>
      <c r="F15" s="403"/>
    </row>
    <row r="17" spans="2:6" ht="14.25" customHeight="1" x14ac:dyDescent="0.35">
      <c r="B17" s="404" t="s">
        <v>426</v>
      </c>
      <c r="C17" s="400"/>
      <c r="D17" s="398" t="s">
        <v>427</v>
      </c>
      <c r="E17" s="399"/>
      <c r="F17" s="400"/>
    </row>
    <row r="18" spans="2:6" ht="14.25" customHeight="1" x14ac:dyDescent="0.35">
      <c r="B18" s="401"/>
      <c r="C18" s="403"/>
      <c r="D18" s="401"/>
      <c r="E18" s="402"/>
      <c r="F18" s="403"/>
    </row>
    <row r="20" spans="2:6" ht="14.25" customHeight="1" x14ac:dyDescent="0.35">
      <c r="B20" s="406" t="s">
        <v>203</v>
      </c>
      <c r="C20" s="400"/>
      <c r="D20" s="398" t="s">
        <v>428</v>
      </c>
      <c r="E20" s="399"/>
      <c r="F20" s="400"/>
    </row>
    <row r="21" spans="2:6" ht="14.25" customHeight="1" x14ac:dyDescent="0.35">
      <c r="B21" s="401"/>
      <c r="C21" s="403"/>
      <c r="D21" s="401"/>
      <c r="E21" s="402"/>
      <c r="F21" s="403"/>
    </row>
    <row r="23" spans="2:6" ht="14.25" customHeight="1" x14ac:dyDescent="0.35">
      <c r="B23" s="406" t="s">
        <v>204</v>
      </c>
      <c r="C23" s="400"/>
      <c r="D23" s="398" t="s">
        <v>429</v>
      </c>
      <c r="E23" s="399"/>
      <c r="F23" s="400"/>
    </row>
    <row r="24" spans="2:6" ht="14.25" customHeight="1" x14ac:dyDescent="0.35">
      <c r="B24" s="401"/>
      <c r="C24" s="403"/>
      <c r="D24" s="401"/>
      <c r="E24" s="402"/>
      <c r="F24" s="403"/>
    </row>
    <row r="25" spans="2:6" ht="14.25" customHeight="1" x14ac:dyDescent="0.35">
      <c r="B25" s="97"/>
      <c r="C25" s="97"/>
    </row>
    <row r="26" spans="2:6" ht="14.25" customHeight="1" x14ac:dyDescent="0.35">
      <c r="B26" s="406" t="s">
        <v>205</v>
      </c>
      <c r="C26" s="400"/>
      <c r="D26" s="398" t="s">
        <v>430</v>
      </c>
      <c r="E26" s="399"/>
      <c r="F26" s="400"/>
    </row>
    <row r="27" spans="2:6" ht="14.25" customHeight="1" x14ac:dyDescent="0.35">
      <c r="B27" s="401"/>
      <c r="C27" s="403"/>
      <c r="D27" s="401"/>
      <c r="E27" s="402"/>
      <c r="F27" s="403"/>
    </row>
    <row r="28" spans="2:6" ht="14.25" customHeight="1" x14ac:dyDescent="0.35">
      <c r="E28" s="27"/>
    </row>
    <row r="29" spans="2:6" ht="14.25" customHeight="1" x14ac:dyDescent="0.35">
      <c r="B29" s="406" t="s">
        <v>431</v>
      </c>
      <c r="C29" s="400"/>
      <c r="D29" s="417" t="s">
        <v>432</v>
      </c>
      <c r="E29" s="399"/>
      <c r="F29" s="400"/>
    </row>
    <row r="30" spans="2:6" ht="14.25" customHeight="1" x14ac:dyDescent="0.35">
      <c r="B30" s="401"/>
      <c r="C30" s="403"/>
      <c r="D30" s="401"/>
      <c r="E30" s="402"/>
      <c r="F30" s="403"/>
    </row>
    <row r="31" spans="2:6" ht="14.25" customHeight="1" x14ac:dyDescent="0.35">
      <c r="B31" s="97"/>
      <c r="C31" s="97"/>
    </row>
    <row r="32" spans="2:6" ht="14.25" customHeight="1" x14ac:dyDescent="0.35">
      <c r="B32" s="406" t="s">
        <v>433</v>
      </c>
      <c r="C32" s="400"/>
      <c r="D32" s="417" t="s">
        <v>434</v>
      </c>
      <c r="E32" s="399"/>
      <c r="F32" s="400"/>
    </row>
    <row r="33" spans="2:6" ht="14.25" customHeight="1" x14ac:dyDescent="0.35">
      <c r="B33" s="401"/>
      <c r="C33" s="403"/>
      <c r="D33" s="401"/>
      <c r="E33" s="402"/>
      <c r="F33" s="403"/>
    </row>
    <row r="35" spans="2:6" ht="14.25" customHeight="1" x14ac:dyDescent="0.35">
      <c r="B35" s="404" t="s">
        <v>435</v>
      </c>
      <c r="C35" s="400"/>
      <c r="D35" s="417" t="s">
        <v>436</v>
      </c>
      <c r="E35" s="399"/>
      <c r="F35" s="400"/>
    </row>
    <row r="36" spans="2:6" ht="14.25" customHeight="1" x14ac:dyDescent="0.35">
      <c r="B36" s="401"/>
      <c r="C36" s="403"/>
      <c r="D36" s="401"/>
      <c r="E36" s="402"/>
      <c r="F36" s="403"/>
    </row>
    <row r="38" spans="2:6" ht="14.25" customHeight="1" x14ac:dyDescent="0.35">
      <c r="B38" s="404" t="s">
        <v>437</v>
      </c>
      <c r="C38" s="400"/>
      <c r="D38" s="417" t="s">
        <v>438</v>
      </c>
      <c r="E38" s="399"/>
      <c r="F38" s="400"/>
    </row>
    <row r="39" spans="2:6" ht="14.25" customHeight="1" x14ac:dyDescent="0.35">
      <c r="B39" s="401"/>
      <c r="C39" s="403"/>
      <c r="D39" s="401"/>
      <c r="E39" s="402"/>
      <c r="F39" s="403"/>
    </row>
    <row r="41" spans="2:6" ht="14.25" customHeight="1" x14ac:dyDescent="0.35">
      <c r="B41" s="404" t="s">
        <v>439</v>
      </c>
      <c r="C41" s="400"/>
      <c r="D41" s="417" t="s">
        <v>440</v>
      </c>
      <c r="E41" s="399"/>
      <c r="F41" s="400"/>
    </row>
    <row r="42" spans="2:6" ht="14.25" customHeight="1" x14ac:dyDescent="0.35">
      <c r="B42" s="401"/>
      <c r="C42" s="403"/>
      <c r="D42" s="401"/>
      <c r="E42" s="402"/>
      <c r="F42" s="403"/>
    </row>
    <row r="44" spans="2:6" ht="14.25" customHeight="1" x14ac:dyDescent="0.35">
      <c r="B44" s="404" t="s">
        <v>441</v>
      </c>
      <c r="C44" s="400"/>
      <c r="D44" s="417" t="s">
        <v>442</v>
      </c>
      <c r="E44" s="399"/>
      <c r="F44" s="400"/>
    </row>
    <row r="45" spans="2:6" ht="14.25" customHeight="1" x14ac:dyDescent="0.35">
      <c r="B45" s="401"/>
      <c r="C45" s="403"/>
      <c r="D45" s="401"/>
      <c r="E45" s="402"/>
      <c r="F45" s="403"/>
    </row>
    <row r="47" spans="2:6" ht="14.25" customHeight="1" x14ac:dyDescent="0.35">
      <c r="B47" s="417" t="s">
        <v>443</v>
      </c>
      <c r="C47" s="399"/>
      <c r="D47" s="399"/>
      <c r="E47" s="399"/>
      <c r="F47" s="400"/>
    </row>
    <row r="48" spans="2:6" ht="14.25" customHeight="1" x14ac:dyDescent="0.35">
      <c r="B48" s="413"/>
      <c r="C48" s="315"/>
      <c r="D48" s="315"/>
      <c r="E48" s="315"/>
      <c r="F48" s="414"/>
    </row>
    <row r="49" spans="2:9" ht="14.25" customHeight="1" x14ac:dyDescent="0.35">
      <c r="B49" s="413"/>
      <c r="C49" s="315"/>
      <c r="D49" s="315"/>
      <c r="E49" s="315"/>
      <c r="F49" s="414"/>
    </row>
    <row r="50" spans="2:9" ht="14.25" customHeight="1" x14ac:dyDescent="0.35">
      <c r="B50" s="413"/>
      <c r="C50" s="315"/>
      <c r="D50" s="315"/>
      <c r="E50" s="315"/>
      <c r="F50" s="414"/>
    </row>
    <row r="51" spans="2:9" ht="14.25" customHeight="1" x14ac:dyDescent="0.35">
      <c r="B51" s="401"/>
      <c r="C51" s="402"/>
      <c r="D51" s="402"/>
      <c r="E51" s="402"/>
      <c r="F51" s="403"/>
    </row>
    <row r="54" spans="2:9" ht="14.25" customHeight="1" x14ac:dyDescent="0.35">
      <c r="I54" s="27"/>
    </row>
    <row r="56" spans="2:9" ht="14.25" customHeight="1" x14ac:dyDescent="0.35">
      <c r="B56" s="404" t="s">
        <v>444</v>
      </c>
      <c r="C56" s="400"/>
      <c r="D56" s="398" t="s">
        <v>445</v>
      </c>
      <c r="E56" s="399"/>
      <c r="F56" s="400"/>
    </row>
    <row r="57" spans="2:9" ht="14.25" customHeight="1" x14ac:dyDescent="0.35">
      <c r="B57" s="401"/>
      <c r="C57" s="403"/>
      <c r="D57" s="401"/>
      <c r="E57" s="402"/>
      <c r="F57" s="403"/>
    </row>
    <row r="58" spans="2:9" ht="14.25" customHeight="1" x14ac:dyDescent="0.35">
      <c r="B58" s="97"/>
      <c r="C58" s="97"/>
    </row>
    <row r="59" spans="2:9" ht="14.25" customHeight="1" x14ac:dyDescent="0.35">
      <c r="B59" s="404" t="s">
        <v>446</v>
      </c>
      <c r="C59" s="400"/>
      <c r="D59" s="398" t="s">
        <v>447</v>
      </c>
      <c r="E59" s="399"/>
      <c r="F59" s="400"/>
    </row>
    <row r="60" spans="2:9" ht="14.25" customHeight="1" x14ac:dyDescent="0.35">
      <c r="B60" s="401"/>
      <c r="C60" s="403"/>
      <c r="D60" s="401"/>
      <c r="E60" s="402"/>
      <c r="F60" s="403"/>
    </row>
    <row r="62" spans="2:9" ht="14.25" customHeight="1" x14ac:dyDescent="0.35">
      <c r="B62" s="98" t="s">
        <v>448</v>
      </c>
      <c r="C62" s="98" t="s">
        <v>449</v>
      </c>
      <c r="D62" s="415" t="s">
        <v>450</v>
      </c>
      <c r="E62" s="408"/>
      <c r="F62" s="415" t="s">
        <v>451</v>
      </c>
      <c r="G62" s="408"/>
      <c r="H62" s="98" t="s">
        <v>452</v>
      </c>
    </row>
    <row r="63" spans="2:9" ht="14.25" customHeight="1" x14ac:dyDescent="0.35">
      <c r="B63" s="99" t="s">
        <v>453</v>
      </c>
      <c r="C63" s="100">
        <v>5</v>
      </c>
      <c r="D63" s="407" t="s">
        <v>454</v>
      </c>
      <c r="E63" s="408"/>
      <c r="F63" s="407" t="s">
        <v>455</v>
      </c>
      <c r="G63" s="408"/>
      <c r="H63" s="102" t="s">
        <v>456</v>
      </c>
    </row>
    <row r="64" spans="2:9" ht="14.25" customHeight="1" x14ac:dyDescent="0.35">
      <c r="B64" s="103" t="s">
        <v>457</v>
      </c>
      <c r="C64" s="100">
        <v>4</v>
      </c>
      <c r="D64" s="407" t="s">
        <v>458</v>
      </c>
      <c r="E64" s="408"/>
      <c r="F64" s="407" t="s">
        <v>459</v>
      </c>
      <c r="G64" s="408"/>
      <c r="H64" s="102" t="s">
        <v>460</v>
      </c>
    </row>
    <row r="65" spans="2:13" ht="14.25" customHeight="1" x14ac:dyDescent="0.35">
      <c r="B65" s="104" t="s">
        <v>461</v>
      </c>
      <c r="C65" s="100">
        <v>3</v>
      </c>
      <c r="D65" s="407" t="s">
        <v>462</v>
      </c>
      <c r="E65" s="408"/>
      <c r="F65" s="407" t="s">
        <v>463</v>
      </c>
      <c r="G65" s="408"/>
      <c r="H65" s="102" t="s">
        <v>464</v>
      </c>
    </row>
    <row r="66" spans="2:13" ht="14.25" customHeight="1" x14ac:dyDescent="0.35">
      <c r="B66" s="105" t="s">
        <v>465</v>
      </c>
      <c r="C66" s="100">
        <v>2</v>
      </c>
      <c r="D66" s="407" t="s">
        <v>466</v>
      </c>
      <c r="E66" s="408"/>
      <c r="F66" s="407" t="s">
        <v>467</v>
      </c>
      <c r="G66" s="408"/>
      <c r="H66" s="102" t="s">
        <v>468</v>
      </c>
    </row>
    <row r="67" spans="2:13" ht="14.25" customHeight="1" x14ac:dyDescent="0.35">
      <c r="B67" s="106" t="s">
        <v>469</v>
      </c>
      <c r="C67" s="100">
        <v>1</v>
      </c>
      <c r="D67" s="407" t="s">
        <v>470</v>
      </c>
      <c r="E67" s="408"/>
      <c r="F67" s="407" t="s">
        <v>471</v>
      </c>
      <c r="G67" s="408"/>
      <c r="H67" s="102" t="s">
        <v>472</v>
      </c>
    </row>
    <row r="68" spans="2:13" ht="14.25" customHeight="1" x14ac:dyDescent="0.35">
      <c r="B68" s="107" t="s">
        <v>473</v>
      </c>
    </row>
    <row r="70" spans="2:13" ht="14.25" customHeight="1" x14ac:dyDescent="0.35">
      <c r="B70" s="98" t="s">
        <v>448</v>
      </c>
      <c r="C70" s="98" t="s">
        <v>449</v>
      </c>
      <c r="D70" s="415" t="s">
        <v>450</v>
      </c>
      <c r="E70" s="411"/>
      <c r="F70" s="411"/>
      <c r="G70" s="411"/>
      <c r="H70" s="408"/>
    </row>
    <row r="71" spans="2:13" ht="27.75" customHeight="1" x14ac:dyDescent="0.35">
      <c r="B71" s="99" t="s">
        <v>474</v>
      </c>
      <c r="C71" s="108">
        <v>5</v>
      </c>
      <c r="D71" s="410" t="s">
        <v>475</v>
      </c>
      <c r="E71" s="411"/>
      <c r="F71" s="411"/>
      <c r="G71" s="411"/>
      <c r="H71" s="408"/>
    </row>
    <row r="72" spans="2:13" ht="27.75" customHeight="1" x14ac:dyDescent="0.35">
      <c r="B72" s="109" t="s">
        <v>476</v>
      </c>
      <c r="C72" s="108">
        <v>4</v>
      </c>
      <c r="D72" s="410" t="s">
        <v>477</v>
      </c>
      <c r="E72" s="411"/>
      <c r="F72" s="411"/>
      <c r="G72" s="411"/>
      <c r="H72" s="408"/>
    </row>
    <row r="73" spans="2:13" ht="27.75" customHeight="1" x14ac:dyDescent="0.35">
      <c r="B73" s="110" t="s">
        <v>163</v>
      </c>
      <c r="C73" s="108">
        <v>3</v>
      </c>
      <c r="D73" s="410" t="s">
        <v>478</v>
      </c>
      <c r="E73" s="411"/>
      <c r="F73" s="411"/>
      <c r="G73" s="411"/>
      <c r="H73" s="408"/>
    </row>
    <row r="74" spans="2:13" ht="14.25" customHeight="1" x14ac:dyDescent="0.35">
      <c r="B74" s="105" t="s">
        <v>479</v>
      </c>
      <c r="C74" s="108">
        <v>2</v>
      </c>
      <c r="D74" s="410" t="s">
        <v>480</v>
      </c>
      <c r="E74" s="411"/>
      <c r="F74" s="411"/>
      <c r="G74" s="411"/>
      <c r="H74" s="408"/>
    </row>
    <row r="75" spans="2:13" ht="14.25" customHeight="1" x14ac:dyDescent="0.35">
      <c r="B75" s="111" t="s">
        <v>481</v>
      </c>
      <c r="C75" s="108">
        <v>1</v>
      </c>
      <c r="D75" s="410" t="s">
        <v>482</v>
      </c>
      <c r="E75" s="411"/>
      <c r="F75" s="411"/>
      <c r="G75" s="411"/>
      <c r="H75" s="408"/>
    </row>
    <row r="76" spans="2:13" ht="14.25" customHeight="1" x14ac:dyDescent="0.35">
      <c r="B76" s="112" t="s">
        <v>483</v>
      </c>
    </row>
    <row r="77" spans="2:13" ht="14.25" customHeight="1" x14ac:dyDescent="0.35">
      <c r="B77" s="424" t="s">
        <v>484</v>
      </c>
      <c r="C77" s="315"/>
      <c r="D77" s="315"/>
      <c r="E77" s="315"/>
      <c r="F77" s="315"/>
      <c r="G77" s="315"/>
      <c r="H77" s="315"/>
      <c r="I77" s="315"/>
    </row>
    <row r="79" spans="2:13" ht="14.25" customHeight="1" x14ac:dyDescent="0.35">
      <c r="B79" s="425" t="s">
        <v>444</v>
      </c>
      <c r="C79" s="113" t="s">
        <v>453</v>
      </c>
      <c r="D79" s="113">
        <v>5</v>
      </c>
      <c r="E79" s="114">
        <v>11</v>
      </c>
      <c r="F79" s="115">
        <v>16</v>
      </c>
      <c r="G79" s="116">
        <v>20</v>
      </c>
      <c r="H79" s="116">
        <v>23</v>
      </c>
      <c r="I79" s="116">
        <v>25</v>
      </c>
      <c r="K79" s="428"/>
      <c r="L79" s="117"/>
      <c r="M79" s="117"/>
    </row>
    <row r="80" spans="2:13" ht="14.25" customHeight="1" x14ac:dyDescent="0.35">
      <c r="B80" s="426"/>
      <c r="C80" s="113" t="s">
        <v>457</v>
      </c>
      <c r="D80" s="113">
        <v>4</v>
      </c>
      <c r="E80" s="114">
        <v>7</v>
      </c>
      <c r="F80" s="115">
        <v>12</v>
      </c>
      <c r="G80" s="115">
        <v>17</v>
      </c>
      <c r="H80" s="116">
        <v>21</v>
      </c>
      <c r="I80" s="116">
        <v>24</v>
      </c>
      <c r="K80" s="315"/>
      <c r="L80" s="117"/>
      <c r="M80" s="117"/>
    </row>
    <row r="81" spans="2:13" ht="14.25" customHeight="1" x14ac:dyDescent="0.35">
      <c r="B81" s="426"/>
      <c r="C81" s="113" t="s">
        <v>461</v>
      </c>
      <c r="D81" s="113">
        <v>3</v>
      </c>
      <c r="E81" s="118">
        <v>4</v>
      </c>
      <c r="F81" s="114">
        <v>8</v>
      </c>
      <c r="G81" s="115">
        <v>13</v>
      </c>
      <c r="H81" s="115">
        <v>18</v>
      </c>
      <c r="I81" s="116">
        <v>22</v>
      </c>
      <c r="K81" s="315"/>
      <c r="L81" s="117"/>
      <c r="M81" s="117"/>
    </row>
    <row r="82" spans="2:13" ht="14.25" customHeight="1" x14ac:dyDescent="0.35">
      <c r="B82" s="426"/>
      <c r="C82" s="113" t="s">
        <v>465</v>
      </c>
      <c r="D82" s="113">
        <v>2</v>
      </c>
      <c r="E82" s="118">
        <v>2</v>
      </c>
      <c r="F82" s="118">
        <v>5</v>
      </c>
      <c r="G82" s="114">
        <v>9</v>
      </c>
      <c r="H82" s="115">
        <v>14</v>
      </c>
      <c r="I82" s="115">
        <v>19</v>
      </c>
      <c r="K82" s="315"/>
      <c r="L82" s="117"/>
      <c r="M82" s="117"/>
    </row>
    <row r="83" spans="2:13" ht="14.25" customHeight="1" x14ac:dyDescent="0.35">
      <c r="B83" s="427"/>
      <c r="C83" s="113" t="s">
        <v>469</v>
      </c>
      <c r="D83" s="113">
        <v>1</v>
      </c>
      <c r="E83" s="118">
        <v>1</v>
      </c>
      <c r="F83" s="118">
        <v>3</v>
      </c>
      <c r="G83" s="118">
        <v>6</v>
      </c>
      <c r="H83" s="114">
        <v>10</v>
      </c>
      <c r="I83" s="115">
        <v>15</v>
      </c>
      <c r="K83" s="315"/>
      <c r="L83" s="117"/>
      <c r="M83" s="117"/>
    </row>
    <row r="84" spans="2:13" ht="14.25" customHeight="1" x14ac:dyDescent="0.35">
      <c r="B84" s="412" t="s">
        <v>485</v>
      </c>
      <c r="C84" s="399"/>
      <c r="D84" s="400"/>
      <c r="E84" s="113">
        <v>1</v>
      </c>
      <c r="F84" s="113">
        <v>2</v>
      </c>
      <c r="G84" s="113">
        <v>3</v>
      </c>
      <c r="H84" s="113">
        <v>4</v>
      </c>
      <c r="I84" s="113">
        <v>5</v>
      </c>
      <c r="K84" s="423"/>
      <c r="L84" s="315"/>
      <c r="M84" s="315"/>
    </row>
    <row r="85" spans="2:13" ht="14.25" customHeight="1" x14ac:dyDescent="0.35">
      <c r="B85" s="413"/>
      <c r="C85" s="315"/>
      <c r="D85" s="414"/>
      <c r="E85" s="113" t="s">
        <v>481</v>
      </c>
      <c r="F85" s="113" t="s">
        <v>479</v>
      </c>
      <c r="G85" s="113" t="s">
        <v>163</v>
      </c>
      <c r="H85" s="113" t="s">
        <v>476</v>
      </c>
      <c r="I85" s="113" t="s">
        <v>474</v>
      </c>
      <c r="K85" s="315"/>
      <c r="L85" s="315"/>
      <c r="M85" s="315"/>
    </row>
    <row r="86" spans="2:13" ht="14.25" customHeight="1" x14ac:dyDescent="0.35">
      <c r="B86" s="401"/>
      <c r="C86" s="402"/>
      <c r="D86" s="403"/>
      <c r="E86" s="416" t="s">
        <v>446</v>
      </c>
      <c r="F86" s="411"/>
      <c r="G86" s="411"/>
      <c r="H86" s="411"/>
      <c r="I86" s="408"/>
      <c r="K86" s="315"/>
      <c r="L86" s="315"/>
      <c r="M86" s="315"/>
    </row>
    <row r="88" spans="2:13" ht="14.25" customHeight="1" x14ac:dyDescent="0.35">
      <c r="B88" s="412" t="s">
        <v>486</v>
      </c>
      <c r="C88" s="408"/>
      <c r="D88" s="98" t="s">
        <v>487</v>
      </c>
      <c r="E88" s="120"/>
      <c r="F88" s="107"/>
      <c r="G88" s="107"/>
      <c r="K88" s="423"/>
      <c r="L88" s="315"/>
      <c r="M88" s="119"/>
    </row>
    <row r="89" spans="2:13" ht="14.25" customHeight="1" x14ac:dyDescent="0.35">
      <c r="B89" s="430" t="s">
        <v>476</v>
      </c>
      <c r="C89" s="408"/>
      <c r="D89" s="121" t="s">
        <v>488</v>
      </c>
      <c r="E89" s="122"/>
      <c r="F89" s="123"/>
      <c r="G89" s="107"/>
      <c r="K89" s="419"/>
      <c r="L89" s="315"/>
      <c r="M89" s="124"/>
    </row>
    <row r="90" spans="2:13" ht="14.25" customHeight="1" x14ac:dyDescent="0.35">
      <c r="B90" s="429" t="s">
        <v>489</v>
      </c>
      <c r="C90" s="408"/>
      <c r="D90" s="121" t="s">
        <v>490</v>
      </c>
      <c r="E90" s="122"/>
      <c r="F90" s="123"/>
      <c r="G90" s="107"/>
      <c r="K90" s="420"/>
      <c r="L90" s="315"/>
      <c r="M90" s="124"/>
    </row>
    <row r="91" spans="2:13" ht="14.25" customHeight="1" x14ac:dyDescent="0.35">
      <c r="B91" s="421" t="s">
        <v>491</v>
      </c>
      <c r="C91" s="408"/>
      <c r="D91" s="125" t="s">
        <v>492</v>
      </c>
      <c r="E91" s="126"/>
      <c r="F91" s="123"/>
      <c r="G91" s="107"/>
      <c r="K91" s="420"/>
      <c r="L91" s="315"/>
      <c r="M91" s="124"/>
    </row>
    <row r="92" spans="2:13" ht="14.25" customHeight="1" x14ac:dyDescent="0.35">
      <c r="B92" s="418" t="s">
        <v>198</v>
      </c>
      <c r="C92" s="408"/>
      <c r="D92" s="125" t="s">
        <v>493</v>
      </c>
      <c r="E92" s="126"/>
      <c r="F92" s="123"/>
      <c r="G92" s="107"/>
      <c r="K92" s="422"/>
      <c r="L92" s="315"/>
      <c r="M92" s="124"/>
    </row>
    <row r="97" spans="2:10" ht="28.5" customHeight="1" x14ac:dyDescent="0.35">
      <c r="B97" s="96" t="s">
        <v>494</v>
      </c>
      <c r="C97" s="96" t="s">
        <v>495</v>
      </c>
      <c r="D97" s="127" t="s">
        <v>197</v>
      </c>
      <c r="E97" s="127" t="s">
        <v>496</v>
      </c>
      <c r="F97" s="127" t="s">
        <v>200</v>
      </c>
      <c r="G97" s="127" t="s">
        <v>497</v>
      </c>
      <c r="H97" s="127" t="s">
        <v>203</v>
      </c>
      <c r="I97" s="127" t="s">
        <v>204</v>
      </c>
      <c r="J97" s="127" t="s">
        <v>205</v>
      </c>
    </row>
    <row r="98" spans="2:10" ht="14.25" customHeight="1" x14ac:dyDescent="0.35">
      <c r="B98" s="404" t="s">
        <v>498</v>
      </c>
      <c r="C98" s="408"/>
      <c r="D98" s="127" t="s">
        <v>198</v>
      </c>
      <c r="E98" s="127" t="s">
        <v>198</v>
      </c>
      <c r="F98" s="127" t="s">
        <v>201</v>
      </c>
      <c r="G98" s="127" t="s">
        <v>201</v>
      </c>
      <c r="H98" s="127" t="s">
        <v>198</v>
      </c>
      <c r="I98" s="127" t="s">
        <v>201</v>
      </c>
      <c r="J98" s="127" t="s">
        <v>198</v>
      </c>
    </row>
    <row r="99" spans="2:10" ht="377.25" customHeight="1" x14ac:dyDescent="0.35">
      <c r="B99" s="128">
        <v>5</v>
      </c>
      <c r="C99" s="128" t="s">
        <v>474</v>
      </c>
      <c r="D99" s="101" t="s">
        <v>499</v>
      </c>
      <c r="E99" s="101" t="s">
        <v>500</v>
      </c>
      <c r="F99" s="101" t="s">
        <v>501</v>
      </c>
      <c r="G99" s="101" t="s">
        <v>502</v>
      </c>
      <c r="H99" s="101" t="s">
        <v>503</v>
      </c>
      <c r="I99" s="101" t="s">
        <v>504</v>
      </c>
      <c r="J99" s="101" t="s">
        <v>505</v>
      </c>
    </row>
    <row r="100" spans="2:10" ht="319" customHeight="1" x14ac:dyDescent="0.35">
      <c r="B100" s="128">
        <v>4</v>
      </c>
      <c r="C100" s="128" t="s">
        <v>476</v>
      </c>
      <c r="D100" s="101" t="s">
        <v>506</v>
      </c>
      <c r="E100" s="101" t="s">
        <v>507</v>
      </c>
      <c r="F100" s="101" t="s">
        <v>508</v>
      </c>
      <c r="G100" s="101" t="s">
        <v>509</v>
      </c>
      <c r="H100" s="101" t="s">
        <v>510</v>
      </c>
      <c r="I100" s="101" t="s">
        <v>511</v>
      </c>
      <c r="J100" s="101" t="s">
        <v>512</v>
      </c>
    </row>
    <row r="101" spans="2:10" ht="304.5" customHeight="1" x14ac:dyDescent="0.35">
      <c r="B101" s="128">
        <v>3</v>
      </c>
      <c r="C101" s="128" t="s">
        <v>163</v>
      </c>
      <c r="D101" s="101" t="s">
        <v>513</v>
      </c>
      <c r="E101" s="101" t="s">
        <v>514</v>
      </c>
      <c r="F101" s="101" t="s">
        <v>515</v>
      </c>
      <c r="G101" s="101" t="s">
        <v>516</v>
      </c>
      <c r="H101" s="101" t="s">
        <v>517</v>
      </c>
      <c r="I101" s="101" t="s">
        <v>518</v>
      </c>
      <c r="J101" s="101" t="s">
        <v>519</v>
      </c>
    </row>
    <row r="102" spans="2:10" ht="261" customHeight="1" x14ac:dyDescent="0.35">
      <c r="B102" s="128">
        <v>2</v>
      </c>
      <c r="C102" s="128" t="s">
        <v>479</v>
      </c>
      <c r="D102" s="101" t="s">
        <v>520</v>
      </c>
      <c r="E102" s="101" t="s">
        <v>521</v>
      </c>
      <c r="F102" s="101" t="s">
        <v>522</v>
      </c>
      <c r="G102" s="101" t="s">
        <v>523</v>
      </c>
      <c r="H102" s="101" t="s">
        <v>524</v>
      </c>
      <c r="I102" s="101" t="s">
        <v>525</v>
      </c>
      <c r="J102" s="101" t="s">
        <v>526</v>
      </c>
    </row>
    <row r="103" spans="2:10" ht="188.5" customHeight="1" x14ac:dyDescent="0.35">
      <c r="B103" s="128">
        <v>1</v>
      </c>
      <c r="C103" s="128" t="s">
        <v>481</v>
      </c>
      <c r="D103" s="101" t="s">
        <v>527</v>
      </c>
      <c r="E103" s="101" t="s">
        <v>528</v>
      </c>
      <c r="F103" s="101" t="s">
        <v>529</v>
      </c>
      <c r="G103" s="101" t="s">
        <v>530</v>
      </c>
      <c r="H103" s="101" t="s">
        <v>531</v>
      </c>
      <c r="I103" s="101" t="s">
        <v>532</v>
      </c>
      <c r="J103" s="101" t="s">
        <v>533</v>
      </c>
    </row>
    <row r="108" spans="2:10" ht="14.25" customHeight="1" x14ac:dyDescent="0.35">
      <c r="B108" s="404" t="s">
        <v>534</v>
      </c>
      <c r="C108" s="400"/>
      <c r="D108" s="398" t="s">
        <v>535</v>
      </c>
      <c r="E108" s="399"/>
      <c r="F108" s="400"/>
    </row>
    <row r="109" spans="2:10" ht="14.25" customHeight="1" x14ac:dyDescent="0.35">
      <c r="B109" s="401"/>
      <c r="C109" s="403"/>
      <c r="D109" s="401"/>
      <c r="E109" s="402"/>
      <c r="F109" s="403"/>
    </row>
    <row r="110" spans="2:10" ht="14.25" customHeight="1" x14ac:dyDescent="0.35">
      <c r="B110" s="97"/>
      <c r="C110" s="97"/>
    </row>
    <row r="111" spans="2:10" ht="14.25" customHeight="1" x14ac:dyDescent="0.35">
      <c r="B111" s="404" t="s">
        <v>536</v>
      </c>
      <c r="C111" s="400"/>
      <c r="D111" s="398" t="s">
        <v>537</v>
      </c>
      <c r="E111" s="399"/>
      <c r="F111" s="400"/>
    </row>
    <row r="112" spans="2:10" ht="14.25" customHeight="1" x14ac:dyDescent="0.35">
      <c r="B112" s="401"/>
      <c r="C112" s="403"/>
      <c r="D112" s="401"/>
      <c r="E112" s="402"/>
      <c r="F112" s="403"/>
    </row>
    <row r="113" spans="2:6" ht="14.25" customHeight="1" x14ac:dyDescent="0.35">
      <c r="B113" s="97"/>
      <c r="C113" s="97"/>
    </row>
    <row r="114" spans="2:6" ht="14.25" customHeight="1" x14ac:dyDescent="0.35">
      <c r="B114" s="404" t="s">
        <v>538</v>
      </c>
      <c r="C114" s="400"/>
      <c r="D114" s="398" t="s">
        <v>539</v>
      </c>
      <c r="E114" s="399"/>
      <c r="F114" s="400"/>
    </row>
    <row r="115" spans="2:6" ht="14.25" customHeight="1" x14ac:dyDescent="0.35">
      <c r="B115" s="401"/>
      <c r="C115" s="403"/>
      <c r="D115" s="401"/>
      <c r="E115" s="402"/>
      <c r="F115" s="403"/>
    </row>
    <row r="116" spans="2:6" ht="14.25" customHeight="1" x14ac:dyDescent="0.35">
      <c r="B116" s="97"/>
      <c r="C116" s="97"/>
    </row>
    <row r="117" spans="2:6" ht="14.25" customHeight="1" x14ac:dyDescent="0.35">
      <c r="B117" s="404" t="s">
        <v>540</v>
      </c>
      <c r="C117" s="400"/>
      <c r="D117" s="398" t="s">
        <v>541</v>
      </c>
      <c r="E117" s="399"/>
      <c r="F117" s="400"/>
    </row>
    <row r="118" spans="2:6" ht="14.25" customHeight="1" x14ac:dyDescent="0.35">
      <c r="B118" s="401"/>
      <c r="C118" s="403"/>
      <c r="D118" s="401"/>
      <c r="E118" s="402"/>
      <c r="F118" s="403"/>
    </row>
  </sheetData>
  <mergeCells count="76">
    <mergeCell ref="D20:F21"/>
    <mergeCell ref="D14:F15"/>
    <mergeCell ref="D29:F30"/>
    <mergeCell ref="B90:C90"/>
    <mergeCell ref="D63:E63"/>
    <mergeCell ref="B44:C45"/>
    <mergeCell ref="D23:F24"/>
    <mergeCell ref="D17:F18"/>
    <mergeCell ref="B89:C89"/>
    <mergeCell ref="D26:F27"/>
    <mergeCell ref="D65:E65"/>
    <mergeCell ref="D35:F36"/>
    <mergeCell ref="B20:C21"/>
    <mergeCell ref="B32:C33"/>
    <mergeCell ref="K88:L88"/>
    <mergeCell ref="D38:F39"/>
    <mergeCell ref="K84:M86"/>
    <mergeCell ref="B47:F51"/>
    <mergeCell ref="D44:F45"/>
    <mergeCell ref="D59:F60"/>
    <mergeCell ref="B77:I77"/>
    <mergeCell ref="D56:F57"/>
    <mergeCell ref="B79:B83"/>
    <mergeCell ref="K79:K83"/>
    <mergeCell ref="D41:F42"/>
    <mergeCell ref="F67:G67"/>
    <mergeCell ref="D74:H74"/>
    <mergeCell ref="D67:E67"/>
    <mergeCell ref="B92:C92"/>
    <mergeCell ref="D114:F115"/>
    <mergeCell ref="F63:G63"/>
    <mergeCell ref="F65:G65"/>
    <mergeCell ref="K89:L89"/>
    <mergeCell ref="K91:L91"/>
    <mergeCell ref="B98:C98"/>
    <mergeCell ref="B91:C91"/>
    <mergeCell ref="K92:L92"/>
    <mergeCell ref="B108:C109"/>
    <mergeCell ref="K90:L90"/>
    <mergeCell ref="B114:C115"/>
    <mergeCell ref="D66:E66"/>
    <mergeCell ref="B88:C88"/>
    <mergeCell ref="D70:H70"/>
    <mergeCell ref="F66:G66"/>
    <mergeCell ref="D11:F12"/>
    <mergeCell ref="D75:H75"/>
    <mergeCell ref="B84:D86"/>
    <mergeCell ref="D111:F112"/>
    <mergeCell ref="F62:G62"/>
    <mergeCell ref="B56:C57"/>
    <mergeCell ref="D72:H72"/>
    <mergeCell ref="B41:C42"/>
    <mergeCell ref="B59:C60"/>
    <mergeCell ref="E86:I86"/>
    <mergeCell ref="D32:F33"/>
    <mergeCell ref="B35:C36"/>
    <mergeCell ref="B26:C27"/>
    <mergeCell ref="D62:E62"/>
    <mergeCell ref="D71:H71"/>
    <mergeCell ref="D108:F109"/>
    <mergeCell ref="D117:F118"/>
    <mergeCell ref="B117:C118"/>
    <mergeCell ref="B2:F5"/>
    <mergeCell ref="B29:C30"/>
    <mergeCell ref="B111:C112"/>
    <mergeCell ref="B23:C24"/>
    <mergeCell ref="B38:C39"/>
    <mergeCell ref="B14:C15"/>
    <mergeCell ref="D8:F9"/>
    <mergeCell ref="F64:G64"/>
    <mergeCell ref="B8:C9"/>
    <mergeCell ref="B6:F6"/>
    <mergeCell ref="B17:C18"/>
    <mergeCell ref="D64:E64"/>
    <mergeCell ref="D73:H73"/>
    <mergeCell ref="B11:C12"/>
  </mergeCells>
  <pageMargins left="0.7" right="0.7" top="0.75" bottom="0.75" header="0.511811023622047" footer="0.51180555555555596"/>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K46"/>
  <sheetViews>
    <sheetView zoomScale="109" workbookViewId="0">
      <selection activeCell="F30" sqref="A1:XFD1048576"/>
    </sheetView>
  </sheetViews>
  <sheetFormatPr defaultRowHeight="14.5" x14ac:dyDescent="0.35"/>
  <cols>
    <col min="5" max="5" width="19.453125" bestFit="1" customWidth="1"/>
    <col min="6" max="6" width="19.453125" customWidth="1"/>
    <col min="7" max="8" width="30" customWidth="1"/>
  </cols>
  <sheetData>
    <row r="1" spans="1:11" ht="26.25" customHeight="1" x14ac:dyDescent="0.35">
      <c r="A1" s="6" t="s">
        <v>252</v>
      </c>
      <c r="B1" s="6" t="str">
        <f>IF('04. Products &amp; Services'!B5="","",'04. Products &amp; Services'!B5)</f>
        <v>P&amp;S ID</v>
      </c>
      <c r="C1" s="6" t="str">
        <f>VLOOKUP(B1,'04. Products &amp; Services'!$B$5:$M$50,2,0)</f>
        <v>Business Unit</v>
      </c>
      <c r="D1" s="6" t="str">
        <f>VLOOKUP(B1,'04. Products &amp; Services'!$B$5:$M$50,3,0)</f>
        <v>Division / Site</v>
      </c>
      <c r="E1" s="6" t="str">
        <f>VLOOKUP(B1,'04. Products &amp; Services'!$B$5:$M$50,4,0)</f>
        <v>Product / Service</v>
      </c>
      <c r="F1" s="6" t="str">
        <f>VLOOKUP(B1,'04. Products &amp; Services'!$B$5:$M$50,10,0)</f>
        <v>Corporate MBCO (if provided)</v>
      </c>
      <c r="G1" s="6" t="str">
        <f>VLOOKUP(B1,'04. Products &amp; Services'!$B$5:$M$50,11,0)</f>
        <v>Corporate MTPD (if provided)</v>
      </c>
      <c r="H1" s="6" t="s">
        <v>253</v>
      </c>
      <c r="I1" s="6" t="s">
        <v>254</v>
      </c>
      <c r="J1" s="36" t="s">
        <v>255</v>
      </c>
      <c r="K1" s="36" t="s">
        <v>256</v>
      </c>
    </row>
    <row r="2" spans="1:11" x14ac:dyDescent="0.35">
      <c r="A2">
        <v>1</v>
      </c>
      <c r="B2" t="str" cm="1">
        <f t="array" ref="B2">_xlfn._xlws.FILTER('04. Products &amp; Services'!$B$6:$B$50,'04. Products &amp; Services'!$I$6:$I$50="Yes","")</f>
        <v>PS-001</v>
      </c>
      <c r="C2" t="str">
        <f>IF($B2="","",IFERROR(VLOOKUP($B2,'04. Products &amp; Services'!$B$5:$M$50,2,FALSE),""))</f>
        <v>ss</v>
      </c>
      <c r="D2" t="str">
        <f>IF($B2="","",IFERROR(VLOOKUP($B2,'04. Products &amp; Services'!$B$5:$M$50,3,FALSE),""))</f>
        <v>hr</v>
      </c>
      <c r="E2" t="str">
        <f>IF($B2="","",IFERROR(VLOOKUP($B2,'04. Products &amp; Services'!$B$5:$M$50,4,FALSE),""))</f>
        <v>cb</v>
      </c>
      <c r="F2" t="str">
        <f>IF($B2="","",IFERROR(VLOOKUP($B2,'04. Products &amp; Services'!$B$5:$M$50,10,FALSE),""))</f>
        <v>fill this with the MBCO</v>
      </c>
      <c r="G2">
        <f>IF($B2="","",IFERROR(VLOOKUP($B2,'04. Products &amp; Services'!$B$5:$M$50,11,FALSE),""))</f>
        <v>0</v>
      </c>
      <c r="I2">
        <f>IF($B2="","",IFERROR(VLOOKUP($B2,'07. BIA'!$F$4:$AA$285,22,FALSE),""))</f>
        <v>6</v>
      </c>
      <c r="J2">
        <f>IF($B2="","",IFERROR(VLOOKUP($B2,'08. Dependency Register'!$E$4:$M$204,7,FALSE),""))</f>
        <v>0</v>
      </c>
      <c r="K2">
        <f>IF($B2="","",IFERROR(VLOOKUP($B2,'08. Dependency Register'!$E$4:$M$204,8,FALSE),""))</f>
        <v>0</v>
      </c>
    </row>
    <row r="3" spans="1:11" x14ac:dyDescent="0.35">
      <c r="A3">
        <v>2</v>
      </c>
      <c r="C3" t="str">
        <f>IF($B3="","",IFERROR(VLOOKUP($B3,'04. Products &amp; Services'!$B$5:$M$50,2,FALSE),""))</f>
        <v/>
      </c>
      <c r="D3" t="str">
        <f>IF($B3="","",IFERROR(VLOOKUP($B3,'04. Products &amp; Services'!$B$5:$M$50,3,FALSE),""))</f>
        <v/>
      </c>
      <c r="E3" t="str">
        <f>IF($B3="","",IFERROR(VLOOKUP($B3,'04. Products &amp; Services'!$B$5:$M$50,4,FALSE),""))</f>
        <v/>
      </c>
      <c r="F3" t="str">
        <f>IF($B3="","",IFERROR(VLOOKUP($B3,'04. Products &amp; Services'!$B$5:$M$50,10,FALSE),""))</f>
        <v/>
      </c>
      <c r="G3" t="str">
        <f>IF($B3="","",IFERROR(VLOOKUP($B3,'04. Products &amp; Services'!$B$5:$M$50,11,FALSE),""))</f>
        <v/>
      </c>
      <c r="I3" t="str">
        <f>IF($B3="","",IFERROR(VLOOKUP($B3,'07. BIA'!$F$4:$AA$285,22,FALSE),""))</f>
        <v/>
      </c>
      <c r="J3" t="str">
        <f>IF($B3="","",IFERROR(VLOOKUP($B3,'08. Dependency Register'!$E$4:$M$204,7,FALSE),""))</f>
        <v/>
      </c>
      <c r="K3" t="str">
        <f>IF($B3="","",IFERROR(VLOOKUP($B3,'08. Dependency Register'!$E$4:$M$204,8,FALSE),""))</f>
        <v/>
      </c>
    </row>
    <row r="4" spans="1:11" x14ac:dyDescent="0.35">
      <c r="A4">
        <v>3</v>
      </c>
      <c r="C4" t="str">
        <f>IF($B4="","",IFERROR(VLOOKUP($B4,'04. Products &amp; Services'!$B$5:$M$50,2,FALSE),""))</f>
        <v/>
      </c>
      <c r="D4" t="str">
        <f>IF($B4="","",IFERROR(VLOOKUP($B4,'04. Products &amp; Services'!$B$5:$M$50,3,FALSE),""))</f>
        <v/>
      </c>
      <c r="E4" t="str">
        <f>IF($B4="","",IFERROR(VLOOKUP($B4,'04. Products &amp; Services'!$B$5:$M$50,4,FALSE),""))</f>
        <v/>
      </c>
      <c r="F4" t="str">
        <f>IF($B4="","",IFERROR(VLOOKUP($B4,'04. Products &amp; Services'!$B$5:$M$50,10,FALSE),""))</f>
        <v/>
      </c>
      <c r="G4" t="str">
        <f>IF($B4="","",IFERROR(VLOOKUP($B4,'04. Products &amp; Services'!$B$5:$M$50,11,FALSE),""))</f>
        <v/>
      </c>
      <c r="I4" t="str">
        <f>IF($B4="","",IFERROR(VLOOKUP($B4,'07. BIA'!$F$4:$AA$285,22,FALSE),""))</f>
        <v/>
      </c>
      <c r="J4" t="str">
        <f>IF($B4="","",IFERROR(VLOOKUP($B4,'08. Dependency Register'!$E$4:$M$204,7,FALSE),""))</f>
        <v/>
      </c>
      <c r="K4" t="str">
        <f>IF($B4="","",IFERROR(VLOOKUP($B4,'08. Dependency Register'!$E$4:$M$204,8,FALSE),""))</f>
        <v/>
      </c>
    </row>
    <row r="5" spans="1:11" x14ac:dyDescent="0.35">
      <c r="A5">
        <v>4</v>
      </c>
      <c r="C5" t="str">
        <f>IF($B5="","",IFERROR(VLOOKUP($B5,'04. Products &amp; Services'!$B$5:$M$50,2,FALSE),""))</f>
        <v/>
      </c>
      <c r="D5" t="str">
        <f>IF($B5="","",IFERROR(VLOOKUP($B5,'04. Products &amp; Services'!$B$5:$M$50,3,FALSE),""))</f>
        <v/>
      </c>
      <c r="E5" t="str">
        <f>IF($B5="","",IFERROR(VLOOKUP($B5,'04. Products &amp; Services'!$B$5:$M$50,4,FALSE),""))</f>
        <v/>
      </c>
      <c r="F5" t="str">
        <f>IF($B5="","",IFERROR(VLOOKUP($B5,'04. Products &amp; Services'!$B$5:$M$50,10,FALSE),""))</f>
        <v/>
      </c>
      <c r="G5" t="str">
        <f>IF($B5="","",IFERROR(VLOOKUP($B5,'04. Products &amp; Services'!$B$5:$M$50,11,FALSE),""))</f>
        <v/>
      </c>
      <c r="I5" t="str">
        <f>IF($B5="","",IFERROR(VLOOKUP($B5,'07. BIA'!$F$4:$AA$285,22,FALSE),""))</f>
        <v/>
      </c>
      <c r="J5" t="str">
        <f>IF($B5="","",IFERROR(VLOOKUP($B5,'08. Dependency Register'!$E$4:$M$204,7,FALSE),""))</f>
        <v/>
      </c>
      <c r="K5" t="str">
        <f>IF($B5="","",IFERROR(VLOOKUP($B5,'08. Dependency Register'!$E$4:$M$204,8,FALSE),""))</f>
        <v/>
      </c>
    </row>
    <row r="6" spans="1:11" x14ac:dyDescent="0.35">
      <c r="A6">
        <v>5</v>
      </c>
      <c r="C6" t="str">
        <f>IF($B6="","",IFERROR(VLOOKUP($B6,'04. Products &amp; Services'!$B$5:$M$50,2,FALSE),""))</f>
        <v/>
      </c>
      <c r="D6" t="str">
        <f>IF($B6="","",IFERROR(VLOOKUP($B6,'04. Products &amp; Services'!$B$5:$M$50,3,FALSE),""))</f>
        <v/>
      </c>
      <c r="E6" t="str">
        <f>IF($B6="","",IFERROR(VLOOKUP($B6,'04. Products &amp; Services'!$B$5:$M$50,4,FALSE),""))</f>
        <v/>
      </c>
      <c r="F6" t="str">
        <f>IF($B6="","",IFERROR(VLOOKUP($B6,'04. Products &amp; Services'!$B$5:$M$50,10,FALSE),""))</f>
        <v/>
      </c>
      <c r="G6" t="str">
        <f>IF($B6="","",IFERROR(VLOOKUP($B6,'04. Products &amp; Services'!$B$5:$M$50,11,FALSE),""))</f>
        <v/>
      </c>
      <c r="I6" t="str">
        <f>IF($B6="","",IFERROR(VLOOKUP($B6,'07. BIA'!$F$4:$AA$285,22,FALSE),""))</f>
        <v/>
      </c>
      <c r="J6" t="str">
        <f>IF($B6="","",IFERROR(VLOOKUP($B6,'08. Dependency Register'!$E$4:$M$204,7,FALSE),""))</f>
        <v/>
      </c>
      <c r="K6" t="str">
        <f>IF($B6="","",IFERROR(VLOOKUP($B6,'08. Dependency Register'!$E$4:$M$204,8,FALSE),""))</f>
        <v/>
      </c>
    </row>
    <row r="7" spans="1:11" x14ac:dyDescent="0.35">
      <c r="A7">
        <v>6</v>
      </c>
      <c r="C7" t="str">
        <f>IF($B7="","",IFERROR(VLOOKUP($B7,'04. Products &amp; Services'!$B$5:$M$50,2,FALSE),""))</f>
        <v/>
      </c>
      <c r="D7" t="str">
        <f>IF($B7="","",IFERROR(VLOOKUP($B7,'04. Products &amp; Services'!$B$5:$M$50,3,FALSE),""))</f>
        <v/>
      </c>
      <c r="E7" t="str">
        <f>IF($B7="","",IFERROR(VLOOKUP($B7,'04. Products &amp; Services'!$B$5:$M$50,4,FALSE),""))</f>
        <v/>
      </c>
      <c r="F7" t="str">
        <f>IF($B7="","",IFERROR(VLOOKUP($B7,'04. Products &amp; Services'!$B$5:$M$50,10,FALSE),""))</f>
        <v/>
      </c>
      <c r="G7" t="str">
        <f>IF($B7="","",IFERROR(VLOOKUP($B7,'04. Products &amp; Services'!$B$5:$M$50,11,FALSE),""))</f>
        <v/>
      </c>
      <c r="I7" t="str">
        <f>IF($B7="","",IFERROR(VLOOKUP($B7,'07. BIA'!$F$4:$AA$285,22,FALSE),""))</f>
        <v/>
      </c>
      <c r="J7" t="str">
        <f>IF($B7="","",IFERROR(VLOOKUP($B7,'08. Dependency Register'!$E$4:$M$204,7,FALSE),""))</f>
        <v/>
      </c>
      <c r="K7" t="str">
        <f>IF($B7="","",IFERROR(VLOOKUP($B7,'08. Dependency Register'!$E$4:$M$204,8,FALSE),""))</f>
        <v/>
      </c>
    </row>
    <row r="8" spans="1:11" x14ac:dyDescent="0.35">
      <c r="A8">
        <v>7</v>
      </c>
      <c r="C8" t="str">
        <f>IF($B8="","",IFERROR(VLOOKUP($B8,'04. Products &amp; Services'!$B$5:$M$50,2,FALSE),""))</f>
        <v/>
      </c>
      <c r="D8" t="str">
        <f>IF($B8="","",IFERROR(VLOOKUP($B8,'04. Products &amp; Services'!$B$5:$M$50,3,FALSE),""))</f>
        <v/>
      </c>
      <c r="E8" t="str">
        <f>IF($B8="","",IFERROR(VLOOKUP($B8,'04. Products &amp; Services'!$B$5:$M$50,4,FALSE),""))</f>
        <v/>
      </c>
      <c r="F8" t="str">
        <f>IF($B8="","",IFERROR(VLOOKUP($B8,'04. Products &amp; Services'!$B$5:$M$50,10,FALSE),""))</f>
        <v/>
      </c>
      <c r="G8" t="str">
        <f>IF($B8="","",IFERROR(VLOOKUP($B8,'04. Products &amp; Services'!$B$5:$M$50,11,FALSE),""))</f>
        <v/>
      </c>
      <c r="I8" t="str">
        <f>IF($B8="","",IFERROR(VLOOKUP($B8,'07. BIA'!$F$4:$AA$285,22,FALSE),""))</f>
        <v/>
      </c>
      <c r="J8" t="str">
        <f>IF($B8="","",IFERROR(VLOOKUP($B8,'08. Dependency Register'!$E$4:$M$204,7,FALSE),""))</f>
        <v/>
      </c>
      <c r="K8" t="str">
        <f>IF($B8="","",IFERROR(VLOOKUP($B8,'08. Dependency Register'!$E$4:$M$204,8,FALSE),""))</f>
        <v/>
      </c>
    </row>
    <row r="9" spans="1:11" x14ac:dyDescent="0.35">
      <c r="A9">
        <v>8</v>
      </c>
      <c r="C9" t="str">
        <f>IF($B9="","",IFERROR(VLOOKUP($B9,'04. Products &amp; Services'!$B$5:$M$50,2,FALSE),""))</f>
        <v/>
      </c>
      <c r="D9" t="str">
        <f>IF($B9="","",IFERROR(VLOOKUP($B9,'04. Products &amp; Services'!$B$5:$M$50,3,FALSE),""))</f>
        <v/>
      </c>
      <c r="E9" t="str">
        <f>IF($B9="","",IFERROR(VLOOKUP($B9,'04. Products &amp; Services'!$B$5:$M$50,4,FALSE),""))</f>
        <v/>
      </c>
      <c r="F9" t="str">
        <f>IF($B9="","",IFERROR(VLOOKUP($B9,'04. Products &amp; Services'!$B$5:$M$50,10,FALSE),""))</f>
        <v/>
      </c>
      <c r="G9" t="str">
        <f>IF($B9="","",IFERROR(VLOOKUP($B9,'04. Products &amp; Services'!$B$5:$M$50,11,FALSE),""))</f>
        <v/>
      </c>
      <c r="I9" t="str">
        <f>IF($B9="","",IFERROR(VLOOKUP($B9,'07. BIA'!$F$4:$AA$285,22,FALSE),""))</f>
        <v/>
      </c>
      <c r="J9" t="str">
        <f>IF($B9="","",IFERROR(VLOOKUP($B9,'08. Dependency Register'!$E$4:$M$204,7,FALSE),""))</f>
        <v/>
      </c>
      <c r="K9" t="str">
        <f>IF($B9="","",IFERROR(VLOOKUP($B9,'08. Dependency Register'!$E$4:$M$204,8,FALSE),""))</f>
        <v/>
      </c>
    </row>
    <row r="10" spans="1:11" x14ac:dyDescent="0.35">
      <c r="A10">
        <v>9</v>
      </c>
      <c r="C10" t="str">
        <f>IF($B10="","",IFERROR(VLOOKUP($B10,'04. Products &amp; Services'!$B$5:$M$50,2,FALSE),""))</f>
        <v/>
      </c>
      <c r="D10" t="str">
        <f>IF($B10="","",IFERROR(VLOOKUP($B10,'04. Products &amp; Services'!$B$5:$M$50,3,FALSE),""))</f>
        <v/>
      </c>
      <c r="E10" t="str">
        <f>IF($B10="","",IFERROR(VLOOKUP($B10,'04. Products &amp; Services'!$B$5:$M$50,4,FALSE),""))</f>
        <v/>
      </c>
      <c r="F10" t="str">
        <f>IF($B10="","",IFERROR(VLOOKUP($B10,'04. Products &amp; Services'!$B$5:$M$50,10,FALSE),""))</f>
        <v/>
      </c>
      <c r="G10" t="str">
        <f>IF($B10="","",IFERROR(VLOOKUP($B10,'04. Products &amp; Services'!$B$5:$M$50,11,FALSE),""))</f>
        <v/>
      </c>
      <c r="I10" t="str">
        <f>IF($B10="","",IFERROR(VLOOKUP($B10,'07. BIA'!$F$4:$AA$285,22,FALSE),""))</f>
        <v/>
      </c>
      <c r="J10" t="str">
        <f>IF($B10="","",IFERROR(VLOOKUP($B10,'08. Dependency Register'!$E$4:$M$204,7,FALSE),""))</f>
        <v/>
      </c>
      <c r="K10" t="str">
        <f>IF($B10="","",IFERROR(VLOOKUP($B10,'08. Dependency Register'!$E$4:$M$204,8,FALSE),""))</f>
        <v/>
      </c>
    </row>
    <row r="11" spans="1:11" x14ac:dyDescent="0.35">
      <c r="C11" t="str">
        <f>IF($B11="","",IFERROR(VLOOKUP($B11,'04. Products &amp; Services'!$B$5:$M$50,2,FALSE),""))</f>
        <v/>
      </c>
      <c r="D11" t="str">
        <f>IF($B11="","",IFERROR(VLOOKUP($B11,'04. Products &amp; Services'!$B$5:$M$50,3,FALSE),""))</f>
        <v/>
      </c>
      <c r="E11" t="str">
        <f>IF($B11="","",IFERROR(VLOOKUP($B11,'04. Products &amp; Services'!$B$5:$M$50,4,FALSE),""))</f>
        <v/>
      </c>
      <c r="F11" t="str">
        <f>IF($B11="","",IFERROR(VLOOKUP($B11,'04. Products &amp; Services'!$B$5:$M$50,10,FALSE),""))</f>
        <v/>
      </c>
      <c r="G11" t="str">
        <f>IF($B11="","",IFERROR(VLOOKUP($B11,'04. Products &amp; Services'!$B$5:$M$50,11,FALSE),""))</f>
        <v/>
      </c>
      <c r="I11" t="str">
        <f>IF($B11="","",IFERROR(VLOOKUP($B11,'07. BIA'!$F$4:$AA$285,22,FALSE),""))</f>
        <v/>
      </c>
      <c r="J11" t="str">
        <f>IF($B11="","",IFERROR(VLOOKUP($B11,'08. Dependency Register'!$E$4:$M$204,7,FALSE),""))</f>
        <v/>
      </c>
      <c r="K11" t="str">
        <f>IF($B11="","",IFERROR(VLOOKUP($B11,'08. Dependency Register'!$E$4:$M$204,8,FALSE),""))</f>
        <v/>
      </c>
    </row>
    <row r="12" spans="1:11" x14ac:dyDescent="0.35">
      <c r="C12" t="str">
        <f>IF($B12="","",IFERROR(VLOOKUP($B12,'04. Products &amp; Services'!$B$5:$M$50,2,FALSE),""))</f>
        <v/>
      </c>
      <c r="D12" t="str">
        <f>IF($B12="","",IFERROR(VLOOKUP($B12,'04. Products &amp; Services'!$B$5:$M$50,3,FALSE),""))</f>
        <v/>
      </c>
      <c r="E12" t="str">
        <f>IF($B12="","",IFERROR(VLOOKUP($B12,'04. Products &amp; Services'!$B$5:$M$50,4,FALSE),""))</f>
        <v/>
      </c>
      <c r="F12" t="str">
        <f>IF($B12="","",IFERROR(VLOOKUP($B12,'04. Products &amp; Services'!$B$5:$M$50,10,FALSE),""))</f>
        <v/>
      </c>
      <c r="G12" t="str">
        <f>IF($B12="","",IFERROR(VLOOKUP($B12,'04. Products &amp; Services'!$B$5:$M$50,11,FALSE),""))</f>
        <v/>
      </c>
      <c r="I12" t="str">
        <f>IF($B12="","",IFERROR(VLOOKUP($B12,'07. BIA'!$F$4:$AA$285,22,FALSE),""))</f>
        <v/>
      </c>
      <c r="J12" t="str">
        <f>IF($B12="","",IFERROR(VLOOKUP($B12,'08. Dependency Register'!$E$4:$M$204,7,FALSE),""))</f>
        <v/>
      </c>
      <c r="K12" t="str">
        <f>IF($B12="","",IFERROR(VLOOKUP($B12,'08. Dependency Register'!$E$4:$M$204,8,FALSE),""))</f>
        <v/>
      </c>
    </row>
    <row r="13" spans="1:11" x14ac:dyDescent="0.35">
      <c r="C13" t="str">
        <f>IF($B13="","",IFERROR(VLOOKUP($B13,'04. Products &amp; Services'!$B$5:$M$50,2,FALSE),""))</f>
        <v/>
      </c>
      <c r="D13" t="str">
        <f>IF($B13="","",IFERROR(VLOOKUP($B13,'04. Products &amp; Services'!$B$5:$M$50,3,FALSE),""))</f>
        <v/>
      </c>
      <c r="E13" t="str">
        <f>IF($B13="","",IFERROR(VLOOKUP($B13,'04. Products &amp; Services'!$B$5:$M$50,4,FALSE),""))</f>
        <v/>
      </c>
      <c r="F13" t="str">
        <f>IF($B13="","",IFERROR(VLOOKUP($B13,'04. Products &amp; Services'!$B$5:$M$50,10,FALSE),""))</f>
        <v/>
      </c>
      <c r="G13" t="str">
        <f>IF($B13="","",IFERROR(VLOOKUP($B13,'04. Products &amp; Services'!$B$5:$M$50,11,FALSE),""))</f>
        <v/>
      </c>
      <c r="I13" t="str">
        <f>IF($B13="","",IFERROR(VLOOKUP($B13,'07. BIA'!$F$4:$AA$285,22,FALSE),""))</f>
        <v/>
      </c>
      <c r="J13" t="str">
        <f>IF($B13="","",IFERROR(VLOOKUP($B13,'08. Dependency Register'!$E$4:$M$204,7,FALSE),""))</f>
        <v/>
      </c>
      <c r="K13" t="str">
        <f>IF($B13="","",IFERROR(VLOOKUP($B13,'08. Dependency Register'!$E$4:$M$204,8,FALSE),""))</f>
        <v/>
      </c>
    </row>
    <row r="14" spans="1:11" x14ac:dyDescent="0.35">
      <c r="C14" t="str">
        <f>IF($B14="","",IFERROR(VLOOKUP($B14,'04. Products &amp; Services'!$B$5:$M$50,2,FALSE),""))</f>
        <v/>
      </c>
      <c r="D14" t="str">
        <f>IF($B14="","",IFERROR(VLOOKUP($B14,'04. Products &amp; Services'!$B$5:$M$50,3,FALSE),""))</f>
        <v/>
      </c>
      <c r="E14" t="str">
        <f>IF($B14="","",IFERROR(VLOOKUP($B14,'04. Products &amp; Services'!$B$5:$M$50,4,FALSE),""))</f>
        <v/>
      </c>
      <c r="F14" t="str">
        <f>IF($B14="","",IFERROR(VLOOKUP($B14,'04. Products &amp; Services'!$B$5:$M$50,10,FALSE),""))</f>
        <v/>
      </c>
      <c r="G14" t="str">
        <f>IF($B14="","",IFERROR(VLOOKUP($B14,'04. Products &amp; Services'!$B$5:$M$50,11,FALSE),""))</f>
        <v/>
      </c>
      <c r="I14" t="str">
        <f>IF($B14="","",IFERROR(VLOOKUP($B14,'07. BIA'!$F$4:$AA$285,22,FALSE),""))</f>
        <v/>
      </c>
      <c r="J14" t="str">
        <f>IF($B14="","",IFERROR(VLOOKUP($B14,'08. Dependency Register'!$E$4:$M$204,7,FALSE),""))</f>
        <v/>
      </c>
      <c r="K14" t="str">
        <f>IF($B14="","",IFERROR(VLOOKUP($B14,'08. Dependency Register'!$E$4:$M$204,8,FALSE),""))</f>
        <v/>
      </c>
    </row>
    <row r="15" spans="1:11" x14ac:dyDescent="0.35">
      <c r="C15" t="str">
        <f>IF($B15="","",IFERROR(VLOOKUP($B15,'04. Products &amp; Services'!$B$5:$M$50,2,FALSE),""))</f>
        <v/>
      </c>
      <c r="D15" t="str">
        <f>IF($B15="","",IFERROR(VLOOKUP($B15,'04. Products &amp; Services'!$B$5:$M$50,3,FALSE),""))</f>
        <v/>
      </c>
      <c r="E15" t="str">
        <f>IF($B15="","",IFERROR(VLOOKUP($B15,'04. Products &amp; Services'!$B$5:$M$50,4,FALSE),""))</f>
        <v/>
      </c>
      <c r="F15" t="str">
        <f>IF($B15="","",IFERROR(VLOOKUP($B15,'04. Products &amp; Services'!$B$5:$M$50,10,FALSE),""))</f>
        <v/>
      </c>
      <c r="G15" t="str">
        <f>IF($B15="","",IFERROR(VLOOKUP($B15,'04. Products &amp; Services'!$B$5:$M$50,11,FALSE),""))</f>
        <v/>
      </c>
      <c r="I15" t="str">
        <f>IF($B15="","",IFERROR(VLOOKUP($B15,'07. BIA'!$F$4:$AA$285,22,FALSE),""))</f>
        <v/>
      </c>
      <c r="J15" t="str">
        <f>IF($B15="","",IFERROR(VLOOKUP($B15,'08. Dependency Register'!$E$4:$M$204,7,FALSE),""))</f>
        <v/>
      </c>
      <c r="K15" t="str">
        <f>IF($B15="","",IFERROR(VLOOKUP($B15,'08. Dependency Register'!$E$4:$M$204,8,FALSE),""))</f>
        <v/>
      </c>
    </row>
    <row r="16" spans="1:11" x14ac:dyDescent="0.35">
      <c r="C16" t="str">
        <f>IF($B16="","",IFERROR(VLOOKUP($B16,'04. Products &amp; Services'!$B$5:$M$50,2,FALSE),""))</f>
        <v/>
      </c>
      <c r="D16" t="str">
        <f>IF($B16="","",IFERROR(VLOOKUP($B16,'04. Products &amp; Services'!$B$5:$M$50,3,FALSE),""))</f>
        <v/>
      </c>
      <c r="E16" t="str">
        <f>IF($B16="","",IFERROR(VLOOKUP($B16,'04. Products &amp; Services'!$B$5:$M$50,4,FALSE),""))</f>
        <v/>
      </c>
      <c r="F16" t="str">
        <f>IF($B16="","",IFERROR(VLOOKUP($B16,'04. Products &amp; Services'!$B$5:$M$50,10,FALSE),""))</f>
        <v/>
      </c>
      <c r="G16" t="str">
        <f>IF($B16="","",IFERROR(VLOOKUP($B16,'04. Products &amp; Services'!$B$5:$M$50,11,FALSE),""))</f>
        <v/>
      </c>
      <c r="I16" t="str">
        <f>IF($B16="","",IFERROR(VLOOKUP($B16,'07. BIA'!$F$4:$AA$285,22,FALSE),""))</f>
        <v/>
      </c>
      <c r="J16" t="str">
        <f>IF($B16="","",IFERROR(VLOOKUP($B16,'08. Dependency Register'!$E$4:$M$204,7,FALSE),""))</f>
        <v/>
      </c>
      <c r="K16" t="str">
        <f>IF($B16="","",IFERROR(VLOOKUP($B16,'08. Dependency Register'!$E$4:$M$204,8,FALSE),""))</f>
        <v/>
      </c>
    </row>
    <row r="17" spans="3:11" x14ac:dyDescent="0.35">
      <c r="C17" t="str">
        <f>IF($B17="","",IFERROR(VLOOKUP($B17,'04. Products &amp; Services'!$B$5:$M$50,2,FALSE),""))</f>
        <v/>
      </c>
      <c r="D17" t="str">
        <f>IF($B17="","",IFERROR(VLOOKUP($B17,'04. Products &amp; Services'!$B$5:$M$50,3,FALSE),""))</f>
        <v/>
      </c>
      <c r="E17" t="str">
        <f>IF($B17="","",IFERROR(VLOOKUP($B17,'04. Products &amp; Services'!$B$5:$M$50,4,FALSE),""))</f>
        <v/>
      </c>
      <c r="F17" t="str">
        <f>IF($B17="","",IFERROR(VLOOKUP($B17,'04. Products &amp; Services'!$B$5:$M$50,10,FALSE),""))</f>
        <v/>
      </c>
      <c r="G17" t="str">
        <f>IF($B17="","",IFERROR(VLOOKUP($B17,'04. Products &amp; Services'!$B$5:$M$50,11,FALSE),""))</f>
        <v/>
      </c>
      <c r="I17" t="str">
        <f>IF($B17="","",IFERROR(VLOOKUP($B17,'07. BIA'!$F$4:$AA$285,22,FALSE),""))</f>
        <v/>
      </c>
      <c r="J17" t="str">
        <f>IF($B17="","",IFERROR(VLOOKUP($B17,'08. Dependency Register'!$E$4:$M$204,7,FALSE),""))</f>
        <v/>
      </c>
      <c r="K17" t="str">
        <f>IF($B17="","",IFERROR(VLOOKUP($B17,'08. Dependency Register'!$E$4:$M$204,8,FALSE),""))</f>
        <v/>
      </c>
    </row>
    <row r="18" spans="3:11" x14ac:dyDescent="0.35">
      <c r="C18" t="str">
        <f>IF($B18="","",IFERROR(VLOOKUP($B18,'04. Products &amp; Services'!$B$5:$M$50,2,FALSE),""))</f>
        <v/>
      </c>
      <c r="D18" t="str">
        <f>IF($B18="","",IFERROR(VLOOKUP($B18,'04. Products &amp; Services'!$B$5:$M$50,3,FALSE),""))</f>
        <v/>
      </c>
      <c r="E18" t="str">
        <f>IF($B18="","",IFERROR(VLOOKUP($B18,'04. Products &amp; Services'!$B$5:$M$50,4,FALSE),""))</f>
        <v/>
      </c>
      <c r="F18" t="str">
        <f>IF($B18="","",IFERROR(VLOOKUP($B18,'04. Products &amp; Services'!$B$5:$M$50,10,FALSE),""))</f>
        <v/>
      </c>
      <c r="G18" t="str">
        <f>IF($B18="","",IFERROR(VLOOKUP($B18,'04. Products &amp; Services'!$B$5:$M$50,11,FALSE),""))</f>
        <v/>
      </c>
      <c r="I18" t="str">
        <f>IF($B18="","",IFERROR(VLOOKUP($B18,'07. BIA'!$F$4:$AA$285,22,FALSE),""))</f>
        <v/>
      </c>
      <c r="J18" t="str">
        <f>IF($B18="","",IFERROR(VLOOKUP($B18,'08. Dependency Register'!$E$4:$M$204,7,FALSE),""))</f>
        <v/>
      </c>
      <c r="K18" t="str">
        <f>IF($B18="","",IFERROR(VLOOKUP($B18,'08. Dependency Register'!$E$4:$M$204,8,FALSE),""))</f>
        <v/>
      </c>
    </row>
    <row r="19" spans="3:11" x14ac:dyDescent="0.35">
      <c r="C19" t="str">
        <f>IF($B19="","",IFERROR(VLOOKUP($B19,'04. Products &amp; Services'!$B$5:$M$50,2,FALSE),""))</f>
        <v/>
      </c>
      <c r="D19" t="str">
        <f>IF($B19="","",IFERROR(VLOOKUP($B19,'04. Products &amp; Services'!$B$5:$M$50,3,FALSE),""))</f>
        <v/>
      </c>
      <c r="E19" t="str">
        <f>IF($B19="","",IFERROR(VLOOKUP($B19,'04. Products &amp; Services'!$B$5:$M$50,4,FALSE),""))</f>
        <v/>
      </c>
      <c r="F19" t="str">
        <f>IF($B19="","",IFERROR(VLOOKUP($B19,'04. Products &amp; Services'!$B$5:$M$50,10,FALSE),""))</f>
        <v/>
      </c>
      <c r="G19" t="str">
        <f>IF($B19="","",IFERROR(VLOOKUP($B19,'04. Products &amp; Services'!$B$5:$M$50,11,FALSE),""))</f>
        <v/>
      </c>
      <c r="I19" t="str">
        <f>IF($B19="","",IFERROR(VLOOKUP($B19,'07. BIA'!$F$4:$AA$285,22,FALSE),""))</f>
        <v/>
      </c>
      <c r="J19" t="str">
        <f>IF($B19="","",IFERROR(VLOOKUP($B19,'08. Dependency Register'!$E$4:$M$204,7,FALSE),""))</f>
        <v/>
      </c>
      <c r="K19" t="str">
        <f>IF($B19="","",IFERROR(VLOOKUP($B19,'08. Dependency Register'!$E$4:$M$204,8,FALSE),""))</f>
        <v/>
      </c>
    </row>
    <row r="20" spans="3:11" x14ac:dyDescent="0.35">
      <c r="C20" t="str">
        <f>IF($B20="","",IFERROR(VLOOKUP($B20,'04. Products &amp; Services'!$B$5:$M$50,2,FALSE),""))</f>
        <v/>
      </c>
      <c r="D20" t="str">
        <f>IF($B20="","",IFERROR(VLOOKUP($B20,'04. Products &amp; Services'!$B$5:$M$50,3,FALSE),""))</f>
        <v/>
      </c>
      <c r="E20" t="str">
        <f>IF($B20="","",IFERROR(VLOOKUP($B20,'04. Products &amp; Services'!$B$5:$M$50,4,FALSE),""))</f>
        <v/>
      </c>
      <c r="F20" t="str">
        <f>IF($B20="","",IFERROR(VLOOKUP($B20,'04. Products &amp; Services'!$B$5:$M$50,10,FALSE),""))</f>
        <v/>
      </c>
      <c r="G20" t="str">
        <f>IF($B20="","",IFERROR(VLOOKUP($B20,'04. Products &amp; Services'!$B$5:$M$50,11,FALSE),""))</f>
        <v/>
      </c>
      <c r="I20" t="str">
        <f>IF($B20="","",IFERROR(VLOOKUP($B20,'07. BIA'!$F$4:$AA$285,22,FALSE),""))</f>
        <v/>
      </c>
      <c r="J20" t="str">
        <f>IF($B20="","",IFERROR(VLOOKUP($B20,'08. Dependency Register'!$E$4:$M$204,7,FALSE),""))</f>
        <v/>
      </c>
      <c r="K20" t="str">
        <f>IF($B20="","",IFERROR(VLOOKUP($B20,'08. Dependency Register'!$E$4:$M$204,8,FALSE),""))</f>
        <v/>
      </c>
    </row>
    <row r="21" spans="3:11" x14ac:dyDescent="0.35">
      <c r="C21" t="str">
        <f>IF($B21="","",IFERROR(VLOOKUP($B21,'04. Products &amp; Services'!$B$5:$M$50,2,FALSE),""))</f>
        <v/>
      </c>
      <c r="D21" t="str">
        <f>IF($B21="","",IFERROR(VLOOKUP($B21,'04. Products &amp; Services'!$B$5:$M$50,3,FALSE),""))</f>
        <v/>
      </c>
      <c r="E21" t="str">
        <f>IF($B21="","",IFERROR(VLOOKUP($B21,'04. Products &amp; Services'!$B$5:$M$50,4,FALSE),""))</f>
        <v/>
      </c>
      <c r="F21" t="str">
        <f>IF($B21="","",IFERROR(VLOOKUP($B21,'04. Products &amp; Services'!$B$5:$M$50,10,FALSE),""))</f>
        <v/>
      </c>
      <c r="G21" t="str">
        <f>IF($B21="","",IFERROR(VLOOKUP($B21,'04. Products &amp; Services'!$B$5:$M$50,11,FALSE),""))</f>
        <v/>
      </c>
      <c r="I21" t="str">
        <f>IF($B21="","",IFERROR(VLOOKUP($B21,'07. BIA'!$F$4:$AA$285,22,FALSE),""))</f>
        <v/>
      </c>
      <c r="J21" t="str">
        <f>IF($B21="","",IFERROR(VLOOKUP($B21,'08. Dependency Register'!$E$4:$M$204,7,FALSE),""))</f>
        <v/>
      </c>
      <c r="K21" t="str">
        <f>IF($B21="","",IFERROR(VLOOKUP($B21,'08. Dependency Register'!$E$4:$M$204,8,FALSE),""))</f>
        <v/>
      </c>
    </row>
    <row r="22" spans="3:11" x14ac:dyDescent="0.35">
      <c r="C22" t="str">
        <f>IF($B22="","",IFERROR(VLOOKUP($B22,'04. Products &amp; Services'!$B$5:$M$50,2,FALSE),""))</f>
        <v/>
      </c>
      <c r="D22" t="str">
        <f>IF($B22="","",IFERROR(VLOOKUP($B22,'04. Products &amp; Services'!$B$5:$M$50,3,FALSE),""))</f>
        <v/>
      </c>
      <c r="E22" t="str">
        <f>IF($B22="","",IFERROR(VLOOKUP($B22,'04. Products &amp; Services'!$B$5:$M$50,4,FALSE),""))</f>
        <v/>
      </c>
      <c r="F22" t="str">
        <f>IF($B22="","",IFERROR(VLOOKUP($B22,'04. Products &amp; Services'!$B$5:$M$50,10,FALSE),""))</f>
        <v/>
      </c>
      <c r="G22" t="str">
        <f>IF($B22="","",IFERROR(VLOOKUP($B22,'04. Products &amp; Services'!$B$5:$M$50,11,FALSE),""))</f>
        <v/>
      </c>
      <c r="I22" t="str">
        <f>IF($B22="","",IFERROR(VLOOKUP($B22,'07. BIA'!$F$4:$AA$285,22,FALSE),""))</f>
        <v/>
      </c>
      <c r="J22" t="str">
        <f>IF($B22="","",IFERROR(VLOOKUP($B22,'08. Dependency Register'!$E$4:$M$204,7,FALSE),""))</f>
        <v/>
      </c>
      <c r="K22" t="str">
        <f>IF($B22="","",IFERROR(VLOOKUP($B22,'08. Dependency Register'!$E$4:$M$204,8,FALSE),""))</f>
        <v/>
      </c>
    </row>
    <row r="23" spans="3:11" x14ac:dyDescent="0.35">
      <c r="C23" t="str">
        <f>IF($B23="","",IFERROR(VLOOKUP($B23,'04. Products &amp; Services'!$B$5:$M$50,2,FALSE),""))</f>
        <v/>
      </c>
      <c r="D23" t="str">
        <f>IF($B23="","",IFERROR(VLOOKUP($B23,'04. Products &amp; Services'!$B$5:$M$50,3,FALSE),""))</f>
        <v/>
      </c>
      <c r="E23" t="str">
        <f>IF($B23="","",IFERROR(VLOOKUP($B23,'04. Products &amp; Services'!$B$5:$M$50,4,FALSE),""))</f>
        <v/>
      </c>
      <c r="F23" t="str">
        <f>IF($B23="","",IFERROR(VLOOKUP($B23,'04. Products &amp; Services'!$B$5:$M$50,10,FALSE),""))</f>
        <v/>
      </c>
      <c r="G23" t="str">
        <f>IF($B23="","",IFERROR(VLOOKUP($B23,'04. Products &amp; Services'!$B$5:$M$50,11,FALSE),""))</f>
        <v/>
      </c>
      <c r="I23" t="str">
        <f>IF($B23="","",IFERROR(VLOOKUP($B23,'07. BIA'!$F$4:$AA$285,22,FALSE),""))</f>
        <v/>
      </c>
      <c r="J23" t="str">
        <f>IF($B23="","",IFERROR(VLOOKUP($B23,'08. Dependency Register'!$E$4:$M$204,7,FALSE),""))</f>
        <v/>
      </c>
      <c r="K23" t="str">
        <f>IF($B23="","",IFERROR(VLOOKUP($B23,'08. Dependency Register'!$E$4:$M$204,8,FALSE),""))</f>
        <v/>
      </c>
    </row>
    <row r="24" spans="3:11" x14ac:dyDescent="0.35">
      <c r="C24" t="str">
        <f>IF($B24="","",IFERROR(VLOOKUP($B24,'04. Products &amp; Services'!$B$5:$M$50,2,FALSE),""))</f>
        <v/>
      </c>
      <c r="D24" t="str">
        <f>IF($B24="","",IFERROR(VLOOKUP($B24,'04. Products &amp; Services'!$B$5:$M$50,3,FALSE),""))</f>
        <v/>
      </c>
      <c r="E24" t="str">
        <f>IF($B24="","",IFERROR(VLOOKUP($B24,'04. Products &amp; Services'!$B$5:$M$50,4,FALSE),""))</f>
        <v/>
      </c>
      <c r="F24" t="str">
        <f>IF($B24="","",IFERROR(VLOOKUP($B24,'04. Products &amp; Services'!$B$5:$M$50,10,FALSE),""))</f>
        <v/>
      </c>
      <c r="G24" t="str">
        <f>IF($B24="","",IFERROR(VLOOKUP($B24,'04. Products &amp; Services'!$B$5:$M$50,11,FALSE),""))</f>
        <v/>
      </c>
      <c r="I24" t="str">
        <f>IF($B24="","",IFERROR(VLOOKUP($B24,'07. BIA'!$F$4:$AA$285,22,FALSE),""))</f>
        <v/>
      </c>
      <c r="J24" t="str">
        <f>IF($B24="","",IFERROR(VLOOKUP($B24,'08. Dependency Register'!$E$4:$M$204,7,FALSE),""))</f>
        <v/>
      </c>
      <c r="K24" t="str">
        <f>IF($B24="","",IFERROR(VLOOKUP($B24,'08. Dependency Register'!$E$4:$M$204,8,FALSE),""))</f>
        <v/>
      </c>
    </row>
    <row r="25" spans="3:11" x14ac:dyDescent="0.35">
      <c r="C25" t="str">
        <f>IF($B25="","",IFERROR(VLOOKUP($B25,'04. Products &amp; Services'!$B$5:$M$50,2,FALSE),""))</f>
        <v/>
      </c>
      <c r="D25" t="str">
        <f>IF($B25="","",IFERROR(VLOOKUP($B25,'04. Products &amp; Services'!$B$5:$M$50,3,FALSE),""))</f>
        <v/>
      </c>
      <c r="E25" t="str">
        <f>IF($B25="","",IFERROR(VLOOKUP($B25,'04. Products &amp; Services'!$B$5:$M$50,4,FALSE),""))</f>
        <v/>
      </c>
      <c r="F25" t="str">
        <f>IF($B25="","",IFERROR(VLOOKUP($B25,'04. Products &amp; Services'!$B$5:$M$50,10,FALSE),""))</f>
        <v/>
      </c>
      <c r="G25" t="str">
        <f>IF($B25="","",IFERROR(VLOOKUP($B25,'04. Products &amp; Services'!$B$5:$M$50,11,FALSE),""))</f>
        <v/>
      </c>
      <c r="I25" t="str">
        <f>IF($B25="","",IFERROR(VLOOKUP($B25,'07. BIA'!$F$4:$AA$285,22,FALSE),""))</f>
        <v/>
      </c>
      <c r="J25" t="str">
        <f>IF($B25="","",IFERROR(VLOOKUP($B25,'08. Dependency Register'!$E$4:$M$204,7,FALSE),""))</f>
        <v/>
      </c>
      <c r="K25" t="str">
        <f>IF($B25="","",IFERROR(VLOOKUP($B25,'08. Dependency Register'!$E$4:$M$204,8,FALSE),""))</f>
        <v/>
      </c>
    </row>
    <row r="26" spans="3:11" x14ac:dyDescent="0.35">
      <c r="C26" t="str">
        <f>IF($B26="","",IFERROR(VLOOKUP($B26,'04. Products &amp; Services'!$B$5:$M$50,2,FALSE),""))</f>
        <v/>
      </c>
      <c r="D26" t="str">
        <f>IF($B26="","",IFERROR(VLOOKUP($B26,'04. Products &amp; Services'!$B$5:$M$50,3,FALSE),""))</f>
        <v/>
      </c>
      <c r="E26" t="str">
        <f>IF($B26="","",IFERROR(VLOOKUP($B26,'04. Products &amp; Services'!$B$5:$M$50,4,FALSE),""))</f>
        <v/>
      </c>
      <c r="F26" t="str">
        <f>IF($B26="","",IFERROR(VLOOKUP($B26,'04. Products &amp; Services'!$B$5:$M$50,10,FALSE),""))</f>
        <v/>
      </c>
      <c r="G26" t="str">
        <f>IF($B26="","",IFERROR(VLOOKUP($B26,'04. Products &amp; Services'!$B$5:$M$50,11,FALSE),""))</f>
        <v/>
      </c>
      <c r="I26" t="str">
        <f>IF($B26="","",IFERROR(VLOOKUP($B26,'07. BIA'!$F$4:$AA$285,22,FALSE),""))</f>
        <v/>
      </c>
      <c r="J26" t="str">
        <f>IF($B26="","",IFERROR(VLOOKUP($B26,'08. Dependency Register'!$E$4:$M$204,7,FALSE),""))</f>
        <v/>
      </c>
      <c r="K26" t="str">
        <f>IF($B26="","",IFERROR(VLOOKUP($B26,'08. Dependency Register'!$E$4:$M$204,8,FALSE),""))</f>
        <v/>
      </c>
    </row>
    <row r="27" spans="3:11" x14ac:dyDescent="0.35">
      <c r="C27" t="str">
        <f>IF($B27="","",IFERROR(VLOOKUP($B27,'04. Products &amp; Services'!$B$5:$M$50,2,FALSE),""))</f>
        <v/>
      </c>
      <c r="D27" t="str">
        <f>IF($B27="","",IFERROR(VLOOKUP($B27,'04. Products &amp; Services'!$B$5:$M$50,3,FALSE),""))</f>
        <v/>
      </c>
      <c r="E27" t="str">
        <f>IF($B27="","",IFERROR(VLOOKUP($B27,'04. Products &amp; Services'!$B$5:$M$50,4,FALSE),""))</f>
        <v/>
      </c>
      <c r="F27" t="str">
        <f>IF($B27="","",IFERROR(VLOOKUP($B27,'04. Products &amp; Services'!$B$5:$M$50,10,FALSE),""))</f>
        <v/>
      </c>
      <c r="G27" t="str">
        <f>IF($B27="","",IFERROR(VLOOKUP($B27,'04. Products &amp; Services'!$B$5:$M$50,11,FALSE),""))</f>
        <v/>
      </c>
      <c r="I27" t="str">
        <f>IF($B27="","",IFERROR(VLOOKUP($B27,'07. BIA'!$F$4:$AA$285,22,FALSE),""))</f>
        <v/>
      </c>
      <c r="J27" t="str">
        <f>IF($B27="","",IFERROR(VLOOKUP($B27,'08. Dependency Register'!$E$4:$M$204,7,FALSE),""))</f>
        <v/>
      </c>
      <c r="K27" t="str">
        <f>IF($B27="","",IFERROR(VLOOKUP($B27,'08. Dependency Register'!$E$4:$M$204,8,FALSE),""))</f>
        <v/>
      </c>
    </row>
    <row r="28" spans="3:11" x14ac:dyDescent="0.35">
      <c r="C28" t="str">
        <f>IF($B28="","",IFERROR(VLOOKUP($B28,'04. Products &amp; Services'!$B$5:$M$50,2,FALSE),""))</f>
        <v/>
      </c>
      <c r="D28" t="str">
        <f>IF($B28="","",IFERROR(VLOOKUP($B28,'04. Products &amp; Services'!$B$5:$M$50,3,FALSE),""))</f>
        <v/>
      </c>
      <c r="E28" t="str">
        <f>IF($B28="","",IFERROR(VLOOKUP($B28,'04. Products &amp; Services'!$B$5:$M$50,4,FALSE),""))</f>
        <v/>
      </c>
      <c r="F28" t="str">
        <f>IF($B28="","",IFERROR(VLOOKUP($B28,'04. Products &amp; Services'!$B$5:$M$50,10,FALSE),""))</f>
        <v/>
      </c>
      <c r="G28" t="str">
        <f>IF($B28="","",IFERROR(VLOOKUP($B28,'04. Products &amp; Services'!$B$5:$M$50,11,FALSE),""))</f>
        <v/>
      </c>
      <c r="I28" t="str">
        <f>IF($B28="","",IFERROR(VLOOKUP($B28,'07. BIA'!$F$4:$AA$285,22,FALSE),""))</f>
        <v/>
      </c>
      <c r="J28" t="str">
        <f>IF($B28="","",IFERROR(VLOOKUP($B28,'08. Dependency Register'!$E$4:$M$204,7,FALSE),""))</f>
        <v/>
      </c>
      <c r="K28" t="str">
        <f>IF($B28="","",IFERROR(VLOOKUP($B28,'08. Dependency Register'!$E$4:$M$204,8,FALSE),""))</f>
        <v/>
      </c>
    </row>
    <row r="29" spans="3:11" x14ac:dyDescent="0.35">
      <c r="C29" t="str">
        <f>IF($B29="","",IFERROR(VLOOKUP($B29,'04. Products &amp; Services'!$B$5:$M$50,2,FALSE),""))</f>
        <v/>
      </c>
      <c r="D29" t="str">
        <f>IF($B29="","",IFERROR(VLOOKUP($B29,'04. Products &amp; Services'!$B$5:$M$50,3,FALSE),""))</f>
        <v/>
      </c>
      <c r="E29" t="str">
        <f>IF($B29="","",IFERROR(VLOOKUP($B29,'04. Products &amp; Services'!$B$5:$M$50,4,FALSE),""))</f>
        <v/>
      </c>
      <c r="F29" t="str">
        <f>IF($B29="","",IFERROR(VLOOKUP($B29,'04. Products &amp; Services'!$B$5:$M$50,10,FALSE),""))</f>
        <v/>
      </c>
      <c r="G29" t="str">
        <f>IF($B29="","",IFERROR(VLOOKUP($B29,'04. Products &amp; Services'!$B$5:$M$50,11,FALSE),""))</f>
        <v/>
      </c>
      <c r="I29" t="str">
        <f>IF($B29="","",IFERROR(VLOOKUP($B29,'07. BIA'!$F$4:$AA$285,22,FALSE),""))</f>
        <v/>
      </c>
      <c r="J29" t="str">
        <f>IF($B29="","",IFERROR(VLOOKUP($B29,'08. Dependency Register'!$E$4:$M$204,7,FALSE),""))</f>
        <v/>
      </c>
      <c r="K29" t="str">
        <f>IF($B29="","",IFERROR(VLOOKUP($B29,'08. Dependency Register'!$E$4:$M$204,8,FALSE),""))</f>
        <v/>
      </c>
    </row>
    <row r="30" spans="3:11" x14ac:dyDescent="0.35">
      <c r="C30" t="str">
        <f>IF($B30="","",IFERROR(VLOOKUP($B30,'04. Products &amp; Services'!$B$5:$M$50,2,FALSE),""))</f>
        <v/>
      </c>
      <c r="D30" t="str">
        <f>IF($B30="","",IFERROR(VLOOKUP($B30,'04. Products &amp; Services'!$B$5:$M$50,3,FALSE),""))</f>
        <v/>
      </c>
      <c r="E30" t="str">
        <f>IF($B30="","",IFERROR(VLOOKUP($B30,'04. Products &amp; Services'!$B$5:$M$50,4,FALSE),""))</f>
        <v/>
      </c>
      <c r="F30" t="str">
        <f>IF($B30="","",IFERROR(VLOOKUP($B30,'04. Products &amp; Services'!$B$5:$M$50,10,FALSE),""))</f>
        <v/>
      </c>
      <c r="G30" t="str">
        <f>IF($B30="","",IFERROR(VLOOKUP($B30,'04. Products &amp; Services'!$B$5:$M$50,11,FALSE),""))</f>
        <v/>
      </c>
      <c r="I30" t="str">
        <f>IF($B30="","",IFERROR(VLOOKUP($B30,'07. BIA'!$F$4:$AA$285,22,FALSE),""))</f>
        <v/>
      </c>
      <c r="J30" t="str">
        <f>IF($B30="","",IFERROR(VLOOKUP($B30,'08. Dependency Register'!$E$4:$M$204,7,FALSE),""))</f>
        <v/>
      </c>
      <c r="K30" t="str">
        <f>IF($B30="","",IFERROR(VLOOKUP($B30,'08. Dependency Register'!$E$4:$M$204,8,FALSE),""))</f>
        <v/>
      </c>
    </row>
    <row r="31" spans="3:11" x14ac:dyDescent="0.35">
      <c r="C31" t="str">
        <f>IF($B31="","",IFERROR(VLOOKUP($B31,'04. Products &amp; Services'!$B$5:$M$50,2,FALSE),""))</f>
        <v/>
      </c>
      <c r="D31" t="str">
        <f>IF($B31="","",IFERROR(VLOOKUP($B31,'04. Products &amp; Services'!$B$5:$M$50,3,FALSE),""))</f>
        <v/>
      </c>
      <c r="E31" t="str">
        <f>IF($B31="","",IFERROR(VLOOKUP($B31,'04. Products &amp; Services'!$B$5:$M$50,4,FALSE),""))</f>
        <v/>
      </c>
      <c r="F31" t="str">
        <f>IF($B31="","",IFERROR(VLOOKUP($B31,'04. Products &amp; Services'!$B$5:$M$50,10,FALSE),""))</f>
        <v/>
      </c>
      <c r="G31" t="str">
        <f>IF($B31="","",IFERROR(VLOOKUP($B31,'04. Products &amp; Services'!$B$5:$M$50,11,FALSE),""))</f>
        <v/>
      </c>
      <c r="I31" t="str">
        <f>IF($B31="","",IFERROR(VLOOKUP($B31,'07. BIA'!$F$4:$AA$285,22,FALSE),""))</f>
        <v/>
      </c>
      <c r="J31" t="str">
        <f>IF($B31="","",IFERROR(VLOOKUP($B31,'08. Dependency Register'!$E$4:$M$204,7,FALSE),""))</f>
        <v/>
      </c>
      <c r="K31" t="str">
        <f>IF($B31="","",IFERROR(VLOOKUP($B31,'08. Dependency Register'!$E$4:$M$204,8,FALSE),""))</f>
        <v/>
      </c>
    </row>
    <row r="32" spans="3:11" x14ac:dyDescent="0.35">
      <c r="C32" t="str">
        <f>IF($B32="","",IFERROR(VLOOKUP($B32,'04. Products &amp; Services'!$B$5:$M$50,2,FALSE),""))</f>
        <v/>
      </c>
      <c r="D32" t="str">
        <f>IF($B32="","",IFERROR(VLOOKUP($B32,'04. Products &amp; Services'!$B$5:$M$50,3,FALSE),""))</f>
        <v/>
      </c>
      <c r="E32" t="str">
        <f>IF($B32="","",IFERROR(VLOOKUP($B32,'04. Products &amp; Services'!$B$5:$M$50,4,FALSE),""))</f>
        <v/>
      </c>
      <c r="F32" t="str">
        <f>IF($B32="","",IFERROR(VLOOKUP($B32,'04. Products &amp; Services'!$B$5:$M$50,10,FALSE),""))</f>
        <v/>
      </c>
      <c r="G32" t="str">
        <f>IF($B32="","",IFERROR(VLOOKUP($B32,'04. Products &amp; Services'!$B$5:$M$50,11,FALSE),""))</f>
        <v/>
      </c>
      <c r="I32" t="str">
        <f>IF($B32="","",IFERROR(VLOOKUP($B32,'07. BIA'!$F$4:$AA$285,22,FALSE),""))</f>
        <v/>
      </c>
      <c r="J32" t="str">
        <f>IF($B32="","",IFERROR(VLOOKUP($B32,'08. Dependency Register'!$E$4:$M$204,7,FALSE),""))</f>
        <v/>
      </c>
      <c r="K32" t="str">
        <f>IF($B32="","",IFERROR(VLOOKUP($B32,'08. Dependency Register'!$E$4:$M$204,8,FALSE),""))</f>
        <v/>
      </c>
    </row>
    <row r="33" spans="3:11" x14ac:dyDescent="0.35">
      <c r="C33" t="str">
        <f>IF($B33="","",IFERROR(VLOOKUP($B33,'04. Products &amp; Services'!$B$5:$M$50,2,FALSE),""))</f>
        <v/>
      </c>
      <c r="D33" t="str">
        <f>IF($B33="","",IFERROR(VLOOKUP($B33,'04. Products &amp; Services'!$B$5:$M$50,3,FALSE),""))</f>
        <v/>
      </c>
      <c r="E33" t="str">
        <f>IF($B33="","",IFERROR(VLOOKUP($B33,'04. Products &amp; Services'!$B$5:$M$50,4,FALSE),""))</f>
        <v/>
      </c>
      <c r="F33" t="str">
        <f>IF($B33="","",IFERROR(VLOOKUP($B33,'04. Products &amp; Services'!$B$5:$M$50,10,FALSE),""))</f>
        <v/>
      </c>
      <c r="G33" t="str">
        <f>IF($B33="","",IFERROR(VLOOKUP($B33,'04. Products &amp; Services'!$B$5:$M$50,11,FALSE),""))</f>
        <v/>
      </c>
      <c r="I33" t="str">
        <f>IF($B33="","",IFERROR(VLOOKUP($B33,'07. BIA'!$F$4:$AA$285,22,FALSE),""))</f>
        <v/>
      </c>
      <c r="J33" t="str">
        <f>IF($B33="","",IFERROR(VLOOKUP($B33,'08. Dependency Register'!$E$4:$M$204,7,FALSE),""))</f>
        <v/>
      </c>
      <c r="K33" t="str">
        <f>IF($B33="","",IFERROR(VLOOKUP($B33,'08. Dependency Register'!$E$4:$M$204,8,FALSE),""))</f>
        <v/>
      </c>
    </row>
    <row r="34" spans="3:11" x14ac:dyDescent="0.35">
      <c r="C34" t="str">
        <f>IF($B34="","",IFERROR(VLOOKUP($B34,'04. Products &amp; Services'!$B$5:$M$50,2,FALSE),""))</f>
        <v/>
      </c>
      <c r="D34" t="str">
        <f>IF($B34="","",IFERROR(VLOOKUP($B34,'04. Products &amp; Services'!$B$5:$M$50,3,FALSE),""))</f>
        <v/>
      </c>
      <c r="E34" t="str">
        <f>IF($B34="","",IFERROR(VLOOKUP($B34,'04. Products &amp; Services'!$B$5:$M$50,4,FALSE),""))</f>
        <v/>
      </c>
      <c r="F34" t="str">
        <f>IF($B34="","",IFERROR(VLOOKUP($B34,'04. Products &amp; Services'!$B$5:$M$50,10,FALSE),""))</f>
        <v/>
      </c>
      <c r="G34" t="str">
        <f>IF($B34="","",IFERROR(VLOOKUP($B34,'04. Products &amp; Services'!$B$5:$M$50,11,FALSE),""))</f>
        <v/>
      </c>
      <c r="I34" t="str">
        <f>IF($B34="","",IFERROR(VLOOKUP($B34,'07. BIA'!$F$4:$AA$285,22,FALSE),""))</f>
        <v/>
      </c>
      <c r="J34" t="str">
        <f>IF($B34="","",IFERROR(VLOOKUP($B34,'08. Dependency Register'!$E$4:$M$204,7,FALSE),""))</f>
        <v/>
      </c>
      <c r="K34" t="str">
        <f>IF($B34="","",IFERROR(VLOOKUP($B34,'08. Dependency Register'!$E$4:$M$204,8,FALSE),""))</f>
        <v/>
      </c>
    </row>
    <row r="35" spans="3:11" x14ac:dyDescent="0.35">
      <c r="C35" t="str">
        <f>IF($B35="","",IFERROR(VLOOKUP($B35,'04. Products &amp; Services'!$B$5:$M$50,2,FALSE),""))</f>
        <v/>
      </c>
      <c r="D35" t="str">
        <f>IF($B35="","",IFERROR(VLOOKUP($B35,'04. Products &amp; Services'!$B$5:$M$50,3,FALSE),""))</f>
        <v/>
      </c>
      <c r="E35" t="str">
        <f>IF($B35="","",IFERROR(VLOOKUP($B35,'04. Products &amp; Services'!$B$5:$M$50,4,FALSE),""))</f>
        <v/>
      </c>
      <c r="F35" t="str">
        <f>IF($B35="","",IFERROR(VLOOKUP($B35,'04. Products &amp; Services'!$B$5:$M$50,10,FALSE),""))</f>
        <v/>
      </c>
      <c r="G35" t="str">
        <f>IF($B35="","",IFERROR(VLOOKUP($B35,'04. Products &amp; Services'!$B$5:$M$50,11,FALSE),""))</f>
        <v/>
      </c>
      <c r="I35" t="str">
        <f>IF($B35="","",IFERROR(VLOOKUP($B35,'07. BIA'!$F$4:$AA$285,22,FALSE),""))</f>
        <v/>
      </c>
      <c r="J35" t="str">
        <f>IF($B35="","",IFERROR(VLOOKUP($B35,'08. Dependency Register'!$E$4:$M$204,7,FALSE),""))</f>
        <v/>
      </c>
      <c r="K35" t="str">
        <f>IF($B35="","",IFERROR(VLOOKUP($B35,'08. Dependency Register'!$E$4:$M$204,8,FALSE),""))</f>
        <v/>
      </c>
    </row>
    <row r="36" spans="3:11" x14ac:dyDescent="0.35">
      <c r="C36" t="str">
        <f>IF($B36="","",IFERROR(VLOOKUP($B36,'04. Products &amp; Services'!$B$5:$M$50,2,FALSE),""))</f>
        <v/>
      </c>
      <c r="D36" t="str">
        <f>IF($B36="","",IFERROR(VLOOKUP($B36,'04. Products &amp; Services'!$B$5:$M$50,3,FALSE),""))</f>
        <v/>
      </c>
      <c r="E36" t="str">
        <f>IF($B36="","",IFERROR(VLOOKUP($B36,'04. Products &amp; Services'!$B$5:$M$50,4,FALSE),""))</f>
        <v/>
      </c>
      <c r="F36" t="str">
        <f>IF($B36="","",IFERROR(VLOOKUP($B36,'04. Products &amp; Services'!$B$5:$M$50,10,FALSE),""))</f>
        <v/>
      </c>
      <c r="G36" t="str">
        <f>IF($B36="","",IFERROR(VLOOKUP($B36,'04. Products &amp; Services'!$B$5:$M$50,11,FALSE),""))</f>
        <v/>
      </c>
      <c r="I36" t="str">
        <f>IF($B36="","",IFERROR(VLOOKUP($B36,'07. BIA'!$F$4:$AA$285,22,FALSE),""))</f>
        <v/>
      </c>
      <c r="J36" t="str">
        <f>IF($B36="","",IFERROR(VLOOKUP($B36,'08. Dependency Register'!$E$4:$M$204,7,FALSE),""))</f>
        <v/>
      </c>
      <c r="K36" t="str">
        <f>IF($B36="","",IFERROR(VLOOKUP($B36,'08. Dependency Register'!$E$4:$M$204,8,FALSE),""))</f>
        <v/>
      </c>
    </row>
    <row r="37" spans="3:11" x14ac:dyDescent="0.35">
      <c r="C37" t="str">
        <f>IF($B37="","",IFERROR(VLOOKUP($B37,'04. Products &amp; Services'!$B$5:$M$50,2,FALSE),""))</f>
        <v/>
      </c>
      <c r="D37" t="str">
        <f>IF($B37="","",IFERROR(VLOOKUP($B37,'04. Products &amp; Services'!$B$5:$M$50,3,FALSE),""))</f>
        <v/>
      </c>
      <c r="E37" t="str">
        <f>IF($B37="","",IFERROR(VLOOKUP($B37,'04. Products &amp; Services'!$B$5:$M$50,4,FALSE),""))</f>
        <v/>
      </c>
      <c r="F37" t="str">
        <f>IF($B37="","",IFERROR(VLOOKUP($B37,'04. Products &amp; Services'!$B$5:$M$50,10,FALSE),""))</f>
        <v/>
      </c>
      <c r="G37" t="str">
        <f>IF($B37="","",IFERROR(VLOOKUP($B37,'04. Products &amp; Services'!$B$5:$M$50,11,FALSE),""))</f>
        <v/>
      </c>
      <c r="I37" t="str">
        <f>IF($B37="","",IFERROR(VLOOKUP($B37,'07. BIA'!$F$4:$AA$285,22,FALSE),""))</f>
        <v/>
      </c>
      <c r="J37" t="str">
        <f>IF($B37="","",IFERROR(VLOOKUP($B37,'08. Dependency Register'!$E$4:$M$204,7,FALSE),""))</f>
        <v/>
      </c>
      <c r="K37" t="str">
        <f>IF($B37="","",IFERROR(VLOOKUP($B37,'08. Dependency Register'!$E$4:$M$204,8,FALSE),""))</f>
        <v/>
      </c>
    </row>
    <row r="38" spans="3:11" x14ac:dyDescent="0.35">
      <c r="C38" t="str">
        <f>IF($B38="","",IFERROR(VLOOKUP($B38,'04. Products &amp; Services'!$B$5:$M$50,2,FALSE),""))</f>
        <v/>
      </c>
      <c r="D38" t="str">
        <f>IF($B38="","",IFERROR(VLOOKUP($B38,'04. Products &amp; Services'!$B$5:$M$50,3,FALSE),""))</f>
        <v/>
      </c>
      <c r="E38" t="str">
        <f>IF($B38="","",IFERROR(VLOOKUP($B38,'04. Products &amp; Services'!$B$5:$M$50,4,FALSE),""))</f>
        <v/>
      </c>
      <c r="F38" t="str">
        <f>IF($B38="","",IFERROR(VLOOKUP($B38,'04. Products &amp; Services'!$B$5:$M$50,10,FALSE),""))</f>
        <v/>
      </c>
      <c r="G38" t="str">
        <f>IF($B38="","",IFERROR(VLOOKUP($B38,'04. Products &amp; Services'!$B$5:$M$50,11,FALSE),""))</f>
        <v/>
      </c>
      <c r="I38" t="str">
        <f>IF($B38="","",IFERROR(VLOOKUP($B38,'07. BIA'!$F$4:$AA$285,22,FALSE),""))</f>
        <v/>
      </c>
      <c r="J38" t="str">
        <f>IF($B38="","",IFERROR(VLOOKUP($B38,'08. Dependency Register'!$E$4:$M$204,7,FALSE),""))</f>
        <v/>
      </c>
      <c r="K38" t="str">
        <f>IF($B38="","",IFERROR(VLOOKUP($B38,'08. Dependency Register'!$E$4:$M$204,8,FALSE),""))</f>
        <v/>
      </c>
    </row>
    <row r="39" spans="3:11" x14ac:dyDescent="0.35">
      <c r="C39" t="str">
        <f>IF($B39="","",IFERROR(VLOOKUP($B39,'04. Products &amp; Services'!$B$5:$M$50,2,FALSE),""))</f>
        <v/>
      </c>
      <c r="D39" t="str">
        <f>IF($B39="","",IFERROR(VLOOKUP($B39,'04. Products &amp; Services'!$B$5:$M$50,3,FALSE),""))</f>
        <v/>
      </c>
      <c r="E39" t="str">
        <f>IF($B39="","",IFERROR(VLOOKUP($B39,'04. Products &amp; Services'!$B$5:$M$50,4,FALSE),""))</f>
        <v/>
      </c>
      <c r="F39" t="str">
        <f>IF($B39="","",IFERROR(VLOOKUP($B39,'04. Products &amp; Services'!$B$5:$M$50,10,FALSE),""))</f>
        <v/>
      </c>
      <c r="G39" t="str">
        <f>IF($B39="","",IFERROR(VLOOKUP($B39,'04. Products &amp; Services'!$B$5:$M$50,11,FALSE),""))</f>
        <v/>
      </c>
      <c r="I39" t="str">
        <f>IF($B39="","",IFERROR(VLOOKUP($B39,'07. BIA'!$F$4:$AA$285,22,FALSE),""))</f>
        <v/>
      </c>
      <c r="J39" t="str">
        <f>IF($B39="","",IFERROR(VLOOKUP($B39,'08. Dependency Register'!$E$4:$M$204,7,FALSE),""))</f>
        <v/>
      </c>
      <c r="K39" t="str">
        <f>IF($B39="","",IFERROR(VLOOKUP($B39,'08. Dependency Register'!$E$4:$M$204,8,FALSE),""))</f>
        <v/>
      </c>
    </row>
    <row r="40" spans="3:11" x14ac:dyDescent="0.35">
      <c r="C40" t="str">
        <f>IF($B40="","",IFERROR(VLOOKUP($B40,'04. Products &amp; Services'!$B$5:$M$50,2,FALSE),""))</f>
        <v/>
      </c>
      <c r="D40" t="str">
        <f>IF($B40="","",IFERROR(VLOOKUP($B40,'04. Products &amp; Services'!$B$5:$M$50,3,FALSE),""))</f>
        <v/>
      </c>
      <c r="E40" t="str">
        <f>IF($B40="","",IFERROR(VLOOKUP($B40,'04. Products &amp; Services'!$B$5:$M$50,4,FALSE),""))</f>
        <v/>
      </c>
      <c r="F40" t="str">
        <f>IF($B40="","",IFERROR(VLOOKUP($B40,'04. Products &amp; Services'!$B$5:$M$50,10,FALSE),""))</f>
        <v/>
      </c>
      <c r="G40" t="str">
        <f>IF($B40="","",IFERROR(VLOOKUP($B40,'04. Products &amp; Services'!$B$5:$M$50,11,FALSE),""))</f>
        <v/>
      </c>
      <c r="I40" t="str">
        <f>IF($B40="","",IFERROR(VLOOKUP($B40,'07. BIA'!$F$4:$AA$285,22,FALSE),""))</f>
        <v/>
      </c>
      <c r="J40" t="str">
        <f>IF($B40="","",IFERROR(VLOOKUP($B40,'08. Dependency Register'!$E$4:$M$204,7,FALSE),""))</f>
        <v/>
      </c>
      <c r="K40" t="str">
        <f>IF($B40="","",IFERROR(VLOOKUP($B40,'08. Dependency Register'!$E$4:$M$204,8,FALSE),""))</f>
        <v/>
      </c>
    </row>
    <row r="41" spans="3:11" x14ac:dyDescent="0.35">
      <c r="C41" t="str">
        <f>IF($B41="","",IFERROR(VLOOKUP($B41,'04. Products &amp; Services'!$B$5:$M$50,2,FALSE),""))</f>
        <v/>
      </c>
      <c r="D41" t="str">
        <f>IF($B41="","",IFERROR(VLOOKUP($B41,'04. Products &amp; Services'!$B$5:$M$50,3,FALSE),""))</f>
        <v/>
      </c>
      <c r="E41" t="str">
        <f>IF($B41="","",IFERROR(VLOOKUP($B41,'04. Products &amp; Services'!$B$5:$M$50,4,FALSE),""))</f>
        <v/>
      </c>
      <c r="F41" t="str">
        <f>IF($B41="","",IFERROR(VLOOKUP($B41,'04. Products &amp; Services'!$B$5:$M$50,10,FALSE),""))</f>
        <v/>
      </c>
      <c r="G41" t="str">
        <f>IF($B41="","",IFERROR(VLOOKUP($B41,'04. Products &amp; Services'!$B$5:$M$50,11,FALSE),""))</f>
        <v/>
      </c>
      <c r="I41" t="str">
        <f>IF($B41="","",IFERROR(VLOOKUP($B41,'07. BIA'!$F$4:$AA$285,22,FALSE),""))</f>
        <v/>
      </c>
      <c r="J41" t="str">
        <f>IF($B41="","",IFERROR(VLOOKUP($B41,'08. Dependency Register'!$E$4:$M$204,7,FALSE),""))</f>
        <v/>
      </c>
      <c r="K41" t="str">
        <f>IF($B41="","",IFERROR(VLOOKUP($B41,'08. Dependency Register'!$E$4:$M$204,8,FALSE),""))</f>
        <v/>
      </c>
    </row>
    <row r="42" spans="3:11" x14ac:dyDescent="0.35">
      <c r="C42" t="str">
        <f>IF($B42="","",IFERROR(VLOOKUP($B42,'04. Products &amp; Services'!$B$5:$M$50,2,FALSE),""))</f>
        <v/>
      </c>
      <c r="D42" t="str">
        <f>IF($B42="","",IFERROR(VLOOKUP($B42,'04. Products &amp; Services'!$B$5:$M$50,3,FALSE),""))</f>
        <v/>
      </c>
      <c r="E42" t="str">
        <f>IF($B42="","",IFERROR(VLOOKUP($B42,'04. Products &amp; Services'!$B$5:$M$50,4,FALSE),""))</f>
        <v/>
      </c>
      <c r="F42" t="str">
        <f>IF($B42="","",IFERROR(VLOOKUP($B42,'04. Products &amp; Services'!$B$5:$M$50,10,FALSE),""))</f>
        <v/>
      </c>
      <c r="G42" t="str">
        <f>IF($B42="","",IFERROR(VLOOKUP($B42,'04. Products &amp; Services'!$B$5:$M$50,11,FALSE),""))</f>
        <v/>
      </c>
      <c r="I42" t="str">
        <f>IF($B42="","",IFERROR(VLOOKUP($B42,'07. BIA'!$F$4:$AA$285,22,FALSE),""))</f>
        <v/>
      </c>
      <c r="J42" t="str">
        <f>IF($B42="","",IFERROR(VLOOKUP($B42,'08. Dependency Register'!$E$4:$M$204,7,FALSE),""))</f>
        <v/>
      </c>
      <c r="K42" t="str">
        <f>IF($B42="","",IFERROR(VLOOKUP($B42,'08. Dependency Register'!$E$4:$M$204,8,FALSE),""))</f>
        <v/>
      </c>
    </row>
    <row r="43" spans="3:11" x14ac:dyDescent="0.35">
      <c r="C43" t="str">
        <f>IF($B43="","",IFERROR(VLOOKUP($B43,'04. Products &amp; Services'!$B$5:$M$50,2,FALSE),""))</f>
        <v/>
      </c>
      <c r="D43" t="str">
        <f>IF($B43="","",IFERROR(VLOOKUP($B43,'04. Products &amp; Services'!$B$5:$M$50,3,FALSE),""))</f>
        <v/>
      </c>
      <c r="E43" t="str">
        <f>IF($B43="","",IFERROR(VLOOKUP($B43,'04. Products &amp; Services'!$B$5:$M$50,4,FALSE),""))</f>
        <v/>
      </c>
      <c r="F43" t="str">
        <f>IF($B43="","",IFERROR(VLOOKUP($B43,'04. Products &amp; Services'!$B$5:$M$50,10,FALSE),""))</f>
        <v/>
      </c>
      <c r="G43" t="str">
        <f>IF($B43="","",IFERROR(VLOOKUP($B43,'04. Products &amp; Services'!$B$5:$M$50,11,FALSE),""))</f>
        <v/>
      </c>
      <c r="I43" t="str">
        <f>IF($B43="","",IFERROR(VLOOKUP($B43,'07. BIA'!$F$4:$AA$285,22,FALSE),""))</f>
        <v/>
      </c>
      <c r="J43" t="str">
        <f>IF($B43="","",IFERROR(VLOOKUP($B43,'08. Dependency Register'!$E$4:$M$204,7,FALSE),""))</f>
        <v/>
      </c>
      <c r="K43" t="str">
        <f>IF($B43="","",IFERROR(VLOOKUP($B43,'08. Dependency Register'!$E$4:$M$204,8,FALSE),""))</f>
        <v/>
      </c>
    </row>
    <row r="44" spans="3:11" x14ac:dyDescent="0.35">
      <c r="C44" t="str">
        <f>IF($B44="","",IFERROR(VLOOKUP($B44,'04. Products &amp; Services'!$B$5:$M$50,2,FALSE),""))</f>
        <v/>
      </c>
      <c r="D44" t="str">
        <f>IF($B44="","",IFERROR(VLOOKUP($B44,'04. Products &amp; Services'!$B$5:$M$50,3,FALSE),""))</f>
        <v/>
      </c>
      <c r="E44" t="str">
        <f>IF($B44="","",IFERROR(VLOOKUP($B44,'04. Products &amp; Services'!$B$5:$M$50,4,FALSE),""))</f>
        <v/>
      </c>
      <c r="F44" t="str">
        <f>IF($B44="","",IFERROR(VLOOKUP($B44,'04. Products &amp; Services'!$B$5:$M$50,10,FALSE),""))</f>
        <v/>
      </c>
      <c r="G44" t="str">
        <f>IF($B44="","",IFERROR(VLOOKUP($B44,'04. Products &amp; Services'!$B$5:$M$50,11,FALSE),""))</f>
        <v/>
      </c>
      <c r="I44" t="str">
        <f>IF($B44="","",IFERROR(VLOOKUP($B44,'07. BIA'!$F$4:$AA$285,22,FALSE),""))</f>
        <v/>
      </c>
      <c r="J44" t="str">
        <f>IF($B44="","",IFERROR(VLOOKUP($B44,'08. Dependency Register'!$E$4:$M$204,7,FALSE),""))</f>
        <v/>
      </c>
      <c r="K44" t="str">
        <f>IF($B44="","",IFERROR(VLOOKUP($B44,'08. Dependency Register'!$E$4:$M$204,8,FALSE),""))</f>
        <v/>
      </c>
    </row>
    <row r="45" spans="3:11" x14ac:dyDescent="0.35">
      <c r="C45" t="str">
        <f>IF($B45="","",IFERROR(VLOOKUP($B45,'04. Products &amp; Services'!$B$5:$M$50,2,FALSE),""))</f>
        <v/>
      </c>
      <c r="D45" t="str">
        <f>IF($B45="","",IFERROR(VLOOKUP($B45,'04. Products &amp; Services'!$B$5:$M$50,3,FALSE),""))</f>
        <v/>
      </c>
      <c r="E45" t="str">
        <f>IF($B45="","",IFERROR(VLOOKUP($B45,'04. Products &amp; Services'!$B$5:$M$50,4,FALSE),""))</f>
        <v/>
      </c>
      <c r="F45" t="str">
        <f>IF($B45="","",IFERROR(VLOOKUP($B45,'04. Products &amp; Services'!$B$5:$M$50,10,FALSE),""))</f>
        <v/>
      </c>
      <c r="G45" t="str">
        <f>IF($B45="","",IFERROR(VLOOKUP($B45,'04. Products &amp; Services'!$B$5:$M$50,11,FALSE),""))</f>
        <v/>
      </c>
      <c r="I45" t="str">
        <f>IF($B45="","",IFERROR(VLOOKUP($B45,'07. BIA'!$F$4:$AA$285,22,FALSE),""))</f>
        <v/>
      </c>
      <c r="J45" t="str">
        <f>IF($B45="","",IFERROR(VLOOKUP($B45,'08. Dependency Register'!$E$4:$M$204,7,FALSE),""))</f>
        <v/>
      </c>
      <c r="K45" t="str">
        <f>IF($B45="","",IFERROR(VLOOKUP($B45,'08. Dependency Register'!$E$4:$M$204,8,FALSE),""))</f>
        <v/>
      </c>
    </row>
    <row r="46" spans="3:11" x14ac:dyDescent="0.35">
      <c r="C46" t="str">
        <f>IF($B46="","",IFERROR(VLOOKUP($B46,'04. Products &amp; Services'!$B$5:$M$50,2,FALSE),""))</f>
        <v/>
      </c>
      <c r="D46" t="str">
        <f>IF($B46="","",IFERROR(VLOOKUP($B46,'04. Products &amp; Services'!$B$5:$M$50,3,FALSE),""))</f>
        <v/>
      </c>
      <c r="E46" t="str">
        <f>IF($B46="","",IFERROR(VLOOKUP($B46,'04. Products &amp; Services'!$B$5:$M$50,4,FALSE),""))</f>
        <v/>
      </c>
      <c r="F46" t="str">
        <f>IF($B46="","",IFERROR(VLOOKUP($B46,'04. Products &amp; Services'!$B$5:$M$50,10,FALSE),""))</f>
        <v/>
      </c>
      <c r="G46" t="str">
        <f>IF($B46="","",IFERROR(VLOOKUP($B46,'04. Products &amp; Services'!$B$5:$M$50,11,FALSE),""))</f>
        <v/>
      </c>
      <c r="I46" t="str">
        <f>IF($B46="","",IFERROR(VLOOKUP($B46,'07. BIA'!$F$4:$AA$285,22,FALSE),""))</f>
        <v/>
      </c>
      <c r="J46" t="str">
        <f>IF($B46="","",IFERROR(VLOOKUP($B46,'08. Dependency Register'!$E$4:$M$204,7,FALSE),""))</f>
        <v/>
      </c>
      <c r="K46" t="str">
        <f>IF($B46="","",IFERROR(VLOOKUP($B46,'08. Dependency Register'!$E$4:$M$204,8,FALSE),""))</f>
        <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00000"/>
  </sheetPr>
  <dimension ref="A1:T324"/>
  <sheetViews>
    <sheetView showGridLines="0" zoomScale="70" zoomScaleNormal="70" workbookViewId="0">
      <selection sqref="A1:XFD1048576"/>
    </sheetView>
  </sheetViews>
  <sheetFormatPr defaultColWidth="8.54296875" defaultRowHeight="14.5" x14ac:dyDescent="0.35"/>
  <cols>
    <col min="1" max="1" width="3.81640625" bestFit="1" customWidth="1"/>
    <col min="2" max="2" width="5" bestFit="1" customWidth="1"/>
    <col min="3" max="3" width="6.08984375" bestFit="1" customWidth="1"/>
    <col min="4" max="4" width="19.6328125" bestFit="1" customWidth="1"/>
    <col min="5" max="5" width="11.54296875" bestFit="1" customWidth="1"/>
    <col min="6" max="6" width="24.6328125" bestFit="1" customWidth="1"/>
    <col min="7" max="7" width="7.90625" bestFit="1" customWidth="1"/>
    <col min="8" max="8" width="28.7265625" bestFit="1" customWidth="1"/>
    <col min="9" max="9" width="11.08984375" bestFit="1" customWidth="1"/>
    <col min="10" max="10" width="77.6328125" bestFit="1" customWidth="1"/>
    <col min="11" max="11" width="8.81640625" bestFit="1" customWidth="1"/>
    <col min="12" max="12" width="6.08984375" bestFit="1" customWidth="1"/>
    <col min="13" max="13" width="8.81640625" bestFit="1" customWidth="1"/>
    <col min="14" max="14" width="7.7265625" bestFit="1" customWidth="1"/>
    <col min="15" max="15" width="13.6328125" bestFit="1" customWidth="1"/>
    <col min="16" max="16" width="11.54296875" bestFit="1" customWidth="1"/>
    <col min="17" max="17" width="12.90625" bestFit="1" customWidth="1"/>
    <col min="19" max="19" width="8.90625" bestFit="1" customWidth="1"/>
    <col min="20" max="20" width="13.36328125" bestFit="1" customWidth="1"/>
  </cols>
  <sheetData>
    <row r="1" spans="1:20" ht="15" customHeight="1" x14ac:dyDescent="0.35">
      <c r="A1" s="431" t="s">
        <v>679</v>
      </c>
      <c r="B1" s="431"/>
      <c r="C1" s="431"/>
      <c r="D1" s="431"/>
      <c r="E1" s="431"/>
      <c r="F1" s="431"/>
      <c r="G1" s="431"/>
      <c r="H1" s="431"/>
    </row>
    <row r="3" spans="1:20" ht="15" customHeight="1" x14ac:dyDescent="0.35">
      <c r="A3" s="14" t="s">
        <v>680</v>
      </c>
      <c r="B3" s="14" t="s">
        <v>681</v>
      </c>
      <c r="C3" s="14" t="s">
        <v>449</v>
      </c>
      <c r="D3" s="14" t="s">
        <v>682</v>
      </c>
      <c r="E3" s="14" t="s">
        <v>683</v>
      </c>
      <c r="F3" s="14" t="s">
        <v>684</v>
      </c>
      <c r="G3" s="14" t="s">
        <v>5</v>
      </c>
      <c r="H3" s="14" t="s">
        <v>379</v>
      </c>
      <c r="I3" s="14" t="s">
        <v>685</v>
      </c>
      <c r="J3" s="14" t="s">
        <v>686</v>
      </c>
      <c r="K3" s="14" t="s">
        <v>703</v>
      </c>
      <c r="L3" s="14" t="s">
        <v>265</v>
      </c>
      <c r="M3" s="14" t="s">
        <v>687</v>
      </c>
      <c r="N3" s="14" t="s">
        <v>156</v>
      </c>
      <c r="O3" s="14" t="s">
        <v>723</v>
      </c>
      <c r="P3" s="14" t="s">
        <v>724</v>
      </c>
      <c r="Q3" s="14" t="s">
        <v>688</v>
      </c>
      <c r="S3" t="s">
        <v>689</v>
      </c>
      <c r="T3" t="s">
        <v>690</v>
      </c>
    </row>
    <row r="4" spans="1:20" ht="15" customHeight="1" x14ac:dyDescent="0.35">
      <c r="A4" s="31" t="s">
        <v>248</v>
      </c>
      <c r="B4" s="31" t="s">
        <v>248</v>
      </c>
      <c r="C4" s="31">
        <v>1</v>
      </c>
      <c r="D4" s="31" t="s">
        <v>300</v>
      </c>
      <c r="E4" s="31" t="s">
        <v>248</v>
      </c>
      <c r="F4" s="31" t="s">
        <v>249</v>
      </c>
      <c r="G4" s="31" t="s">
        <v>100</v>
      </c>
      <c r="H4" s="31" t="s">
        <v>356</v>
      </c>
      <c r="I4" s="31" t="s">
        <v>673</v>
      </c>
      <c r="J4" s="31" t="s">
        <v>674</v>
      </c>
      <c r="K4" s="31" t="s">
        <v>474</v>
      </c>
      <c r="L4" s="31" t="s">
        <v>248</v>
      </c>
      <c r="M4" s="31" t="s">
        <v>300</v>
      </c>
      <c r="N4" s="31" t="s">
        <v>158</v>
      </c>
      <c r="O4" t="str" cm="1">
        <f t="array" ref="O4">_xlfn._xlws.SORT(_xlfn.UNIQUE(_xlfn._xlws.FILTER('04. Products &amp; Services'!$C$6:$C$50,'04. Products &amp; Services'!$C$6:$C$50&lt;&gt;"","")))</f>
        <v>ss</v>
      </c>
      <c r="P4" t="str" cm="1">
        <f t="array" ref="P4">_xlfn._xlws.SORT(_xlfn.UNIQUE(_xlfn._xlws.FILTER('04. Products &amp; Services'!$D$6:$D$50,'04. Products &amp; Services'!$D$6:$D$50&lt;&gt;"","")))</f>
        <v>hr</v>
      </c>
      <c r="Q4" s="31" t="s">
        <v>24</v>
      </c>
      <c r="S4">
        <v>6</v>
      </c>
      <c r="T4" t="s">
        <v>412</v>
      </c>
    </row>
    <row r="5" spans="1:20" ht="15" customHeight="1" x14ac:dyDescent="0.35">
      <c r="A5" s="31" t="s">
        <v>251</v>
      </c>
      <c r="B5" s="31" t="s">
        <v>31</v>
      </c>
      <c r="C5" s="31">
        <v>2</v>
      </c>
      <c r="D5" s="31" t="s">
        <v>301</v>
      </c>
      <c r="E5" s="31" t="s">
        <v>251</v>
      </c>
      <c r="F5" s="31" t="s">
        <v>250</v>
      </c>
      <c r="G5" s="31" t="s">
        <v>693</v>
      </c>
      <c r="H5" s="31" t="s">
        <v>359</v>
      </c>
      <c r="I5" s="31" t="s">
        <v>721</v>
      </c>
      <c r="J5" s="31" t="s">
        <v>672</v>
      </c>
      <c r="K5" s="31" t="s">
        <v>476</v>
      </c>
      <c r="L5" s="31" t="s">
        <v>251</v>
      </c>
      <c r="M5" s="31" t="s">
        <v>301</v>
      </c>
      <c r="N5" s="31" t="s">
        <v>163</v>
      </c>
      <c r="Q5" s="31" t="s">
        <v>31</v>
      </c>
      <c r="S5">
        <v>18</v>
      </c>
      <c r="T5" t="s">
        <v>413</v>
      </c>
    </row>
    <row r="6" spans="1:20" ht="15" customHeight="1" x14ac:dyDescent="0.35">
      <c r="B6" s="31" t="s">
        <v>251</v>
      </c>
      <c r="C6" s="31">
        <v>3</v>
      </c>
      <c r="D6" s="31" t="s">
        <v>302</v>
      </c>
      <c r="E6" s="31" t="s">
        <v>694</v>
      </c>
      <c r="F6" s="31" t="s">
        <v>695</v>
      </c>
      <c r="G6" s="31" t="s">
        <v>696</v>
      </c>
      <c r="H6" s="31" t="s">
        <v>357</v>
      </c>
      <c r="I6" s="31" t="s">
        <v>697</v>
      </c>
      <c r="J6" s="31" t="s">
        <v>677</v>
      </c>
      <c r="K6" s="31" t="s">
        <v>163</v>
      </c>
      <c r="M6" s="31" t="s">
        <v>303</v>
      </c>
      <c r="N6" s="31" t="s">
        <v>198</v>
      </c>
      <c r="Q6" s="31" t="s">
        <v>611</v>
      </c>
      <c r="S6">
        <v>36</v>
      </c>
      <c r="T6" t="s">
        <v>414</v>
      </c>
    </row>
    <row r="7" spans="1:20" ht="15" customHeight="1" x14ac:dyDescent="0.35">
      <c r="C7" s="31">
        <v>4</v>
      </c>
      <c r="D7" s="31" t="s">
        <v>303</v>
      </c>
      <c r="F7" s="31" t="s">
        <v>698</v>
      </c>
      <c r="G7" s="31" t="s">
        <v>101</v>
      </c>
      <c r="H7" s="31" t="s">
        <v>360</v>
      </c>
      <c r="J7" s="31" t="s">
        <v>676</v>
      </c>
      <c r="K7" s="31" t="s">
        <v>479</v>
      </c>
      <c r="M7" s="31" t="s">
        <v>353</v>
      </c>
      <c r="Q7" s="31" t="s">
        <v>699</v>
      </c>
      <c r="S7">
        <v>72</v>
      </c>
      <c r="T7" t="s">
        <v>415</v>
      </c>
    </row>
    <row r="8" spans="1:20" ht="15" customHeight="1" x14ac:dyDescent="0.35">
      <c r="C8" s="31">
        <v>5</v>
      </c>
      <c r="D8" s="31" t="s">
        <v>304</v>
      </c>
      <c r="H8" s="31" t="s">
        <v>358</v>
      </c>
      <c r="J8" s="31" t="s">
        <v>675</v>
      </c>
      <c r="K8" s="31" t="s">
        <v>481</v>
      </c>
      <c r="M8" s="31" t="s">
        <v>321</v>
      </c>
      <c r="S8">
        <v>168</v>
      </c>
      <c r="T8" t="s">
        <v>416</v>
      </c>
    </row>
    <row r="9" spans="1:20" ht="15" customHeight="1" x14ac:dyDescent="0.35">
      <c r="C9" s="31" t="s">
        <v>700</v>
      </c>
      <c r="D9" s="31" t="s">
        <v>305</v>
      </c>
      <c r="H9" s="31" t="s">
        <v>355</v>
      </c>
      <c r="J9" s="31" t="s">
        <v>678</v>
      </c>
      <c r="M9" s="31" t="s">
        <v>354</v>
      </c>
      <c r="S9">
        <v>336</v>
      </c>
      <c r="T9" t="s">
        <v>417</v>
      </c>
    </row>
    <row r="10" spans="1:20" ht="15" customHeight="1" x14ac:dyDescent="0.35">
      <c r="D10" s="31" t="s">
        <v>306</v>
      </c>
      <c r="H10" s="31" t="s">
        <v>702</v>
      </c>
      <c r="S10">
        <v>504</v>
      </c>
      <c r="T10" t="s">
        <v>418</v>
      </c>
    </row>
    <row r="11" spans="1:20" ht="15" customHeight="1" x14ac:dyDescent="0.35">
      <c r="J11" t="str">
        <f>_xlfn.TEXTJOIN(", ",TRUE,lstDRStrategy)</f>
        <v>Active-Active, Active-Passive (Hot), Warm Standby, Backup &amp; Restore, Cloud DR, None (gap)</v>
      </c>
      <c r="S11">
        <v>672</v>
      </c>
      <c r="T11" t="s">
        <v>419</v>
      </c>
    </row>
    <row r="12" spans="1:20" ht="15" customHeight="1" x14ac:dyDescent="0.35">
      <c r="S12">
        <v>99999</v>
      </c>
      <c r="T12" t="s">
        <v>701</v>
      </c>
    </row>
    <row r="13" spans="1:20" ht="15" customHeight="1" x14ac:dyDescent="0.35">
      <c r="J13" t="s">
        <v>722</v>
      </c>
    </row>
    <row r="14" spans="1:20" ht="15" customHeight="1" x14ac:dyDescent="0.35"/>
    <row r="15" spans="1:20" ht="15" customHeight="1" x14ac:dyDescent="0.35"/>
    <row r="16" spans="1:20"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sheetData>
  <mergeCells count="1">
    <mergeCell ref="A1:H1"/>
  </mergeCells>
  <pageMargins left="0.75" right="0.75" top="1" bottom="1" header="0.511811023622047" footer="0.51180555555555596"/>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D8224806CD94A438095F53EA482B9C9" ma:contentTypeVersion="7" ma:contentTypeDescription="Create a new document." ma:contentTypeScope="" ma:versionID="80b2c1640972f1f8ac5ad5124e9dedfd">
  <xsd:schema xmlns:xsd="http://www.w3.org/2001/XMLSchema" xmlns:xs="http://www.w3.org/2001/XMLSchema" xmlns:p="http://schemas.microsoft.com/office/2006/metadata/properties" xmlns:ns2="2a415e60-0fca-42ae-bfa3-1165e44c247e" targetNamespace="http://schemas.microsoft.com/office/2006/metadata/properties" ma:root="true" ma:fieldsID="6dd1bb7a940daa72af4f5d7c304a392b" ns2:_="">
    <xsd:import namespace="2a415e60-0fca-42ae-bfa3-1165e44c247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415e60-0fca-42ae-bfa3-1165e44c24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E54194-8718-43BC-9152-88DE883DBEC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F658830-2DDD-49CE-8323-A759026C4747}">
  <ds:schemaRefs>
    <ds:schemaRef ds:uri="http://schemas.microsoft.com/sharepoint/v3/contenttype/forms"/>
  </ds:schemaRefs>
</ds:datastoreItem>
</file>

<file path=customXml/itemProps3.xml><?xml version="1.0" encoding="utf-8"?>
<ds:datastoreItem xmlns:ds="http://schemas.openxmlformats.org/officeDocument/2006/customXml" ds:itemID="{72ED2657-AB9C-4645-AACD-401D442FDE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415e60-0fca-42ae-bfa3-1165e44c24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5bcd41-5bda-4cab-a8b8-2b779b58b947}" enabled="1" method="Privileged" siteId="{2e32c063-a499-43c2-8bb9-77958c26843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40</vt:i4>
      </vt:variant>
    </vt:vector>
  </HeadingPairs>
  <TitlesOfParts>
    <vt:vector size="63" baseType="lpstr">
      <vt:lpstr>00. Document Control</vt:lpstr>
      <vt:lpstr>01. Instructions</vt:lpstr>
      <vt:lpstr>02. Dashboard</vt:lpstr>
      <vt:lpstr>03. Business Unit Profile</vt:lpstr>
      <vt:lpstr>04. Products &amp; Services</vt:lpstr>
      <vt:lpstr>05. Processes &amp; Activities</vt:lpstr>
      <vt:lpstr>06. Application &amp; Equipment</vt:lpstr>
      <vt:lpstr>07. BIA</vt:lpstr>
      <vt:lpstr>08. Dependency Register</vt:lpstr>
      <vt:lpstr>09. Risk Assumption Map</vt:lpstr>
      <vt:lpstr>10. Risk Assessment</vt:lpstr>
      <vt:lpstr>11. Strategies &amp; Solutions</vt:lpstr>
      <vt:lpstr>12. Requirements Register</vt:lpstr>
      <vt:lpstr>13. IT DR Register</vt:lpstr>
      <vt:lpstr>14. Recovery &amp; Response</vt:lpstr>
      <vt:lpstr>15. BCM Risk Register</vt:lpstr>
      <vt:lpstr>16. CAPA Register</vt:lpstr>
      <vt:lpstr>17. BCMS Progress (PDCA)</vt:lpstr>
      <vt:lpstr>18. ISO Docs &amp; Records</vt:lpstr>
      <vt:lpstr>19. ISO 22301 Map</vt:lpstr>
      <vt:lpstr>20. ERM RA Guidance</vt:lpstr>
      <vt:lpstr>21. Analysis</vt:lpstr>
      <vt:lpstr>99. Engine</vt:lpstr>
      <vt:lpstr>BIAIDs</vt:lpstr>
      <vt:lpstr>BusinessUnit</vt:lpstr>
      <vt:lpstr>BusinessUnits</vt:lpstr>
      <vt:lpstr>BusinessUnits1</vt:lpstr>
      <vt:lpstr>CAPA_BIARefs</vt:lpstr>
      <vt:lpstr>CAPA_DepRefs</vt:lpstr>
      <vt:lpstr>CAPA_DocRefs</vt:lpstr>
      <vt:lpstr>CAPA_DRRefs</vt:lpstr>
      <vt:lpstr>CAPA_RRRefs</vt:lpstr>
      <vt:lpstr>DC_1</vt:lpstr>
      <vt:lpstr>DependencyBIAIDs</vt:lpstr>
      <vt:lpstr>DivisionSite</vt:lpstr>
      <vt:lpstr>DivisionSites</vt:lpstr>
      <vt:lpstr>E_1</vt:lpstr>
      <vt:lpstr>E_E</vt:lpstr>
      <vt:lpstr>I_A</vt:lpstr>
      <vt:lpstr>I_S</vt:lpstr>
      <vt:lpstr>ICT_0</vt:lpstr>
      <vt:lpstr>ICT_1</vt:lpstr>
      <vt:lpstr>ICT_List</vt:lpstr>
      <vt:lpstr>lstChainCrit</vt:lpstr>
      <vt:lpstr>lstCorpCrit</vt:lpstr>
      <vt:lpstr>lstDepCat</vt:lpstr>
      <vt:lpstr>lstDRStrategy</vt:lpstr>
      <vt:lpstr>lstISOStatus</vt:lpstr>
      <vt:lpstr>lstReqCat</vt:lpstr>
      <vt:lpstr>lstScore</vt:lpstr>
      <vt:lpstr>lstSPOF</vt:lpstr>
      <vt:lpstr>lstStatus</vt:lpstr>
      <vt:lpstr>lstStrategy</vt:lpstr>
      <vt:lpstr>lstTestResult</vt:lpstr>
      <vt:lpstr>lstYN</vt:lpstr>
      <vt:lpstr>lstYPN</vt:lpstr>
      <vt:lpstr>MTPDMap</vt:lpstr>
      <vt:lpstr>ProcessProductCodes</vt:lpstr>
      <vt:lpstr>RequirementStrategyIDs</vt:lpstr>
      <vt:lpstr>S_1</vt:lpstr>
      <vt:lpstr>ScopeNames</vt:lpstr>
      <vt:lpstr>SSIDs</vt:lpstr>
      <vt:lpstr>StrategyRiskIDs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BCM Toolkit</dc:creator>
  <cp:lastModifiedBy>Uthman Al Ghamdi</cp:lastModifiedBy>
  <cp:revision>0</cp:revision>
  <dcterms:created xsi:type="dcterms:W3CDTF">2026-07-05T05:14:35Z</dcterms:created>
  <dcterms:modified xsi:type="dcterms:W3CDTF">2026-10-05T13:01:04Z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ies>
</file>